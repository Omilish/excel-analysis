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C6B1C3F8-C7C4-48DE-A2C3-311C4FA4FD2E}" xr6:coauthVersionLast="40" xr6:coauthVersionMax="40" xr10:uidLastSave="{00000000-0000-0000-0000-000000000000}"/>
  <bookViews>
    <workbookView xWindow="0" yWindow="0" windowWidth="28800" windowHeight="12135" activeTab="5" xr2:uid="{4C80EE64-82AB-4C5B-8CD0-493FB2F4806B}"/>
  </bookViews>
  <sheets>
    <sheet name="Объединенные данные" sheetId="8" r:id="rId1"/>
    <sheet name="Расчет метрик" sheetId="9" r:id="rId2"/>
    <sheet name="Проверка качества данных" sheetId="10" r:id="rId3"/>
    <sheet name="Показатели" sheetId="11" r:id="rId4"/>
    <sheet name="Гипотезы" sheetId="12" r:id="rId5"/>
    <sheet name="Визуализация" sheetId="14" r:id="rId6"/>
  </sheets>
  <definedNames>
    <definedName name="_xlnm._FilterDatabase" localSheetId="4" hidden="1">Гипотезы!$A$194:$A$274</definedName>
    <definedName name="ExternalData_1" localSheetId="0" hidden="1">'Объединенные данные'!$A$1:$I$2009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5" i="14" l="1"/>
  <c r="D145" i="14"/>
  <c r="E145" i="14"/>
  <c r="F145" i="14"/>
  <c r="G145" i="14"/>
  <c r="H145" i="14"/>
  <c r="I145" i="14"/>
  <c r="J145" i="14"/>
  <c r="K145" i="14"/>
  <c r="L145" i="14"/>
  <c r="M145" i="14"/>
  <c r="B145" i="14"/>
  <c r="B149" i="14"/>
  <c r="B153" i="14"/>
  <c r="E89" i="14" l="1"/>
  <c r="C89" i="14" l="1"/>
  <c r="D89" i="14"/>
  <c r="F89" i="14"/>
  <c r="G89" i="14"/>
  <c r="H89" i="14"/>
  <c r="I89" i="14"/>
  <c r="J89" i="14"/>
  <c r="K89" i="14"/>
  <c r="L89" i="14"/>
  <c r="M89" i="14"/>
  <c r="B89" i="14"/>
  <c r="B98" i="12" l="1"/>
  <c r="B97" i="12"/>
  <c r="B96" i="12"/>
  <c r="F131" i="11" l="1"/>
  <c r="F132" i="11"/>
  <c r="F133" i="11"/>
  <c r="F134" i="11"/>
  <c r="F135" i="11"/>
  <c r="F136" i="11"/>
  <c r="F137" i="11"/>
  <c r="F138" i="11"/>
  <c r="F139" i="11"/>
  <c r="F140" i="11"/>
  <c r="E131" i="11"/>
  <c r="E132" i="11"/>
  <c r="E133" i="11"/>
  <c r="E134" i="11"/>
  <c r="E135" i="11"/>
  <c r="E136" i="11"/>
  <c r="E137" i="11"/>
  <c r="E138" i="11"/>
  <c r="E139" i="11"/>
  <c r="E140" i="11"/>
  <c r="D131" i="11"/>
  <c r="D132" i="11"/>
  <c r="D133" i="11"/>
  <c r="D134" i="11"/>
  <c r="D135" i="11"/>
  <c r="D136" i="11"/>
  <c r="D137" i="11"/>
  <c r="D138" i="11"/>
  <c r="D139" i="11"/>
  <c r="D140" i="11"/>
  <c r="C131" i="11"/>
  <c r="C132" i="11"/>
  <c r="C133" i="11"/>
  <c r="C134" i="11"/>
  <c r="C135" i="11"/>
  <c r="C136" i="11"/>
  <c r="C137" i="11"/>
  <c r="C138" i="11"/>
  <c r="C139" i="11"/>
  <c r="C140" i="11"/>
  <c r="D130" i="11"/>
  <c r="E130" i="11"/>
  <c r="F130" i="11"/>
  <c r="C130" i="11"/>
  <c r="B130" i="11"/>
  <c r="B131" i="11"/>
  <c r="B132" i="11"/>
  <c r="B133" i="11"/>
  <c r="B134" i="11"/>
  <c r="B135" i="11"/>
  <c r="B136" i="11"/>
  <c r="B137" i="11"/>
  <c r="B138" i="11"/>
  <c r="B139" i="11"/>
  <c r="B140" i="11"/>
  <c r="E129" i="11"/>
  <c r="D129" i="11"/>
  <c r="F129" i="11"/>
  <c r="C129" i="11"/>
  <c r="B129" i="11"/>
  <c r="G162" i="11"/>
  <c r="C164" i="11"/>
  <c r="F164" i="11"/>
  <c r="E162" i="11"/>
  <c r="D164" i="11"/>
  <c r="C162" i="11"/>
  <c r="F162" i="11"/>
  <c r="D162" i="11"/>
  <c r="B164" i="11"/>
  <c r="G164" i="11"/>
  <c r="E164" i="11"/>
  <c r="B162" i="11"/>
  <c r="B183" i="12"/>
  <c r="B182" i="12"/>
  <c r="B181" i="12"/>
  <c r="B179" i="12"/>
  <c r="B177" i="12"/>
  <c r="B180" i="12"/>
  <c r="B178" i="12"/>
  <c r="U4" i="8" l="1"/>
  <c r="U3" i="8"/>
  <c r="S4" i="8"/>
  <c r="T4" i="8"/>
  <c r="S3" i="8"/>
  <c r="T3" i="8"/>
  <c r="R4" i="8"/>
  <c r="R3" i="8"/>
  <c r="F163" i="11"/>
  <c r="E163" i="11"/>
  <c r="B163" i="11"/>
  <c r="G163" i="11"/>
  <c r="C163" i="11"/>
  <c r="D163" i="11"/>
  <c r="B79" i="11"/>
  <c r="B76" i="11"/>
  <c r="B77" i="11"/>
  <c r="B73" i="11"/>
  <c r="B82" i="11"/>
  <c r="B83" i="11"/>
  <c r="B75" i="11"/>
  <c r="B71" i="11"/>
  <c r="B80" i="11"/>
  <c r="B72" i="11"/>
  <c r="B78" i="11"/>
  <c r="B74" i="11"/>
  <c r="B84" i="11"/>
  <c r="B81" i="11"/>
  <c r="T5" i="8" l="1"/>
  <c r="T7" i="8" s="1"/>
  <c r="S5" i="8"/>
  <c r="S6" i="8" s="1"/>
  <c r="U5" i="8"/>
  <c r="U7" i="8" s="1"/>
  <c r="R5" i="8"/>
  <c r="R6" i="8" s="1"/>
  <c r="T55" i="10"/>
  <c r="U55" i="10"/>
  <c r="V55" i="10"/>
  <c r="S55" i="10"/>
  <c r="R55" i="10"/>
  <c r="Q55" i="10"/>
  <c r="N55" i="10"/>
  <c r="O55" i="10"/>
  <c r="P55" i="10"/>
  <c r="M55" i="10"/>
  <c r="L55" i="10"/>
  <c r="K55" i="10"/>
  <c r="J55" i="10"/>
  <c r="I17" i="9"/>
  <c r="I55" i="10"/>
  <c r="H55" i="10"/>
  <c r="E55" i="10"/>
  <c r="F55" i="10"/>
  <c r="G55" i="10"/>
  <c r="D55" i="10"/>
  <c r="C55" i="10"/>
  <c r="B55" i="10"/>
  <c r="T6" i="8" l="1"/>
  <c r="M339" i="8"/>
  <c r="M436" i="8"/>
  <c r="M366" i="8"/>
  <c r="M463" i="8"/>
  <c r="M977" i="8"/>
  <c r="M1130" i="8"/>
  <c r="M552" i="8"/>
  <c r="M750" i="8"/>
  <c r="M1262" i="8"/>
  <c r="M1655" i="8"/>
  <c r="M1424" i="8"/>
  <c r="M1203" i="8"/>
  <c r="M1649" i="8"/>
  <c r="M1216" i="8"/>
  <c r="M1546" i="8"/>
  <c r="M1738" i="8"/>
  <c r="M1379" i="8"/>
  <c r="M1571" i="8"/>
  <c r="M1195" i="8"/>
  <c r="M1404" i="8"/>
  <c r="M1724" i="8"/>
  <c r="M1573" i="8"/>
  <c r="M1210" i="8"/>
  <c r="M1819" i="8"/>
  <c r="M1622" i="8"/>
  <c r="M1924" i="8"/>
  <c r="M1837" i="8"/>
  <c r="M1182" i="8"/>
  <c r="M1942" i="8"/>
  <c r="M1608" i="8"/>
  <c r="M1632" i="8"/>
  <c r="M1437" i="8"/>
  <c r="M1592" i="8"/>
  <c r="M1952" i="8"/>
  <c r="L2" i="8"/>
  <c r="L10" i="8"/>
  <c r="L18" i="8"/>
  <c r="L26" i="8"/>
  <c r="L34" i="8"/>
  <c r="L42" i="8"/>
  <c r="L50" i="8"/>
  <c r="L58" i="8"/>
  <c r="L66" i="8"/>
  <c r="L74" i="8"/>
  <c r="L82" i="8"/>
  <c r="L90" i="8"/>
  <c r="L98" i="8"/>
  <c r="L106" i="8"/>
  <c r="L114" i="8"/>
  <c r="L122" i="8"/>
  <c r="L130" i="8"/>
  <c r="L138" i="8"/>
  <c r="L146" i="8"/>
  <c r="L154" i="8"/>
  <c r="L162" i="8"/>
  <c r="L170" i="8"/>
  <c r="L178" i="8"/>
  <c r="L186" i="8"/>
  <c r="L194" i="8"/>
  <c r="L202" i="8"/>
  <c r="L210" i="8"/>
  <c r="L218" i="8"/>
  <c r="L226" i="8"/>
  <c r="L234" i="8"/>
  <c r="L3" i="8"/>
  <c r="L11" i="8"/>
  <c r="L19" i="8"/>
  <c r="L27" i="8"/>
  <c r="L35" i="8"/>
  <c r="L43" i="8"/>
  <c r="L51" i="8"/>
  <c r="L59" i="8"/>
  <c r="L67" i="8"/>
  <c r="L75" i="8"/>
  <c r="L83" i="8"/>
  <c r="L91" i="8"/>
  <c r="L99" i="8"/>
  <c r="L107" i="8"/>
  <c r="L115" i="8"/>
  <c r="L123" i="8"/>
  <c r="L131" i="8"/>
  <c r="L139" i="8"/>
  <c r="L147" i="8"/>
  <c r="L155" i="8"/>
  <c r="L163" i="8"/>
  <c r="L171" i="8"/>
  <c r="L179" i="8"/>
  <c r="L187" i="8"/>
  <c r="L195" i="8"/>
  <c r="L203" i="8"/>
  <c r="L211" i="8"/>
  <c r="L219" i="8"/>
  <c r="L227" i="8"/>
  <c r="L235" i="8"/>
  <c r="L243" i="8"/>
  <c r="L251" i="8"/>
  <c r="L259" i="8"/>
  <c r="L267" i="8"/>
  <c r="L4" i="8"/>
  <c r="L12" i="8"/>
  <c r="L20" i="8"/>
  <c r="L28" i="8"/>
  <c r="L36" i="8"/>
  <c r="L44" i="8"/>
  <c r="L52" i="8"/>
  <c r="L60" i="8"/>
  <c r="L68" i="8"/>
  <c r="L76" i="8"/>
  <c r="L84" i="8"/>
  <c r="L92" i="8"/>
  <c r="L100" i="8"/>
  <c r="L108" i="8"/>
  <c r="L116" i="8"/>
  <c r="L124" i="8"/>
  <c r="L132" i="8"/>
  <c r="L140" i="8"/>
  <c r="L148" i="8"/>
  <c r="L156" i="8"/>
  <c r="L164" i="8"/>
  <c r="L172" i="8"/>
  <c r="L180" i="8"/>
  <c r="L188" i="8"/>
  <c r="L196" i="8"/>
  <c r="L204" i="8"/>
  <c r="L212" i="8"/>
  <c r="L220" i="8"/>
  <c r="L228" i="8"/>
  <c r="L236" i="8"/>
  <c r="L244" i="8"/>
  <c r="L252" i="8"/>
  <c r="L260" i="8"/>
  <c r="L268" i="8"/>
  <c r="L5" i="8"/>
  <c r="L13" i="8"/>
  <c r="L21" i="8"/>
  <c r="L29" i="8"/>
  <c r="L37" i="8"/>
  <c r="L45" i="8"/>
  <c r="L53" i="8"/>
  <c r="L61" i="8"/>
  <c r="L69" i="8"/>
  <c r="L77" i="8"/>
  <c r="L85" i="8"/>
  <c r="L93" i="8"/>
  <c r="L101" i="8"/>
  <c r="L109" i="8"/>
  <c r="L117" i="8"/>
  <c r="L125" i="8"/>
  <c r="L133" i="8"/>
  <c r="L141" i="8"/>
  <c r="L149" i="8"/>
  <c r="L157" i="8"/>
  <c r="L165" i="8"/>
  <c r="L173" i="8"/>
  <c r="L181" i="8"/>
  <c r="L189" i="8"/>
  <c r="L197" i="8"/>
  <c r="L205" i="8"/>
  <c r="L213" i="8"/>
  <c r="L221" i="8"/>
  <c r="L229" i="8"/>
  <c r="L237" i="8"/>
  <c r="L245" i="8"/>
  <c r="L253" i="8"/>
  <c r="L261" i="8"/>
  <c r="L269" i="8"/>
  <c r="L6" i="8"/>
  <c r="L14" i="8"/>
  <c r="L22" i="8"/>
  <c r="L30" i="8"/>
  <c r="L38" i="8"/>
  <c r="L46" i="8"/>
  <c r="L54" i="8"/>
  <c r="L62" i="8"/>
  <c r="L70" i="8"/>
  <c r="L78" i="8"/>
  <c r="L86" i="8"/>
  <c r="L94" i="8"/>
  <c r="L102" i="8"/>
  <c r="L110" i="8"/>
  <c r="L118" i="8"/>
  <c r="L126" i="8"/>
  <c r="L134" i="8"/>
  <c r="L142" i="8"/>
  <c r="L150" i="8"/>
  <c r="L158" i="8"/>
  <c r="L166" i="8"/>
  <c r="L174" i="8"/>
  <c r="L182" i="8"/>
  <c r="L190" i="8"/>
  <c r="L198" i="8"/>
  <c r="L206" i="8"/>
  <c r="L214" i="8"/>
  <c r="L222" i="8"/>
  <c r="L230" i="8"/>
  <c r="L238" i="8"/>
  <c r="L246" i="8"/>
  <c r="L254" i="8"/>
  <c r="L262" i="8"/>
  <c r="L270" i="8"/>
  <c r="L7" i="8"/>
  <c r="L15" i="8"/>
  <c r="L23" i="8"/>
  <c r="L31" i="8"/>
  <c r="L39" i="8"/>
  <c r="L47" i="8"/>
  <c r="L55" i="8"/>
  <c r="L63" i="8"/>
  <c r="L71" i="8"/>
  <c r="L79" i="8"/>
  <c r="L87" i="8"/>
  <c r="L95" i="8"/>
  <c r="L103" i="8"/>
  <c r="L111" i="8"/>
  <c r="L119" i="8"/>
  <c r="L127" i="8"/>
  <c r="L135" i="8"/>
  <c r="L143" i="8"/>
  <c r="L151" i="8"/>
  <c r="L159" i="8"/>
  <c r="L167" i="8"/>
  <c r="L175" i="8"/>
  <c r="L183" i="8"/>
  <c r="L191" i="8"/>
  <c r="L199" i="8"/>
  <c r="L207" i="8"/>
  <c r="L215" i="8"/>
  <c r="L223" i="8"/>
  <c r="L231" i="8"/>
  <c r="L239" i="8"/>
  <c r="L247" i="8"/>
  <c r="L255" i="8"/>
  <c r="L263" i="8"/>
  <c r="L271" i="8"/>
  <c r="L16" i="8"/>
  <c r="L48" i="8"/>
  <c r="L80" i="8"/>
  <c r="L112" i="8"/>
  <c r="L144" i="8"/>
  <c r="L176" i="8"/>
  <c r="L208" i="8"/>
  <c r="L240" i="8"/>
  <c r="L258" i="8"/>
  <c r="L276" i="8"/>
  <c r="L284" i="8"/>
  <c r="L292" i="8"/>
  <c r="L300" i="8"/>
  <c r="L308" i="8"/>
  <c r="L316" i="8"/>
  <c r="L324" i="8"/>
  <c r="L332" i="8"/>
  <c r="L340" i="8"/>
  <c r="L348" i="8"/>
  <c r="L356" i="8"/>
  <c r="L364" i="8"/>
  <c r="L372" i="8"/>
  <c r="L380" i="8"/>
  <c r="L388" i="8"/>
  <c r="L396" i="8"/>
  <c r="L404" i="8"/>
  <c r="L412" i="8"/>
  <c r="L420" i="8"/>
  <c r="L428" i="8"/>
  <c r="L436" i="8"/>
  <c r="L444" i="8"/>
  <c r="L452" i="8"/>
  <c r="L460" i="8"/>
  <c r="L468" i="8"/>
  <c r="L476" i="8"/>
  <c r="L484" i="8"/>
  <c r="L492" i="8"/>
  <c r="L500" i="8"/>
  <c r="L508" i="8"/>
  <c r="L516" i="8"/>
  <c r="L524" i="8"/>
  <c r="L532" i="8"/>
  <c r="L540" i="8"/>
  <c r="L548" i="8"/>
  <c r="L556" i="8"/>
  <c r="L564" i="8"/>
  <c r="L572" i="8"/>
  <c r="L580" i="8"/>
  <c r="L588" i="8"/>
  <c r="L596" i="8"/>
  <c r="L604" i="8"/>
  <c r="L612" i="8"/>
  <c r="L620" i="8"/>
  <c r="L628" i="8"/>
  <c r="L17" i="8"/>
  <c r="L49" i="8"/>
  <c r="L81" i="8"/>
  <c r="L113" i="8"/>
  <c r="L145" i="8"/>
  <c r="L177" i="8"/>
  <c r="L209" i="8"/>
  <c r="L241" i="8"/>
  <c r="L264" i="8"/>
  <c r="L277" i="8"/>
  <c r="L285" i="8"/>
  <c r="L293" i="8"/>
  <c r="L301" i="8"/>
  <c r="L309" i="8"/>
  <c r="L317" i="8"/>
  <c r="L325" i="8"/>
  <c r="L333" i="8"/>
  <c r="L341" i="8"/>
  <c r="L349" i="8"/>
  <c r="L357" i="8"/>
  <c r="L365" i="8"/>
  <c r="L373" i="8"/>
  <c r="L381" i="8"/>
  <c r="L389" i="8"/>
  <c r="L397" i="8"/>
  <c r="L405" i="8"/>
  <c r="L413" i="8"/>
  <c r="L421" i="8"/>
  <c r="L429" i="8"/>
  <c r="L437" i="8"/>
  <c r="L445" i="8"/>
  <c r="L453" i="8"/>
  <c r="L461" i="8"/>
  <c r="L469" i="8"/>
  <c r="L477" i="8"/>
  <c r="L485" i="8"/>
  <c r="L493" i="8"/>
  <c r="L501" i="8"/>
  <c r="L509" i="8"/>
  <c r="L517" i="8"/>
  <c r="L525" i="8"/>
  <c r="L533" i="8"/>
  <c r="L541" i="8"/>
  <c r="L549" i="8"/>
  <c r="L557" i="8"/>
  <c r="L565" i="8"/>
  <c r="L573" i="8"/>
  <c r="L581" i="8"/>
  <c r="L589" i="8"/>
  <c r="L597" i="8"/>
  <c r="L605" i="8"/>
  <c r="L613" i="8"/>
  <c r="L621" i="8"/>
  <c r="L629" i="8"/>
  <c r="L637" i="8"/>
  <c r="L645" i="8"/>
  <c r="L653" i="8"/>
  <c r="L661" i="8"/>
  <c r="L669" i="8"/>
  <c r="L677" i="8"/>
  <c r="L685" i="8"/>
  <c r="L693" i="8"/>
  <c r="L701" i="8"/>
  <c r="L24" i="8"/>
  <c r="L56" i="8"/>
  <c r="L88" i="8"/>
  <c r="L120" i="8"/>
  <c r="L152" i="8"/>
  <c r="L184" i="8"/>
  <c r="L216" i="8"/>
  <c r="L242" i="8"/>
  <c r="L265" i="8"/>
  <c r="L278" i="8"/>
  <c r="L286" i="8"/>
  <c r="L294" i="8"/>
  <c r="L302" i="8"/>
  <c r="L310" i="8"/>
  <c r="L318" i="8"/>
  <c r="L326" i="8"/>
  <c r="L334" i="8"/>
  <c r="L342" i="8"/>
  <c r="L350" i="8"/>
  <c r="L358" i="8"/>
  <c r="L366" i="8"/>
  <c r="L374" i="8"/>
  <c r="L382" i="8"/>
  <c r="L390" i="8"/>
  <c r="L398" i="8"/>
  <c r="L406" i="8"/>
  <c r="L414" i="8"/>
  <c r="L422" i="8"/>
  <c r="L430" i="8"/>
  <c r="L438" i="8"/>
  <c r="L446" i="8"/>
  <c r="L454" i="8"/>
  <c r="L462" i="8"/>
  <c r="L470" i="8"/>
  <c r="L478" i="8"/>
  <c r="L486" i="8"/>
  <c r="L494" i="8"/>
  <c r="L502" i="8"/>
  <c r="L510" i="8"/>
  <c r="L518" i="8"/>
  <c r="L526" i="8"/>
  <c r="L534" i="8"/>
  <c r="L542" i="8"/>
  <c r="L550" i="8"/>
  <c r="L558" i="8"/>
  <c r="L566" i="8"/>
  <c r="L574" i="8"/>
  <c r="L582" i="8"/>
  <c r="L590" i="8"/>
  <c r="L598" i="8"/>
  <c r="L606" i="8"/>
  <c r="L614" i="8"/>
  <c r="L622" i="8"/>
  <c r="L630" i="8"/>
  <c r="L638" i="8"/>
  <c r="L646" i="8"/>
  <c r="L654" i="8"/>
  <c r="L662" i="8"/>
  <c r="L670" i="8"/>
  <c r="L678" i="8"/>
  <c r="L686" i="8"/>
  <c r="L694" i="8"/>
  <c r="L702" i="8"/>
  <c r="L710" i="8"/>
  <c r="L718" i="8"/>
  <c r="L726" i="8"/>
  <c r="L734" i="8"/>
  <c r="L742" i="8"/>
  <c r="L750" i="8"/>
  <c r="L758" i="8"/>
  <c r="L766" i="8"/>
  <c r="L774" i="8"/>
  <c r="L25" i="8"/>
  <c r="L57" i="8"/>
  <c r="L89" i="8"/>
  <c r="L121" i="8"/>
  <c r="L153" i="8"/>
  <c r="L185" i="8"/>
  <c r="L217" i="8"/>
  <c r="L248" i="8"/>
  <c r="L266" i="8"/>
  <c r="L279" i="8"/>
  <c r="L287" i="8"/>
  <c r="L295" i="8"/>
  <c r="L303" i="8"/>
  <c r="L311" i="8"/>
  <c r="L319" i="8"/>
  <c r="L327" i="8"/>
  <c r="L335" i="8"/>
  <c r="L343" i="8"/>
  <c r="L351" i="8"/>
  <c r="L359" i="8"/>
  <c r="L367" i="8"/>
  <c r="L375" i="8"/>
  <c r="L383" i="8"/>
  <c r="L391" i="8"/>
  <c r="L399" i="8"/>
  <c r="L407" i="8"/>
  <c r="L415" i="8"/>
  <c r="L423" i="8"/>
  <c r="L431" i="8"/>
  <c r="L439" i="8"/>
  <c r="L447" i="8"/>
  <c r="L455" i="8"/>
  <c r="L463" i="8"/>
  <c r="L471" i="8"/>
  <c r="L479" i="8"/>
  <c r="L487" i="8"/>
  <c r="L495" i="8"/>
  <c r="L503" i="8"/>
  <c r="L511" i="8"/>
  <c r="L519" i="8"/>
  <c r="L527" i="8"/>
  <c r="L535" i="8"/>
  <c r="L543" i="8"/>
  <c r="L551" i="8"/>
  <c r="L559" i="8"/>
  <c r="L567" i="8"/>
  <c r="L575" i="8"/>
  <c r="L583" i="8"/>
  <c r="L591" i="8"/>
  <c r="L599" i="8"/>
  <c r="L607" i="8"/>
  <c r="L615" i="8"/>
  <c r="L623" i="8"/>
  <c r="L631" i="8"/>
  <c r="L639" i="8"/>
  <c r="L647" i="8"/>
  <c r="L655" i="8"/>
  <c r="L663" i="8"/>
  <c r="L671" i="8"/>
  <c r="L679" i="8"/>
  <c r="L687" i="8"/>
  <c r="L695" i="8"/>
  <c r="L703" i="8"/>
  <c r="L711" i="8"/>
  <c r="L719" i="8"/>
  <c r="L727" i="8"/>
  <c r="L735" i="8"/>
  <c r="L32" i="8"/>
  <c r="L64" i="8"/>
  <c r="L96" i="8"/>
  <c r="L128" i="8"/>
  <c r="L160" i="8"/>
  <c r="L192" i="8"/>
  <c r="L224" i="8"/>
  <c r="L249" i="8"/>
  <c r="L272" i="8"/>
  <c r="L280" i="8"/>
  <c r="L288" i="8"/>
  <c r="L296" i="8"/>
  <c r="L304" i="8"/>
  <c r="L312" i="8"/>
  <c r="L320" i="8"/>
  <c r="L328" i="8"/>
  <c r="L336" i="8"/>
  <c r="L344" i="8"/>
  <c r="L352" i="8"/>
  <c r="L360" i="8"/>
  <c r="L368" i="8"/>
  <c r="L376" i="8"/>
  <c r="L384" i="8"/>
  <c r="L392" i="8"/>
  <c r="L400" i="8"/>
  <c r="L408" i="8"/>
  <c r="L416" i="8"/>
  <c r="L424" i="8"/>
  <c r="L432" i="8"/>
  <c r="L440" i="8"/>
  <c r="L448" i="8"/>
  <c r="L456" i="8"/>
  <c r="L464" i="8"/>
  <c r="L472" i="8"/>
  <c r="L480" i="8"/>
  <c r="L488" i="8"/>
  <c r="L496" i="8"/>
  <c r="L504" i="8"/>
  <c r="L512" i="8"/>
  <c r="L520" i="8"/>
  <c r="L528" i="8"/>
  <c r="L536" i="8"/>
  <c r="L544" i="8"/>
  <c r="L552" i="8"/>
  <c r="L560" i="8"/>
  <c r="L568" i="8"/>
  <c r="L576" i="8"/>
  <c r="L584" i="8"/>
  <c r="L592" i="8"/>
  <c r="L600" i="8"/>
  <c r="L608" i="8"/>
  <c r="L616" i="8"/>
  <c r="L624" i="8"/>
  <c r="L632" i="8"/>
  <c r="L640" i="8"/>
  <c r="L648" i="8"/>
  <c r="L656" i="8"/>
  <c r="L664" i="8"/>
  <c r="L672" i="8"/>
  <c r="L680" i="8"/>
  <c r="L688" i="8"/>
  <c r="L696" i="8"/>
  <c r="L704" i="8"/>
  <c r="L712" i="8"/>
  <c r="L720" i="8"/>
  <c r="L728" i="8"/>
  <c r="L736" i="8"/>
  <c r="L33" i="8"/>
  <c r="L65" i="8"/>
  <c r="L97" i="8"/>
  <c r="L129" i="8"/>
  <c r="L161" i="8"/>
  <c r="L193" i="8"/>
  <c r="L225" i="8"/>
  <c r="L250" i="8"/>
  <c r="L273" i="8"/>
  <c r="L281" i="8"/>
  <c r="L289" i="8"/>
  <c r="L297" i="8"/>
  <c r="L305" i="8"/>
  <c r="L313" i="8"/>
  <c r="L321" i="8"/>
  <c r="L329" i="8"/>
  <c r="L337" i="8"/>
  <c r="L345" i="8"/>
  <c r="L353" i="8"/>
  <c r="L361" i="8"/>
  <c r="L369" i="8"/>
  <c r="L377" i="8"/>
  <c r="L385" i="8"/>
  <c r="L393" i="8"/>
  <c r="L401" i="8"/>
  <c r="L409" i="8"/>
  <c r="L417" i="8"/>
  <c r="L425" i="8"/>
  <c r="L433" i="8"/>
  <c r="L441" i="8"/>
  <c r="L449" i="8"/>
  <c r="L457" i="8"/>
  <c r="L465" i="8"/>
  <c r="L473" i="8"/>
  <c r="L481" i="8"/>
  <c r="L489" i="8"/>
  <c r="L497" i="8"/>
  <c r="L505" i="8"/>
  <c r="L513" i="8"/>
  <c r="L521" i="8"/>
  <c r="L529" i="8"/>
  <c r="L537" i="8"/>
  <c r="L545" i="8"/>
  <c r="L553" i="8"/>
  <c r="L561" i="8"/>
  <c r="L569" i="8"/>
  <c r="L577" i="8"/>
  <c r="L585" i="8"/>
  <c r="L593" i="8"/>
  <c r="L601" i="8"/>
  <c r="L609" i="8"/>
  <c r="L617" i="8"/>
  <c r="L625" i="8"/>
  <c r="L633" i="8"/>
  <c r="L641" i="8"/>
  <c r="L649" i="8"/>
  <c r="L657" i="8"/>
  <c r="L665" i="8"/>
  <c r="L673" i="8"/>
  <c r="L681" i="8"/>
  <c r="L689" i="8"/>
  <c r="L697" i="8"/>
  <c r="L705" i="8"/>
  <c r="L713" i="8"/>
  <c r="L721" i="8"/>
  <c r="L729" i="8"/>
  <c r="L737" i="8"/>
  <c r="L745" i="8"/>
  <c r="L753" i="8"/>
  <c r="L761" i="8"/>
  <c r="L769" i="8"/>
  <c r="L777" i="8"/>
  <c r="L8" i="8"/>
  <c r="L136" i="8"/>
  <c r="L256" i="8"/>
  <c r="L298" i="8"/>
  <c r="L330" i="8"/>
  <c r="L362" i="8"/>
  <c r="L394" i="8"/>
  <c r="L426" i="8"/>
  <c r="L458" i="8"/>
  <c r="L490" i="8"/>
  <c r="L522" i="8"/>
  <c r="L554" i="8"/>
  <c r="L586" i="8"/>
  <c r="L618" i="8"/>
  <c r="L643" i="8"/>
  <c r="L666" i="8"/>
  <c r="L684" i="8"/>
  <c r="L707" i="8"/>
  <c r="L723" i="8"/>
  <c r="L739" i="8"/>
  <c r="L749" i="8"/>
  <c r="L760" i="8"/>
  <c r="L771" i="8"/>
  <c r="L781" i="8"/>
  <c r="L789" i="8"/>
  <c r="L797" i="8"/>
  <c r="L805" i="8"/>
  <c r="L813" i="8"/>
  <c r="L821" i="8"/>
  <c r="L829" i="8"/>
  <c r="L837" i="8"/>
  <c r="L845" i="8"/>
  <c r="L853" i="8"/>
  <c r="L861" i="8"/>
  <c r="L869" i="8"/>
  <c r="L877" i="8"/>
  <c r="L885" i="8"/>
  <c r="L893" i="8"/>
  <c r="L901" i="8"/>
  <c r="L909" i="8"/>
  <c r="L917" i="8"/>
  <c r="L925" i="8"/>
  <c r="L933" i="8"/>
  <c r="L941" i="8"/>
  <c r="L949" i="8"/>
  <c r="L957" i="8"/>
  <c r="L965" i="8"/>
  <c r="L973" i="8"/>
  <c r="L981" i="8"/>
  <c r="L989" i="8"/>
  <c r="L997" i="8"/>
  <c r="L1005" i="8"/>
  <c r="L1013" i="8"/>
  <c r="L1021" i="8"/>
  <c r="L1029" i="8"/>
  <c r="L1037" i="8"/>
  <c r="L1045" i="8"/>
  <c r="L1053" i="8"/>
  <c r="L1061" i="8"/>
  <c r="L1069" i="8"/>
  <c r="L1077" i="8"/>
  <c r="L1085" i="8"/>
  <c r="L1093" i="8"/>
  <c r="L1101" i="8"/>
  <c r="L1109" i="8"/>
  <c r="L1117" i="8"/>
  <c r="L1125" i="8"/>
  <c r="L1133" i="8"/>
  <c r="L1141" i="8"/>
  <c r="L1149" i="8"/>
  <c r="L1157" i="8"/>
  <c r="L1165" i="8"/>
  <c r="L1173" i="8"/>
  <c r="L1181" i="8"/>
  <c r="L1189" i="8"/>
  <c r="L1197" i="8"/>
  <c r="L1205" i="8"/>
  <c r="L1213" i="8"/>
  <c r="L1221" i="8"/>
  <c r="L1229" i="8"/>
  <c r="L1237" i="8"/>
  <c r="L1245" i="8"/>
  <c r="L9" i="8"/>
  <c r="L137" i="8"/>
  <c r="L257" i="8"/>
  <c r="L299" i="8"/>
  <c r="L331" i="8"/>
  <c r="L363" i="8"/>
  <c r="L395" i="8"/>
  <c r="L427" i="8"/>
  <c r="L459" i="8"/>
  <c r="L491" i="8"/>
  <c r="L523" i="8"/>
  <c r="L555" i="8"/>
  <c r="L587" i="8"/>
  <c r="L619" i="8"/>
  <c r="L644" i="8"/>
  <c r="L667" i="8"/>
  <c r="L690" i="8"/>
  <c r="L708" i="8"/>
  <c r="L724" i="8"/>
  <c r="L740" i="8"/>
  <c r="L751" i="8"/>
  <c r="L762" i="8"/>
  <c r="L772" i="8"/>
  <c r="L782" i="8"/>
  <c r="L790" i="8"/>
  <c r="L798" i="8"/>
  <c r="L806" i="8"/>
  <c r="L814" i="8"/>
  <c r="L822" i="8"/>
  <c r="L830" i="8"/>
  <c r="L838" i="8"/>
  <c r="L846" i="8"/>
  <c r="L854" i="8"/>
  <c r="L862" i="8"/>
  <c r="L870" i="8"/>
  <c r="L878" i="8"/>
  <c r="L886" i="8"/>
  <c r="L894" i="8"/>
  <c r="L902" i="8"/>
  <c r="L910" i="8"/>
  <c r="L918" i="8"/>
  <c r="L926" i="8"/>
  <c r="L934" i="8"/>
  <c r="L942" i="8"/>
  <c r="L950" i="8"/>
  <c r="L958" i="8"/>
  <c r="L966" i="8"/>
  <c r="L974" i="8"/>
  <c r="L982" i="8"/>
  <c r="L990" i="8"/>
  <c r="L998" i="8"/>
  <c r="L1006" i="8"/>
  <c r="L1014" i="8"/>
  <c r="L1022" i="8"/>
  <c r="L1030" i="8"/>
  <c r="L1038" i="8"/>
  <c r="L1046" i="8"/>
  <c r="L1054" i="8"/>
  <c r="L1062" i="8"/>
  <c r="L1070" i="8"/>
  <c r="L1078" i="8"/>
  <c r="L1086" i="8"/>
  <c r="L1094" i="8"/>
  <c r="L1102" i="8"/>
  <c r="L1110" i="8"/>
  <c r="L1118" i="8"/>
  <c r="L1126" i="8"/>
  <c r="L1134" i="8"/>
  <c r="L1142" i="8"/>
  <c r="L1150" i="8"/>
  <c r="L1158" i="8"/>
  <c r="L1166" i="8"/>
  <c r="L1174" i="8"/>
  <c r="L1182" i="8"/>
  <c r="L1190" i="8"/>
  <c r="L1198" i="8"/>
  <c r="L1206" i="8"/>
  <c r="L1214" i="8"/>
  <c r="L1222" i="8"/>
  <c r="L1230" i="8"/>
  <c r="L1238" i="8"/>
  <c r="L1246" i="8"/>
  <c r="L40" i="8"/>
  <c r="L168" i="8"/>
  <c r="L274" i="8"/>
  <c r="L306" i="8"/>
  <c r="L338" i="8"/>
  <c r="L370" i="8"/>
  <c r="L402" i="8"/>
  <c r="L434" i="8"/>
  <c r="L466" i="8"/>
  <c r="L498" i="8"/>
  <c r="L530" i="8"/>
  <c r="L562" i="8"/>
  <c r="L594" i="8"/>
  <c r="L626" i="8"/>
  <c r="L650" i="8"/>
  <c r="L668" i="8"/>
  <c r="L691" i="8"/>
  <c r="L709" i="8"/>
  <c r="L725" i="8"/>
  <c r="L741" i="8"/>
  <c r="L752" i="8"/>
  <c r="L763" i="8"/>
  <c r="L773" i="8"/>
  <c r="L783" i="8"/>
  <c r="L791" i="8"/>
  <c r="L799" i="8"/>
  <c r="L807" i="8"/>
  <c r="L815" i="8"/>
  <c r="L823" i="8"/>
  <c r="L831" i="8"/>
  <c r="L839" i="8"/>
  <c r="L847" i="8"/>
  <c r="L855" i="8"/>
  <c r="L863" i="8"/>
  <c r="L871" i="8"/>
  <c r="L879" i="8"/>
  <c r="L887" i="8"/>
  <c r="L895" i="8"/>
  <c r="L903" i="8"/>
  <c r="L911" i="8"/>
  <c r="L919" i="8"/>
  <c r="L927" i="8"/>
  <c r="L935" i="8"/>
  <c r="L943" i="8"/>
  <c r="L951" i="8"/>
  <c r="L959" i="8"/>
  <c r="L967" i="8"/>
  <c r="L975" i="8"/>
  <c r="L983" i="8"/>
  <c r="L991" i="8"/>
  <c r="L999" i="8"/>
  <c r="L1007" i="8"/>
  <c r="L1015" i="8"/>
  <c r="L1023" i="8"/>
  <c r="L1031" i="8"/>
  <c r="L1039" i="8"/>
  <c r="L1047" i="8"/>
  <c r="L1055" i="8"/>
  <c r="L1063" i="8"/>
  <c r="L1071" i="8"/>
  <c r="L1079" i="8"/>
  <c r="L1087" i="8"/>
  <c r="L1095" i="8"/>
  <c r="L1103" i="8"/>
  <c r="L1111" i="8"/>
  <c r="L1119" i="8"/>
  <c r="L1127" i="8"/>
  <c r="L1135" i="8"/>
  <c r="L1143" i="8"/>
  <c r="L1151" i="8"/>
  <c r="L1159" i="8"/>
  <c r="L1167" i="8"/>
  <c r="L1175" i="8"/>
  <c r="L1183" i="8"/>
  <c r="L1191" i="8"/>
  <c r="L1199" i="8"/>
  <c r="L1207" i="8"/>
  <c r="L1215" i="8"/>
  <c r="L1223" i="8"/>
  <c r="L1231" i="8"/>
  <c r="L1239" i="8"/>
  <c r="L1247" i="8"/>
  <c r="L1255" i="8"/>
  <c r="L1263" i="8"/>
  <c r="L1271" i="8"/>
  <c r="L1279" i="8"/>
  <c r="L1287" i="8"/>
  <c r="L1295" i="8"/>
  <c r="L1303" i="8"/>
  <c r="L1311" i="8"/>
  <c r="L1319" i="8"/>
  <c r="L1327" i="8"/>
  <c r="L41" i="8"/>
  <c r="L169" i="8"/>
  <c r="L275" i="8"/>
  <c r="L307" i="8"/>
  <c r="L339" i="8"/>
  <c r="L371" i="8"/>
  <c r="L403" i="8"/>
  <c r="L435" i="8"/>
  <c r="L467" i="8"/>
  <c r="L499" i="8"/>
  <c r="L531" i="8"/>
  <c r="L563" i="8"/>
  <c r="L595" i="8"/>
  <c r="L627" i="8"/>
  <c r="L651" i="8"/>
  <c r="L674" i="8"/>
  <c r="L692" i="8"/>
  <c r="L714" i="8"/>
  <c r="L730" i="8"/>
  <c r="L743" i="8"/>
  <c r="L754" i="8"/>
  <c r="L764" i="8"/>
  <c r="L775" i="8"/>
  <c r="L784" i="8"/>
  <c r="L792" i="8"/>
  <c r="L800" i="8"/>
  <c r="L808" i="8"/>
  <c r="L816" i="8"/>
  <c r="L824" i="8"/>
  <c r="L832" i="8"/>
  <c r="L840" i="8"/>
  <c r="L848" i="8"/>
  <c r="L856" i="8"/>
  <c r="L864" i="8"/>
  <c r="L872" i="8"/>
  <c r="L880" i="8"/>
  <c r="L888" i="8"/>
  <c r="L896" i="8"/>
  <c r="L904" i="8"/>
  <c r="L912" i="8"/>
  <c r="L920" i="8"/>
  <c r="L928" i="8"/>
  <c r="L936" i="8"/>
  <c r="L944" i="8"/>
  <c r="L952" i="8"/>
  <c r="L960" i="8"/>
  <c r="L968" i="8"/>
  <c r="L976" i="8"/>
  <c r="L984" i="8"/>
  <c r="L992" i="8"/>
  <c r="L1000" i="8"/>
  <c r="L1008" i="8"/>
  <c r="L1016" i="8"/>
  <c r="L1024" i="8"/>
  <c r="L1032" i="8"/>
  <c r="L1040" i="8"/>
  <c r="L1048" i="8"/>
  <c r="L1056" i="8"/>
  <c r="L1064" i="8"/>
  <c r="L1072" i="8"/>
  <c r="L1080" i="8"/>
  <c r="L1088" i="8"/>
  <c r="L1096" i="8"/>
  <c r="L1104" i="8"/>
  <c r="L1112" i="8"/>
  <c r="L1120" i="8"/>
  <c r="L1128" i="8"/>
  <c r="L1136" i="8"/>
  <c r="L1144" i="8"/>
  <c r="L1152" i="8"/>
  <c r="L1160" i="8"/>
  <c r="L1168" i="8"/>
  <c r="L1176" i="8"/>
  <c r="L1184" i="8"/>
  <c r="L1192" i="8"/>
  <c r="L1200" i="8"/>
  <c r="L1208" i="8"/>
  <c r="L1216" i="8"/>
  <c r="L1224" i="8"/>
  <c r="L1232" i="8"/>
  <c r="L1240" i="8"/>
  <c r="L1248" i="8"/>
  <c r="L1256" i="8"/>
  <c r="L1264" i="8"/>
  <c r="L1272" i="8"/>
  <c r="L1280" i="8"/>
  <c r="L1288" i="8"/>
  <c r="L1296" i="8"/>
  <c r="L1304" i="8"/>
  <c r="L1312" i="8"/>
  <c r="L1320" i="8"/>
  <c r="L72" i="8"/>
  <c r="L200" i="8"/>
  <c r="L282" i="8"/>
  <c r="L314" i="8"/>
  <c r="L346" i="8"/>
  <c r="L378" i="8"/>
  <c r="L410" i="8"/>
  <c r="L442" i="8"/>
  <c r="L474" i="8"/>
  <c r="L506" i="8"/>
  <c r="L538" i="8"/>
  <c r="L570" i="8"/>
  <c r="L602" i="8"/>
  <c r="L634" i="8"/>
  <c r="L652" i="8"/>
  <c r="L675" i="8"/>
  <c r="L698" i="8"/>
  <c r="L715" i="8"/>
  <c r="L731" i="8"/>
  <c r="L744" i="8"/>
  <c r="L755" i="8"/>
  <c r="L765" i="8"/>
  <c r="L776" i="8"/>
  <c r="L785" i="8"/>
  <c r="L793" i="8"/>
  <c r="L801" i="8"/>
  <c r="L809" i="8"/>
  <c r="L817" i="8"/>
  <c r="L825" i="8"/>
  <c r="L833" i="8"/>
  <c r="L841" i="8"/>
  <c r="L849" i="8"/>
  <c r="L857" i="8"/>
  <c r="L865" i="8"/>
  <c r="L873" i="8"/>
  <c r="L881" i="8"/>
  <c r="L889" i="8"/>
  <c r="L897" i="8"/>
  <c r="L905" i="8"/>
  <c r="L913" i="8"/>
  <c r="L921" i="8"/>
  <c r="L929" i="8"/>
  <c r="L937" i="8"/>
  <c r="L945" i="8"/>
  <c r="L953" i="8"/>
  <c r="L961" i="8"/>
  <c r="L969" i="8"/>
  <c r="L977" i="8"/>
  <c r="L985" i="8"/>
  <c r="L993" i="8"/>
  <c r="L1001" i="8"/>
  <c r="L1009" i="8"/>
  <c r="L1017" i="8"/>
  <c r="L1025" i="8"/>
  <c r="L1033" i="8"/>
  <c r="L1041" i="8"/>
  <c r="L1049" i="8"/>
  <c r="L1057" i="8"/>
  <c r="L1065" i="8"/>
  <c r="L1073" i="8"/>
  <c r="L1081" i="8"/>
  <c r="L1089" i="8"/>
  <c r="L1097" i="8"/>
  <c r="L1105" i="8"/>
  <c r="L1113" i="8"/>
  <c r="L1121" i="8"/>
  <c r="L1129" i="8"/>
  <c r="L1137" i="8"/>
  <c r="L1145" i="8"/>
  <c r="L1153" i="8"/>
  <c r="L1161" i="8"/>
  <c r="L1169" i="8"/>
  <c r="L1177" i="8"/>
  <c r="L1185" i="8"/>
  <c r="L1193" i="8"/>
  <c r="L1201" i="8"/>
  <c r="L1209" i="8"/>
  <c r="L1217" i="8"/>
  <c r="L1225" i="8"/>
  <c r="L73" i="8"/>
  <c r="L201" i="8"/>
  <c r="L283" i="8"/>
  <c r="L315" i="8"/>
  <c r="L347" i="8"/>
  <c r="L379" i="8"/>
  <c r="L411" i="8"/>
  <c r="L443" i="8"/>
  <c r="L475" i="8"/>
  <c r="L507" i="8"/>
  <c r="L539" i="8"/>
  <c r="L571" i="8"/>
  <c r="L603" i="8"/>
  <c r="L635" i="8"/>
  <c r="L658" i="8"/>
  <c r="L676" i="8"/>
  <c r="L699" i="8"/>
  <c r="L716" i="8"/>
  <c r="L732" i="8"/>
  <c r="L746" i="8"/>
  <c r="L756" i="8"/>
  <c r="L767" i="8"/>
  <c r="L778" i="8"/>
  <c r="L786" i="8"/>
  <c r="L794" i="8"/>
  <c r="L802" i="8"/>
  <c r="L810" i="8"/>
  <c r="L818" i="8"/>
  <c r="L826" i="8"/>
  <c r="L834" i="8"/>
  <c r="L842" i="8"/>
  <c r="L850" i="8"/>
  <c r="L858" i="8"/>
  <c r="L866" i="8"/>
  <c r="L874" i="8"/>
  <c r="L882" i="8"/>
  <c r="L890" i="8"/>
  <c r="L898" i="8"/>
  <c r="L906" i="8"/>
  <c r="L914" i="8"/>
  <c r="L922" i="8"/>
  <c r="L930" i="8"/>
  <c r="L938" i="8"/>
  <c r="L946" i="8"/>
  <c r="L954" i="8"/>
  <c r="L962" i="8"/>
  <c r="L970" i="8"/>
  <c r="L978" i="8"/>
  <c r="L986" i="8"/>
  <c r="L994" i="8"/>
  <c r="L1002" i="8"/>
  <c r="L1010" i="8"/>
  <c r="L1018" i="8"/>
  <c r="L1026" i="8"/>
  <c r="L1034" i="8"/>
  <c r="L1042" i="8"/>
  <c r="L1050" i="8"/>
  <c r="L1058" i="8"/>
  <c r="L1066" i="8"/>
  <c r="L1074" i="8"/>
  <c r="L1082" i="8"/>
  <c r="L1090" i="8"/>
  <c r="L1098" i="8"/>
  <c r="L1106" i="8"/>
  <c r="L1114" i="8"/>
  <c r="L1122" i="8"/>
  <c r="L1130" i="8"/>
  <c r="L1138" i="8"/>
  <c r="L1146" i="8"/>
  <c r="L1154" i="8"/>
  <c r="L1162" i="8"/>
  <c r="L1170" i="8"/>
  <c r="L1178" i="8"/>
  <c r="L1186" i="8"/>
  <c r="L1194" i="8"/>
  <c r="L1202" i="8"/>
  <c r="L1210" i="8"/>
  <c r="L1218" i="8"/>
  <c r="L1226" i="8"/>
  <c r="L1234" i="8"/>
  <c r="L1242" i="8"/>
  <c r="L1250" i="8"/>
  <c r="L1258" i="8"/>
  <c r="L1266" i="8"/>
  <c r="L1274" i="8"/>
  <c r="L1282" i="8"/>
  <c r="L1290" i="8"/>
  <c r="L1298" i="8"/>
  <c r="L1306" i="8"/>
  <c r="L1314" i="8"/>
  <c r="L1322" i="8"/>
  <c r="L104" i="8"/>
  <c r="L232" i="8"/>
  <c r="L290" i="8"/>
  <c r="L354" i="8"/>
  <c r="L482" i="8"/>
  <c r="L610" i="8"/>
  <c r="L700" i="8"/>
  <c r="L757" i="8"/>
  <c r="L795" i="8"/>
  <c r="L827" i="8"/>
  <c r="L859" i="8"/>
  <c r="L891" i="8"/>
  <c r="L923" i="8"/>
  <c r="L955" i="8"/>
  <c r="L987" i="8"/>
  <c r="L1019" i="8"/>
  <c r="L1051" i="8"/>
  <c r="L1083" i="8"/>
  <c r="L1115" i="8"/>
  <c r="L1147" i="8"/>
  <c r="L1179" i="8"/>
  <c r="L1211" i="8"/>
  <c r="L355" i="8"/>
  <c r="L483" i="8"/>
  <c r="L611" i="8"/>
  <c r="L706" i="8"/>
  <c r="L759" i="8"/>
  <c r="L796" i="8"/>
  <c r="L828" i="8"/>
  <c r="L860" i="8"/>
  <c r="L892" i="8"/>
  <c r="L924" i="8"/>
  <c r="L956" i="8"/>
  <c r="L988" i="8"/>
  <c r="L1020" i="8"/>
  <c r="L1052" i="8"/>
  <c r="L1084" i="8"/>
  <c r="L1116" i="8"/>
  <c r="L1148" i="8"/>
  <c r="L1180" i="8"/>
  <c r="L1212" i="8"/>
  <c r="L1241" i="8"/>
  <c r="L1257" i="8"/>
  <c r="L1269" i="8"/>
  <c r="L1283" i="8"/>
  <c r="L1294" i="8"/>
  <c r="L1308" i="8"/>
  <c r="L1321" i="8"/>
  <c r="L1331" i="8"/>
  <c r="L1339" i="8"/>
  <c r="L1347" i="8"/>
  <c r="L1355" i="8"/>
  <c r="L1363" i="8"/>
  <c r="L1371" i="8"/>
  <c r="L1379" i="8"/>
  <c r="L1387" i="8"/>
  <c r="L1395" i="8"/>
  <c r="L1403" i="8"/>
  <c r="L1411" i="8"/>
  <c r="L1419" i="8"/>
  <c r="L1427" i="8"/>
  <c r="L1435" i="8"/>
  <c r="L1443" i="8"/>
  <c r="L1451" i="8"/>
  <c r="L1459" i="8"/>
  <c r="L1467" i="8"/>
  <c r="L1475" i="8"/>
  <c r="L1483" i="8"/>
  <c r="L1491" i="8"/>
  <c r="L1499" i="8"/>
  <c r="L1507" i="8"/>
  <c r="L1515" i="8"/>
  <c r="L1523" i="8"/>
  <c r="L1531" i="8"/>
  <c r="L1539" i="8"/>
  <c r="L1547" i="8"/>
  <c r="L1555" i="8"/>
  <c r="L1563" i="8"/>
  <c r="L1571" i="8"/>
  <c r="L1579" i="8"/>
  <c r="L1587" i="8"/>
  <c r="L1595" i="8"/>
  <c r="L1603" i="8"/>
  <c r="L1611" i="8"/>
  <c r="L1619" i="8"/>
  <c r="L1627" i="8"/>
  <c r="L1635" i="8"/>
  <c r="L1643" i="8"/>
  <c r="L1651" i="8"/>
  <c r="L1659" i="8"/>
  <c r="L1667" i="8"/>
  <c r="L1675" i="8"/>
  <c r="L1683" i="8"/>
  <c r="L1691" i="8"/>
  <c r="L1699" i="8"/>
  <c r="L1707" i="8"/>
  <c r="L1715" i="8"/>
  <c r="L1723" i="8"/>
  <c r="L1731" i="8"/>
  <c r="L1739" i="8"/>
  <c r="L1747" i="8"/>
  <c r="L1755" i="8"/>
  <c r="L1763" i="8"/>
  <c r="L1771" i="8"/>
  <c r="L1779" i="8"/>
  <c r="L1787" i="8"/>
  <c r="L1795" i="8"/>
  <c r="L1803" i="8"/>
  <c r="L1811" i="8"/>
  <c r="L1819" i="8"/>
  <c r="L1827" i="8"/>
  <c r="L1835" i="8"/>
  <c r="L1843" i="8"/>
  <c r="L1851" i="8"/>
  <c r="L1859" i="8"/>
  <c r="L386" i="8"/>
  <c r="L514" i="8"/>
  <c r="L636" i="8"/>
  <c r="L717" i="8"/>
  <c r="L768" i="8"/>
  <c r="L803" i="8"/>
  <c r="L835" i="8"/>
  <c r="L867" i="8"/>
  <c r="L899" i="8"/>
  <c r="L931" i="8"/>
  <c r="L963" i="8"/>
  <c r="L995" i="8"/>
  <c r="L1027" i="8"/>
  <c r="L1059" i="8"/>
  <c r="L1091" i="8"/>
  <c r="L1123" i="8"/>
  <c r="L1155" i="8"/>
  <c r="L1187" i="8"/>
  <c r="L105" i="8"/>
  <c r="L387" i="8"/>
  <c r="L515" i="8"/>
  <c r="L642" i="8"/>
  <c r="L722" i="8"/>
  <c r="L770" i="8"/>
  <c r="L804" i="8"/>
  <c r="L836" i="8"/>
  <c r="L868" i="8"/>
  <c r="L900" i="8"/>
  <c r="L932" i="8"/>
  <c r="L964" i="8"/>
  <c r="L996" i="8"/>
  <c r="L1028" i="8"/>
  <c r="L1060" i="8"/>
  <c r="L1092" i="8"/>
  <c r="L1124" i="8"/>
  <c r="L1156" i="8"/>
  <c r="L1188" i="8"/>
  <c r="L1220" i="8"/>
  <c r="L1244" i="8"/>
  <c r="L1260" i="8"/>
  <c r="L1273" i="8"/>
  <c r="L1285" i="8"/>
  <c r="L1299" i="8"/>
  <c r="L1310" i="8"/>
  <c r="L1324" i="8"/>
  <c r="L1333" i="8"/>
  <c r="L1341" i="8"/>
  <c r="L1349" i="8"/>
  <c r="L1357" i="8"/>
  <c r="L1365" i="8"/>
  <c r="L1373" i="8"/>
  <c r="L1381" i="8"/>
  <c r="L1389" i="8"/>
  <c r="L1397" i="8"/>
  <c r="L1405" i="8"/>
  <c r="L1413" i="8"/>
  <c r="L1421" i="8"/>
  <c r="L1429" i="8"/>
  <c r="L1437" i="8"/>
  <c r="L1445" i="8"/>
  <c r="L1453" i="8"/>
  <c r="L1461" i="8"/>
  <c r="L1469" i="8"/>
  <c r="L1477" i="8"/>
  <c r="L1485" i="8"/>
  <c r="L1493" i="8"/>
  <c r="L1501" i="8"/>
  <c r="L1509" i="8"/>
  <c r="L1517" i="8"/>
  <c r="L1525" i="8"/>
  <c r="L1533" i="8"/>
  <c r="L1541" i="8"/>
  <c r="L1549" i="8"/>
  <c r="L1557" i="8"/>
  <c r="L1565" i="8"/>
  <c r="L1573" i="8"/>
  <c r="L1581" i="8"/>
  <c r="L1589" i="8"/>
  <c r="L1597" i="8"/>
  <c r="L1605" i="8"/>
  <c r="L1613" i="8"/>
  <c r="L1621" i="8"/>
  <c r="L1629" i="8"/>
  <c r="L1637" i="8"/>
  <c r="L1645" i="8"/>
  <c r="L1653" i="8"/>
  <c r="L1661" i="8"/>
  <c r="L1669" i="8"/>
  <c r="L1677" i="8"/>
  <c r="L1685" i="8"/>
  <c r="L1693" i="8"/>
  <c r="L1701" i="8"/>
  <c r="L1709" i="8"/>
  <c r="L1717" i="8"/>
  <c r="L1725" i="8"/>
  <c r="L1733" i="8"/>
  <c r="L1741" i="8"/>
  <c r="L1749" i="8"/>
  <c r="L1757" i="8"/>
  <c r="L1765" i="8"/>
  <c r="L1773" i="8"/>
  <c r="L1781" i="8"/>
  <c r="L1789" i="8"/>
  <c r="L233" i="8"/>
  <c r="L418" i="8"/>
  <c r="L546" i="8"/>
  <c r="L659" i="8"/>
  <c r="L733" i="8"/>
  <c r="L779" i="8"/>
  <c r="L811" i="8"/>
  <c r="L843" i="8"/>
  <c r="L875" i="8"/>
  <c r="L907" i="8"/>
  <c r="L939" i="8"/>
  <c r="L971" i="8"/>
  <c r="L1003" i="8"/>
  <c r="L1035" i="8"/>
  <c r="L1067" i="8"/>
  <c r="L1099" i="8"/>
  <c r="L1131" i="8"/>
  <c r="L1163" i="8"/>
  <c r="L1195" i="8"/>
  <c r="L1227" i="8"/>
  <c r="L1249" i="8"/>
  <c r="L1261" i="8"/>
  <c r="L1275" i="8"/>
  <c r="L1286" i="8"/>
  <c r="L1300" i="8"/>
  <c r="L1313" i="8"/>
  <c r="L1325" i="8"/>
  <c r="L1334" i="8"/>
  <c r="L1342" i="8"/>
  <c r="L1350" i="8"/>
  <c r="L1358" i="8"/>
  <c r="L1366" i="8"/>
  <c r="L1374" i="8"/>
  <c r="L1382" i="8"/>
  <c r="L1390" i="8"/>
  <c r="L1398" i="8"/>
  <c r="L1406" i="8"/>
  <c r="L1414" i="8"/>
  <c r="L1422" i="8"/>
  <c r="L1430" i="8"/>
  <c r="L1438" i="8"/>
  <c r="L1446" i="8"/>
  <c r="L1454" i="8"/>
  <c r="L1462" i="8"/>
  <c r="L1470" i="8"/>
  <c r="L1478" i="8"/>
  <c r="L1486" i="8"/>
  <c r="L1494" i="8"/>
  <c r="L1502" i="8"/>
  <c r="L1510" i="8"/>
  <c r="L1518" i="8"/>
  <c r="L1526" i="8"/>
  <c r="L1534" i="8"/>
  <c r="L1542" i="8"/>
  <c r="L1550" i="8"/>
  <c r="L1558" i="8"/>
  <c r="L1566" i="8"/>
  <c r="L1574" i="8"/>
  <c r="L1582" i="8"/>
  <c r="L1590" i="8"/>
  <c r="L1598" i="8"/>
  <c r="L1606" i="8"/>
  <c r="L1614" i="8"/>
  <c r="L1622" i="8"/>
  <c r="L1630" i="8"/>
  <c r="L1638" i="8"/>
  <c r="L1646" i="8"/>
  <c r="L1654" i="8"/>
  <c r="L291" i="8"/>
  <c r="L419" i="8"/>
  <c r="L547" i="8"/>
  <c r="L660" i="8"/>
  <c r="L738" i="8"/>
  <c r="L780" i="8"/>
  <c r="L812" i="8"/>
  <c r="L844" i="8"/>
  <c r="L876" i="8"/>
  <c r="L908" i="8"/>
  <c r="L940" i="8"/>
  <c r="L972" i="8"/>
  <c r="L1004" i="8"/>
  <c r="L1036" i="8"/>
  <c r="L1068" i="8"/>
  <c r="L1100" i="8"/>
  <c r="L1132" i="8"/>
  <c r="L1164" i="8"/>
  <c r="L1196" i="8"/>
  <c r="L1228" i="8"/>
  <c r="L1251" i="8"/>
  <c r="L1262" i="8"/>
  <c r="L1276" i="8"/>
  <c r="L1289" i="8"/>
  <c r="L1301" i="8"/>
  <c r="L1315" i="8"/>
  <c r="L1326" i="8"/>
  <c r="L1335" i="8"/>
  <c r="L1343" i="8"/>
  <c r="L1351" i="8"/>
  <c r="L1359" i="8"/>
  <c r="L1367" i="8"/>
  <c r="L1375" i="8"/>
  <c r="L1383" i="8"/>
  <c r="L1391" i="8"/>
  <c r="L1399" i="8"/>
  <c r="L1407" i="8"/>
  <c r="L1415" i="8"/>
  <c r="L1423" i="8"/>
  <c r="L1431" i="8"/>
  <c r="L1439" i="8"/>
  <c r="L1447" i="8"/>
  <c r="L1455" i="8"/>
  <c r="L1463" i="8"/>
  <c r="L1471" i="8"/>
  <c r="L1479" i="8"/>
  <c r="L1487" i="8"/>
  <c r="L1495" i="8"/>
  <c r="L1503" i="8"/>
  <c r="L1511" i="8"/>
  <c r="L1519" i="8"/>
  <c r="L1527" i="8"/>
  <c r="L1535" i="8"/>
  <c r="L1543" i="8"/>
  <c r="L1551" i="8"/>
  <c r="L1559" i="8"/>
  <c r="L1567" i="8"/>
  <c r="L1575" i="8"/>
  <c r="L1583" i="8"/>
  <c r="L1591" i="8"/>
  <c r="L1599" i="8"/>
  <c r="L1607" i="8"/>
  <c r="L1615" i="8"/>
  <c r="L1623" i="8"/>
  <c r="L1631" i="8"/>
  <c r="L1639" i="8"/>
  <c r="L1647" i="8"/>
  <c r="L1655" i="8"/>
  <c r="L1663" i="8"/>
  <c r="L1671" i="8"/>
  <c r="L1679" i="8"/>
  <c r="L1687" i="8"/>
  <c r="L1695" i="8"/>
  <c r="L1703" i="8"/>
  <c r="L1711" i="8"/>
  <c r="L1719" i="8"/>
  <c r="L1727" i="8"/>
  <c r="L1735" i="8"/>
  <c r="L1743" i="8"/>
  <c r="L1751" i="8"/>
  <c r="L1759" i="8"/>
  <c r="L1767" i="8"/>
  <c r="L1775" i="8"/>
  <c r="L1783" i="8"/>
  <c r="L1791" i="8"/>
  <c r="L1799" i="8"/>
  <c r="L1807" i="8"/>
  <c r="L1815" i="8"/>
  <c r="L1823" i="8"/>
  <c r="L1831" i="8"/>
  <c r="L1839" i="8"/>
  <c r="L1847" i="8"/>
  <c r="L1855" i="8"/>
  <c r="L323" i="8"/>
  <c r="L451" i="8"/>
  <c r="L579" i="8"/>
  <c r="L683" i="8"/>
  <c r="L748" i="8"/>
  <c r="L788" i="8"/>
  <c r="L820" i="8"/>
  <c r="L852" i="8"/>
  <c r="L884" i="8"/>
  <c r="L916" i="8"/>
  <c r="L948" i="8"/>
  <c r="L980" i="8"/>
  <c r="L1012" i="8"/>
  <c r="L1044" i="8"/>
  <c r="L1076" i="8"/>
  <c r="L1108" i="8"/>
  <c r="L1140" i="8"/>
  <c r="L1172" i="8"/>
  <c r="L1204" i="8"/>
  <c r="L1235" i="8"/>
  <c r="L1253" i="8"/>
  <c r="L1267" i="8"/>
  <c r="L1278" i="8"/>
  <c r="L1292" i="8"/>
  <c r="L1305" i="8"/>
  <c r="L1317" i="8"/>
  <c r="L1329" i="8"/>
  <c r="L1337" i="8"/>
  <c r="L1345" i="8"/>
  <c r="L1353" i="8"/>
  <c r="L1361" i="8"/>
  <c r="L1369" i="8"/>
  <c r="L1377" i="8"/>
  <c r="L1385" i="8"/>
  <c r="L1393" i="8"/>
  <c r="L1401" i="8"/>
  <c r="L1409" i="8"/>
  <c r="L1417" i="8"/>
  <c r="L1425" i="8"/>
  <c r="L1433" i="8"/>
  <c r="L1441" i="8"/>
  <c r="L1449" i="8"/>
  <c r="L1457" i="8"/>
  <c r="L1465" i="8"/>
  <c r="L1473" i="8"/>
  <c r="L1481" i="8"/>
  <c r="L1489" i="8"/>
  <c r="L1497" i="8"/>
  <c r="L1505" i="8"/>
  <c r="L1513" i="8"/>
  <c r="L1521" i="8"/>
  <c r="L1529" i="8"/>
  <c r="L1537" i="8"/>
  <c r="L1545" i="8"/>
  <c r="L1553" i="8"/>
  <c r="L1561" i="8"/>
  <c r="L1569" i="8"/>
  <c r="L1577" i="8"/>
  <c r="L1585" i="8"/>
  <c r="L1593" i="8"/>
  <c r="L1601" i="8"/>
  <c r="L1609" i="8"/>
  <c r="L1617" i="8"/>
  <c r="L1625" i="8"/>
  <c r="L1633" i="8"/>
  <c r="L1641" i="8"/>
  <c r="L1649" i="8"/>
  <c r="L1657" i="8"/>
  <c r="L1665" i="8"/>
  <c r="L1673" i="8"/>
  <c r="L1681" i="8"/>
  <c r="L1689" i="8"/>
  <c r="L1697" i="8"/>
  <c r="L1705" i="8"/>
  <c r="L1713" i="8"/>
  <c r="L1721" i="8"/>
  <c r="L1729" i="8"/>
  <c r="L1737" i="8"/>
  <c r="L1745" i="8"/>
  <c r="L1753" i="8"/>
  <c r="L1761" i="8"/>
  <c r="L1769" i="8"/>
  <c r="L1777" i="8"/>
  <c r="L1785" i="8"/>
  <c r="L1793" i="8"/>
  <c r="L322" i="8"/>
  <c r="L883" i="8"/>
  <c r="L1139" i="8"/>
  <c r="L1254" i="8"/>
  <c r="L1291" i="8"/>
  <c r="L1323" i="8"/>
  <c r="L1346" i="8"/>
  <c r="L1368" i="8"/>
  <c r="L1388" i="8"/>
  <c r="L1410" i="8"/>
  <c r="L1432" i="8"/>
  <c r="L1452" i="8"/>
  <c r="L1474" i="8"/>
  <c r="L1496" i="8"/>
  <c r="L1516" i="8"/>
  <c r="L1538" i="8"/>
  <c r="L1560" i="8"/>
  <c r="L1580" i="8"/>
  <c r="L1602" i="8"/>
  <c r="L1624" i="8"/>
  <c r="L1644" i="8"/>
  <c r="L1664" i="8"/>
  <c r="L1680" i="8"/>
  <c r="L1696" i="8"/>
  <c r="L1712" i="8"/>
  <c r="L1728" i="8"/>
  <c r="L1744" i="8"/>
  <c r="L1760" i="8"/>
  <c r="L1776" i="8"/>
  <c r="L1792" i="8"/>
  <c r="L1804" i="8"/>
  <c r="L1814" i="8"/>
  <c r="L1825" i="8"/>
  <c r="L1836" i="8"/>
  <c r="L1846" i="8"/>
  <c r="L1857" i="8"/>
  <c r="L1866" i="8"/>
  <c r="L1874" i="8"/>
  <c r="L1882" i="8"/>
  <c r="L1890" i="8"/>
  <c r="L1898" i="8"/>
  <c r="L1906" i="8"/>
  <c r="L1914" i="8"/>
  <c r="L1922" i="8"/>
  <c r="L1930" i="8"/>
  <c r="L1938" i="8"/>
  <c r="L1946" i="8"/>
  <c r="L1954" i="8"/>
  <c r="L1962" i="8"/>
  <c r="L1970" i="8"/>
  <c r="L1978" i="8"/>
  <c r="L1986" i="8"/>
  <c r="L1994" i="8"/>
  <c r="L2002" i="8"/>
  <c r="L450" i="8"/>
  <c r="L915" i="8"/>
  <c r="L1171" i="8"/>
  <c r="L1259" i="8"/>
  <c r="L1293" i="8"/>
  <c r="L1328" i="8"/>
  <c r="L1348" i="8"/>
  <c r="L1370" i="8"/>
  <c r="L1392" i="8"/>
  <c r="L1412" i="8"/>
  <c r="L1434" i="8"/>
  <c r="L1456" i="8"/>
  <c r="L1476" i="8"/>
  <c r="L1498" i="8"/>
  <c r="L1520" i="8"/>
  <c r="L1540" i="8"/>
  <c r="L1562" i="8"/>
  <c r="L1584" i="8"/>
  <c r="L1604" i="8"/>
  <c r="L1626" i="8"/>
  <c r="L1648" i="8"/>
  <c r="L1666" i="8"/>
  <c r="L1682" i="8"/>
  <c r="L1698" i="8"/>
  <c r="L1714" i="8"/>
  <c r="L1730" i="8"/>
  <c r="L1746" i="8"/>
  <c r="L1762" i="8"/>
  <c r="L1778" i="8"/>
  <c r="L1794" i="8"/>
  <c r="L1805" i="8"/>
  <c r="L1816" i="8"/>
  <c r="L1826" i="8"/>
  <c r="L1837" i="8"/>
  <c r="L1848" i="8"/>
  <c r="L1858" i="8"/>
  <c r="L1867" i="8"/>
  <c r="L1875" i="8"/>
  <c r="L1883" i="8"/>
  <c r="L1891" i="8"/>
  <c r="L1899" i="8"/>
  <c r="L1907" i="8"/>
  <c r="L1915" i="8"/>
  <c r="L1923" i="8"/>
  <c r="L1931" i="8"/>
  <c r="L1939" i="8"/>
  <c r="L1947" i="8"/>
  <c r="L1955" i="8"/>
  <c r="L1963" i="8"/>
  <c r="L1971" i="8"/>
  <c r="L1979" i="8"/>
  <c r="L1987" i="8"/>
  <c r="L1995" i="8"/>
  <c r="L2003" i="8"/>
  <c r="L578" i="8"/>
  <c r="L947" i="8"/>
  <c r="L1203" i="8"/>
  <c r="L1265" i="8"/>
  <c r="L1297" i="8"/>
  <c r="L1330" i="8"/>
  <c r="L1352" i="8"/>
  <c r="L1372" i="8"/>
  <c r="L1394" i="8"/>
  <c r="L1416" i="8"/>
  <c r="L1436" i="8"/>
  <c r="L1458" i="8"/>
  <c r="L1480" i="8"/>
  <c r="L1500" i="8"/>
  <c r="L1522" i="8"/>
  <c r="L1544" i="8"/>
  <c r="L1564" i="8"/>
  <c r="L1586" i="8"/>
  <c r="L1608" i="8"/>
  <c r="L1628" i="8"/>
  <c r="L1650" i="8"/>
  <c r="L1668" i="8"/>
  <c r="L1684" i="8"/>
  <c r="L1700" i="8"/>
  <c r="L1716" i="8"/>
  <c r="L1732" i="8"/>
  <c r="L1748" i="8"/>
  <c r="L1764" i="8"/>
  <c r="L1780" i="8"/>
  <c r="L1796" i="8"/>
  <c r="L1806" i="8"/>
  <c r="L1817" i="8"/>
  <c r="L1828" i="8"/>
  <c r="L1838" i="8"/>
  <c r="L1849" i="8"/>
  <c r="L1860" i="8"/>
  <c r="L1868" i="8"/>
  <c r="L1876" i="8"/>
  <c r="L1884" i="8"/>
  <c r="L1892" i="8"/>
  <c r="L1900" i="8"/>
  <c r="L1908" i="8"/>
  <c r="L1916" i="8"/>
  <c r="L1924" i="8"/>
  <c r="L1932" i="8"/>
  <c r="L1940" i="8"/>
  <c r="L1948" i="8"/>
  <c r="L1956" i="8"/>
  <c r="L1964" i="8"/>
  <c r="L1972" i="8"/>
  <c r="L1980" i="8"/>
  <c r="L1988" i="8"/>
  <c r="L1996" i="8"/>
  <c r="L2004" i="8"/>
  <c r="L682" i="8"/>
  <c r="L979" i="8"/>
  <c r="L1219" i="8"/>
  <c r="L1268" i="8"/>
  <c r="L1302" i="8"/>
  <c r="L1332" i="8"/>
  <c r="L1354" i="8"/>
  <c r="L1376" i="8"/>
  <c r="L1396" i="8"/>
  <c r="L1418" i="8"/>
  <c r="L1440" i="8"/>
  <c r="L1460" i="8"/>
  <c r="L1482" i="8"/>
  <c r="L1504" i="8"/>
  <c r="L1524" i="8"/>
  <c r="L1546" i="8"/>
  <c r="L1568" i="8"/>
  <c r="L1588" i="8"/>
  <c r="L1610" i="8"/>
  <c r="L1632" i="8"/>
  <c r="L1652" i="8"/>
  <c r="L1670" i="8"/>
  <c r="L1686" i="8"/>
  <c r="L1702" i="8"/>
  <c r="L1718" i="8"/>
  <c r="L1734" i="8"/>
  <c r="L1750" i="8"/>
  <c r="L1766" i="8"/>
  <c r="L1782" i="8"/>
  <c r="L1797" i="8"/>
  <c r="L1808" i="8"/>
  <c r="L1818" i="8"/>
  <c r="L1829" i="8"/>
  <c r="L1840" i="8"/>
  <c r="L1850" i="8"/>
  <c r="L1861" i="8"/>
  <c r="L1869" i="8"/>
  <c r="L1877" i="8"/>
  <c r="L1885" i="8"/>
  <c r="L1893" i="8"/>
  <c r="L1901" i="8"/>
  <c r="L1909" i="8"/>
  <c r="L1917" i="8"/>
  <c r="L1925" i="8"/>
  <c r="L1933" i="8"/>
  <c r="L1941" i="8"/>
  <c r="L1949" i="8"/>
  <c r="L1957" i="8"/>
  <c r="L1965" i="8"/>
  <c r="L1973" i="8"/>
  <c r="L1981" i="8"/>
  <c r="L1989" i="8"/>
  <c r="L1997" i="8"/>
  <c r="L2005" i="8"/>
  <c r="L747" i="8"/>
  <c r="L1011" i="8"/>
  <c r="L1233" i="8"/>
  <c r="L1270" i="8"/>
  <c r="L1307" i="8"/>
  <c r="L1336" i="8"/>
  <c r="L1356" i="8"/>
  <c r="L1378" i="8"/>
  <c r="L1400" i="8"/>
  <c r="L1420" i="8"/>
  <c r="L1442" i="8"/>
  <c r="L1464" i="8"/>
  <c r="L1484" i="8"/>
  <c r="L1506" i="8"/>
  <c r="L1528" i="8"/>
  <c r="L1548" i="8"/>
  <c r="L1570" i="8"/>
  <c r="L1592" i="8"/>
  <c r="L1612" i="8"/>
  <c r="L1634" i="8"/>
  <c r="L1656" i="8"/>
  <c r="L1672" i="8"/>
  <c r="L1688" i="8"/>
  <c r="L1704" i="8"/>
  <c r="L1720" i="8"/>
  <c r="L1736" i="8"/>
  <c r="L1752" i="8"/>
  <c r="L1768" i="8"/>
  <c r="L1784" i="8"/>
  <c r="L1798" i="8"/>
  <c r="L1809" i="8"/>
  <c r="L1820" i="8"/>
  <c r="L1830" i="8"/>
  <c r="L1841" i="8"/>
  <c r="L1852" i="8"/>
  <c r="L1862" i="8"/>
  <c r="L1870" i="8"/>
  <c r="L1878" i="8"/>
  <c r="L1886" i="8"/>
  <c r="L1894" i="8"/>
  <c r="L1902" i="8"/>
  <c r="L1910" i="8"/>
  <c r="L1918" i="8"/>
  <c r="L1926" i="8"/>
  <c r="L1934" i="8"/>
  <c r="L1942" i="8"/>
  <c r="L1950" i="8"/>
  <c r="L1958" i="8"/>
  <c r="L1966" i="8"/>
  <c r="L1974" i="8"/>
  <c r="L1982" i="8"/>
  <c r="L1990" i="8"/>
  <c r="L1998" i="8"/>
  <c r="L2006" i="8"/>
  <c r="L787" i="8"/>
  <c r="L1043" i="8"/>
  <c r="L1236" i="8"/>
  <c r="L1277" i="8"/>
  <c r="L1309" i="8"/>
  <c r="L1338" i="8"/>
  <c r="L1360" i="8"/>
  <c r="L1380" i="8"/>
  <c r="L1402" i="8"/>
  <c r="L1424" i="8"/>
  <c r="L1444" i="8"/>
  <c r="L1466" i="8"/>
  <c r="L1488" i="8"/>
  <c r="L1508" i="8"/>
  <c r="L1530" i="8"/>
  <c r="L1552" i="8"/>
  <c r="L1572" i="8"/>
  <c r="L1594" i="8"/>
  <c r="L1616" i="8"/>
  <c r="L1636" i="8"/>
  <c r="L1658" i="8"/>
  <c r="L1674" i="8"/>
  <c r="L1690" i="8"/>
  <c r="L1706" i="8"/>
  <c r="L1722" i="8"/>
  <c r="L1738" i="8"/>
  <c r="L1754" i="8"/>
  <c r="L1770" i="8"/>
  <c r="L1786" i="8"/>
  <c r="L1800" i="8"/>
  <c r="L1810" i="8"/>
  <c r="L1821" i="8"/>
  <c r="L1832" i="8"/>
  <c r="L1842" i="8"/>
  <c r="L1853" i="8"/>
  <c r="L1863" i="8"/>
  <c r="L1871" i="8"/>
  <c r="L1879" i="8"/>
  <c r="L1887" i="8"/>
  <c r="L1895" i="8"/>
  <c r="L1903" i="8"/>
  <c r="L1911" i="8"/>
  <c r="L1919" i="8"/>
  <c r="L1927" i="8"/>
  <c r="L1935" i="8"/>
  <c r="L1943" i="8"/>
  <c r="L1951" i="8"/>
  <c r="L1959" i="8"/>
  <c r="L1967" i="8"/>
  <c r="L1975" i="8"/>
  <c r="L1983" i="8"/>
  <c r="L1991" i="8"/>
  <c r="L1999" i="8"/>
  <c r="L2007" i="8"/>
  <c r="L819" i="8"/>
  <c r="L1075" i="8"/>
  <c r="L1243" i="8"/>
  <c r="L1281" i="8"/>
  <c r="L1316" i="8"/>
  <c r="L1340" i="8"/>
  <c r="L1362" i="8"/>
  <c r="L1384" i="8"/>
  <c r="L1404" i="8"/>
  <c r="L1426" i="8"/>
  <c r="L1448" i="8"/>
  <c r="L1468" i="8"/>
  <c r="L1490" i="8"/>
  <c r="L1512" i="8"/>
  <c r="L1532" i="8"/>
  <c r="L1554" i="8"/>
  <c r="L1576" i="8"/>
  <c r="L1596" i="8"/>
  <c r="L1618" i="8"/>
  <c r="L1640" i="8"/>
  <c r="L1660" i="8"/>
  <c r="L1676" i="8"/>
  <c r="L1692" i="8"/>
  <c r="L1708" i="8"/>
  <c r="L1724" i="8"/>
  <c r="L1740" i="8"/>
  <c r="L1756" i="8"/>
  <c r="L1772" i="8"/>
  <c r="L1788" i="8"/>
  <c r="L1801" i="8"/>
  <c r="L1812" i="8"/>
  <c r="L1822" i="8"/>
  <c r="L1833" i="8"/>
  <c r="L1844" i="8"/>
  <c r="L1854" i="8"/>
  <c r="L1864" i="8"/>
  <c r="L1872" i="8"/>
  <c r="L1880" i="8"/>
  <c r="L1888" i="8"/>
  <c r="L1896" i="8"/>
  <c r="L1904" i="8"/>
  <c r="L1912" i="8"/>
  <c r="L1920" i="8"/>
  <c r="L1928" i="8"/>
  <c r="L1936" i="8"/>
  <c r="L1944" i="8"/>
  <c r="L1952" i="8"/>
  <c r="L1960" i="8"/>
  <c r="L1968" i="8"/>
  <c r="L1976" i="8"/>
  <c r="L1984" i="8"/>
  <c r="L1992" i="8"/>
  <c r="L2000" i="8"/>
  <c r="L2008" i="8"/>
  <c r="L851" i="8"/>
  <c r="L1408" i="8"/>
  <c r="L1578" i="8"/>
  <c r="L1726" i="8"/>
  <c r="L1834" i="8"/>
  <c r="L1905" i="8"/>
  <c r="L1969" i="8"/>
  <c r="L1107" i="8"/>
  <c r="L1428" i="8"/>
  <c r="L1600" i="8"/>
  <c r="L1742" i="8"/>
  <c r="L1845" i="8"/>
  <c r="L1913" i="8"/>
  <c r="L1977" i="8"/>
  <c r="L1252" i="8"/>
  <c r="L1450" i="8"/>
  <c r="L1620" i="8"/>
  <c r="L1758" i="8"/>
  <c r="L1856" i="8"/>
  <c r="L1921" i="8"/>
  <c r="L1985" i="8"/>
  <c r="L1284" i="8"/>
  <c r="L1472" i="8"/>
  <c r="L1642" i="8"/>
  <c r="L1774" i="8"/>
  <c r="L1865" i="8"/>
  <c r="L1929" i="8"/>
  <c r="L1993" i="8"/>
  <c r="L1318" i="8"/>
  <c r="L1492" i="8"/>
  <c r="L1662" i="8"/>
  <c r="L1790" i="8"/>
  <c r="L1873" i="8"/>
  <c r="L1937" i="8"/>
  <c r="L2001" i="8"/>
  <c r="L1344" i="8"/>
  <c r="L1514" i="8"/>
  <c r="L1678" i="8"/>
  <c r="L1802" i="8"/>
  <c r="L1881" i="8"/>
  <c r="L1945" i="8"/>
  <c r="L2009" i="8"/>
  <c r="L1364" i="8"/>
  <c r="L1536" i="8"/>
  <c r="L1694" i="8"/>
  <c r="L1813" i="8"/>
  <c r="L1889" i="8"/>
  <c r="L1953" i="8"/>
  <c r="L1386" i="8"/>
  <c r="L1556" i="8"/>
  <c r="L1897" i="8"/>
  <c r="L1710" i="8"/>
  <c r="L1824" i="8"/>
  <c r="L1961" i="8"/>
  <c r="U6" i="8"/>
  <c r="M98" i="8" s="1"/>
  <c r="S7" i="8"/>
  <c r="V56" i="10"/>
  <c r="V57" i="10" s="1"/>
  <c r="F56" i="10"/>
  <c r="F57" i="10" s="1"/>
  <c r="G56" i="10"/>
  <c r="G57" i="10" s="1"/>
  <c r="R7" i="8"/>
  <c r="P56" i="10"/>
  <c r="P57" i="10" s="1"/>
  <c r="O56" i="10"/>
  <c r="O57" i="10" s="1"/>
  <c r="J56" i="10"/>
  <c r="J57" i="10" s="1"/>
  <c r="R56" i="10"/>
  <c r="R57" i="10" s="1"/>
  <c r="D56" i="10"/>
  <c r="D57" i="10" s="1"/>
  <c r="S56" i="10"/>
  <c r="S57" i="10" s="1"/>
  <c r="M56" i="10"/>
  <c r="M57" i="10" s="1"/>
  <c r="U56" i="10"/>
  <c r="U57" i="10" s="1"/>
  <c r="I56" i="10"/>
  <c r="I57" i="10" s="1"/>
  <c r="C56" i="10"/>
  <c r="C57" i="10" s="1"/>
  <c r="L56" i="10"/>
  <c r="L57" i="10" s="1"/>
  <c r="B3" i="10"/>
  <c r="C3" i="10"/>
  <c r="D3" i="10"/>
  <c r="E3" i="10"/>
  <c r="F3" i="10"/>
  <c r="G3" i="10"/>
  <c r="H3" i="10"/>
  <c r="I3" i="10"/>
  <c r="A3" i="10"/>
  <c r="M1373" i="8" l="1"/>
  <c r="M1833" i="8"/>
  <c r="M1366" i="8"/>
  <c r="M1965" i="8"/>
  <c r="M1860" i="8"/>
  <c r="M1685" i="8"/>
  <c r="M1317" i="8"/>
  <c r="M1340" i="8"/>
  <c r="M1507" i="8"/>
  <c r="M1674" i="8"/>
  <c r="M815" i="8"/>
  <c r="M743" i="8"/>
  <c r="M1527" i="8"/>
  <c r="M1173" i="8"/>
  <c r="M874" i="8"/>
  <c r="M207" i="8"/>
  <c r="M180" i="8"/>
  <c r="M1977" i="8"/>
  <c r="M1992" i="8"/>
  <c r="M2006" i="8"/>
  <c r="M1901" i="8"/>
  <c r="M1792" i="8"/>
  <c r="M1478" i="8"/>
  <c r="M1788" i="8"/>
  <c r="M1276" i="8"/>
  <c r="M1443" i="8"/>
  <c r="M1610" i="8"/>
  <c r="M1729" i="8"/>
  <c r="M1520" i="8"/>
  <c r="M1399" i="8"/>
  <c r="M917" i="8"/>
  <c r="M208" i="8"/>
  <c r="M622" i="8"/>
  <c r="M595" i="8"/>
  <c r="M1880" i="8"/>
  <c r="M1983" i="8"/>
  <c r="M1878" i="8"/>
  <c r="M1733" i="8"/>
  <c r="M1389" i="8"/>
  <c r="M1970" i="8"/>
  <c r="M1660" i="8"/>
  <c r="M831" i="8"/>
  <c r="M1315" i="8"/>
  <c r="M1482" i="8"/>
  <c r="M1569" i="8"/>
  <c r="M1344" i="8"/>
  <c r="M1168" i="8"/>
  <c r="M1052" i="8"/>
  <c r="M721" i="8"/>
  <c r="M110" i="8"/>
  <c r="M83" i="8"/>
  <c r="M1198" i="8"/>
  <c r="M1919" i="8"/>
  <c r="M1814" i="8"/>
  <c r="M1550" i="8"/>
  <c r="M711" i="8"/>
  <c r="M1906" i="8"/>
  <c r="M1596" i="8"/>
  <c r="M1763" i="8"/>
  <c r="M1248" i="8"/>
  <c r="M1418" i="8"/>
  <c r="M1473" i="8"/>
  <c r="M1263" i="8"/>
  <c r="M960" i="8"/>
  <c r="M796" i="8"/>
  <c r="M553" i="8"/>
  <c r="M533" i="8"/>
  <c r="M506" i="8"/>
  <c r="M1742" i="8"/>
  <c r="M1855" i="8"/>
  <c r="M1670" i="8"/>
  <c r="M1294" i="8"/>
  <c r="M1947" i="8"/>
  <c r="M1842" i="8"/>
  <c r="M1532" i="8"/>
  <c r="M1699" i="8"/>
  <c r="M1143" i="8"/>
  <c r="M1354" i="8"/>
  <c r="M1393" i="8"/>
  <c r="M991" i="8"/>
  <c r="M704" i="8"/>
  <c r="M1091" i="8"/>
  <c r="M297" i="8"/>
  <c r="M277" i="8"/>
  <c r="M250" i="8"/>
  <c r="M1857" i="8"/>
  <c r="M1936" i="8"/>
  <c r="M1781" i="8"/>
  <c r="M1461" i="8"/>
  <c r="M1988" i="8"/>
  <c r="M1883" i="8"/>
  <c r="M1744" i="8"/>
  <c r="M1468" i="8"/>
  <c r="M1635" i="8"/>
  <c r="M312" i="8"/>
  <c r="M1290" i="8"/>
  <c r="M1313" i="8"/>
  <c r="M1767" i="8"/>
  <c r="M1006" i="8"/>
  <c r="M835" i="8"/>
  <c r="M41" i="8"/>
  <c r="M21" i="8"/>
  <c r="M1614" i="8"/>
  <c r="M1824" i="8"/>
  <c r="M1889" i="8"/>
  <c r="M1945" i="8"/>
  <c r="M1470" i="8"/>
  <c r="M1848" i="8"/>
  <c r="M2001" i="8"/>
  <c r="M1656" i="8"/>
  <c r="M1904" i="8"/>
  <c r="M1309" i="8"/>
  <c r="M1801" i="8"/>
  <c r="M1960" i="8"/>
  <c r="M1533" i="8"/>
  <c r="M1975" i="8"/>
  <c r="M1911" i="8"/>
  <c r="M1847" i="8"/>
  <c r="M1758" i="8"/>
  <c r="M1589" i="8"/>
  <c r="M1334" i="8"/>
  <c r="M1998" i="8"/>
  <c r="M1934" i="8"/>
  <c r="M1870" i="8"/>
  <c r="M1806" i="8"/>
  <c r="M1648" i="8"/>
  <c r="M1429" i="8"/>
  <c r="M1031" i="8"/>
  <c r="M1957" i="8"/>
  <c r="M1893" i="8"/>
  <c r="M1829" i="8"/>
  <c r="M1710" i="8"/>
  <c r="M1518" i="8"/>
  <c r="M1260" i="8"/>
  <c r="M1980" i="8"/>
  <c r="M1916" i="8"/>
  <c r="M1852" i="8"/>
  <c r="M1773" i="8"/>
  <c r="M1600" i="8"/>
  <c r="M1357" i="8"/>
  <c r="M2003" i="8"/>
  <c r="M1939" i="8"/>
  <c r="M1875" i="8"/>
  <c r="M1811" i="8"/>
  <c r="M1662" i="8"/>
  <c r="M1446" i="8"/>
  <c r="M1151" i="8"/>
  <c r="M1962" i="8"/>
  <c r="M1898" i="8"/>
  <c r="M1834" i="8"/>
  <c r="M1725" i="8"/>
  <c r="M1541" i="8"/>
  <c r="M1285" i="8"/>
  <c r="M1780" i="8"/>
  <c r="M1716" i="8"/>
  <c r="M1652" i="8"/>
  <c r="M1588" i="8"/>
  <c r="M1524" i="8"/>
  <c r="M1460" i="8"/>
  <c r="M1396" i="8"/>
  <c r="M1332" i="8"/>
  <c r="M1267" i="8"/>
  <c r="M1179" i="8"/>
  <c r="M767" i="8"/>
  <c r="M1755" i="8"/>
  <c r="M1691" i="8"/>
  <c r="M1627" i="8"/>
  <c r="M1563" i="8"/>
  <c r="M1499" i="8"/>
  <c r="M1435" i="8"/>
  <c r="M1371" i="8"/>
  <c r="M1307" i="8"/>
  <c r="M1239" i="8"/>
  <c r="M1079" i="8"/>
  <c r="M1794" i="8"/>
  <c r="M1730" i="8"/>
  <c r="M1666" i="8"/>
  <c r="M1602" i="8"/>
  <c r="M1538" i="8"/>
  <c r="M1474" i="8"/>
  <c r="M1410" i="8"/>
  <c r="M1346" i="8"/>
  <c r="M1282" i="8"/>
  <c r="M1206" i="8"/>
  <c r="M248" i="8"/>
  <c r="M1721" i="8"/>
  <c r="M1641" i="8"/>
  <c r="M1545" i="8"/>
  <c r="M1465" i="8"/>
  <c r="M1385" i="8"/>
  <c r="M1289" i="8"/>
  <c r="M1190" i="8"/>
  <c r="M678" i="8"/>
  <c r="M1496" i="8"/>
  <c r="M1416" i="8"/>
  <c r="M1336" i="8"/>
  <c r="M1234" i="8"/>
  <c r="M927" i="8"/>
  <c r="M1759" i="8"/>
  <c r="M1647" i="8"/>
  <c r="M1519" i="8"/>
  <c r="M1391" i="8"/>
  <c r="M1233" i="8"/>
  <c r="M1152" i="8"/>
  <c r="M936" i="8"/>
  <c r="M680" i="8"/>
  <c r="M982" i="8"/>
  <c r="M726" i="8"/>
  <c r="M1149" i="8"/>
  <c r="M893" i="8"/>
  <c r="M360" i="8"/>
  <c r="M1028" i="8"/>
  <c r="M772" i="8"/>
  <c r="M1067" i="8"/>
  <c r="M811" i="8"/>
  <c r="M1106" i="8"/>
  <c r="M850" i="8"/>
  <c r="M16" i="8"/>
  <c r="M953" i="8"/>
  <c r="M697" i="8"/>
  <c r="M529" i="8"/>
  <c r="M273" i="8"/>
  <c r="M17" i="8"/>
  <c r="M439" i="8"/>
  <c r="M183" i="8"/>
  <c r="M598" i="8"/>
  <c r="M342" i="8"/>
  <c r="M86" i="8"/>
  <c r="M509" i="8"/>
  <c r="M253" i="8"/>
  <c r="M668" i="8"/>
  <c r="M412" i="8"/>
  <c r="M156" i="8"/>
  <c r="M571" i="8"/>
  <c r="M315" i="8"/>
  <c r="M59" i="8"/>
  <c r="M482" i="8"/>
  <c r="M226" i="8"/>
  <c r="M1984" i="8"/>
  <c r="M1501" i="8"/>
  <c r="M1701" i="8"/>
  <c r="M1913" i="8"/>
  <c r="M1342" i="8"/>
  <c r="M1816" i="8"/>
  <c r="M1969" i="8"/>
  <c r="M1566" i="8"/>
  <c r="M1872" i="8"/>
  <c r="M1095" i="8"/>
  <c r="M1720" i="8"/>
  <c r="M1928" i="8"/>
  <c r="M1405" i="8"/>
  <c r="M1967" i="8"/>
  <c r="M1903" i="8"/>
  <c r="M1839" i="8"/>
  <c r="M1736" i="8"/>
  <c r="M1558" i="8"/>
  <c r="M1302" i="8"/>
  <c r="M1990" i="8"/>
  <c r="M1926" i="8"/>
  <c r="M1862" i="8"/>
  <c r="M1798" i="8"/>
  <c r="M1629" i="8"/>
  <c r="M1397" i="8"/>
  <c r="M775" i="8"/>
  <c r="M1949" i="8"/>
  <c r="M1885" i="8"/>
  <c r="M1821" i="8"/>
  <c r="M1688" i="8"/>
  <c r="M1486" i="8"/>
  <c r="M1222" i="8"/>
  <c r="M1972" i="8"/>
  <c r="M1908" i="8"/>
  <c r="M1844" i="8"/>
  <c r="M1750" i="8"/>
  <c r="M1581" i="8"/>
  <c r="M1325" i="8"/>
  <c r="M1995" i="8"/>
  <c r="M1931" i="8"/>
  <c r="M1867" i="8"/>
  <c r="M1803" i="8"/>
  <c r="M1640" i="8"/>
  <c r="M1414" i="8"/>
  <c r="M911" i="8"/>
  <c r="M1954" i="8"/>
  <c r="M1890" i="8"/>
  <c r="M1826" i="8"/>
  <c r="M1702" i="8"/>
  <c r="M1509" i="8"/>
  <c r="M1250" i="8"/>
  <c r="M1772" i="8"/>
  <c r="M1708" i="8"/>
  <c r="M1644" i="8"/>
  <c r="M1580" i="8"/>
  <c r="M1516" i="8"/>
  <c r="M1452" i="8"/>
  <c r="M1388" i="8"/>
  <c r="M1324" i="8"/>
  <c r="M1258" i="8"/>
  <c r="M1163" i="8"/>
  <c r="M703" i="8"/>
  <c r="M1747" i="8"/>
  <c r="M1683" i="8"/>
  <c r="M1619" i="8"/>
  <c r="M1555" i="8"/>
  <c r="M1491" i="8"/>
  <c r="M1427" i="8"/>
  <c r="M1363" i="8"/>
  <c r="M1299" i="8"/>
  <c r="M1227" i="8"/>
  <c r="M1015" i="8"/>
  <c r="M1786" i="8"/>
  <c r="M1722" i="8"/>
  <c r="M1658" i="8"/>
  <c r="M1594" i="8"/>
  <c r="M1530" i="8"/>
  <c r="M1466" i="8"/>
  <c r="M1402" i="8"/>
  <c r="M1338" i="8"/>
  <c r="M1274" i="8"/>
  <c r="M1191" i="8"/>
  <c r="M1793" i="8"/>
  <c r="M1713" i="8"/>
  <c r="M1633" i="8"/>
  <c r="M1537" i="8"/>
  <c r="M1457" i="8"/>
  <c r="M1377" i="8"/>
  <c r="M1281" i="8"/>
  <c r="M1174" i="8"/>
  <c r="M184" i="8"/>
  <c r="M1488" i="8"/>
  <c r="M1408" i="8"/>
  <c r="M1328" i="8"/>
  <c r="M1224" i="8"/>
  <c r="M863" i="8"/>
  <c r="M1751" i="8"/>
  <c r="M1623" i="8"/>
  <c r="M1495" i="8"/>
  <c r="M1367" i="8"/>
  <c r="M1200" i="8"/>
  <c r="M1128" i="8"/>
  <c r="M896" i="8"/>
  <c r="M384" i="8"/>
  <c r="M942" i="8"/>
  <c r="M686" i="8"/>
  <c r="M1109" i="8"/>
  <c r="M853" i="8"/>
  <c r="M40" i="8"/>
  <c r="M988" i="8"/>
  <c r="M732" i="8"/>
  <c r="M1027" i="8"/>
  <c r="M771" i="8"/>
  <c r="M1066" i="8"/>
  <c r="M810" i="8"/>
  <c r="M1169" i="8"/>
  <c r="M913" i="8"/>
  <c r="M520" i="8"/>
  <c r="M489" i="8"/>
  <c r="M233" i="8"/>
  <c r="M655" i="8"/>
  <c r="M399" i="8"/>
  <c r="M143" i="8"/>
  <c r="M558" i="8"/>
  <c r="M302" i="8"/>
  <c r="M46" i="8"/>
  <c r="M469" i="8"/>
  <c r="M213" i="8"/>
  <c r="M628" i="8"/>
  <c r="M372" i="8"/>
  <c r="M116" i="8"/>
  <c r="M531" i="8"/>
  <c r="M275" i="8"/>
  <c r="M19" i="8"/>
  <c r="M442" i="8"/>
  <c r="M186" i="8"/>
  <c r="M1856" i="8"/>
  <c r="M1921" i="8"/>
  <c r="M1242" i="8"/>
  <c r="M1881" i="8"/>
  <c r="M1199" i="8"/>
  <c r="M1760" i="8"/>
  <c r="M1937" i="8"/>
  <c r="M1438" i="8"/>
  <c r="M1840" i="8"/>
  <c r="M1993" i="8"/>
  <c r="M1637" i="8"/>
  <c r="M1896" i="8"/>
  <c r="M1277" i="8"/>
  <c r="M1959" i="8"/>
  <c r="M1895" i="8"/>
  <c r="M1831" i="8"/>
  <c r="M1717" i="8"/>
  <c r="M1526" i="8"/>
  <c r="M1270" i="8"/>
  <c r="M1982" i="8"/>
  <c r="M1918" i="8"/>
  <c r="M1854" i="8"/>
  <c r="M1776" i="8"/>
  <c r="M1606" i="8"/>
  <c r="M1365" i="8"/>
  <c r="M2005" i="8"/>
  <c r="M1941" i="8"/>
  <c r="M1877" i="8"/>
  <c r="M1813" i="8"/>
  <c r="M1669" i="8"/>
  <c r="M1454" i="8"/>
  <c r="M1167" i="8"/>
  <c r="M1964" i="8"/>
  <c r="M1900" i="8"/>
  <c r="M1836" i="8"/>
  <c r="M1728" i="8"/>
  <c r="M1549" i="8"/>
  <c r="M1293" i="8"/>
  <c r="M1987" i="8"/>
  <c r="M1923" i="8"/>
  <c r="M1859" i="8"/>
  <c r="M1790" i="8"/>
  <c r="M1621" i="8"/>
  <c r="M1382" i="8"/>
  <c r="M504" i="8"/>
  <c r="M1946" i="8"/>
  <c r="M1882" i="8"/>
  <c r="M1818" i="8"/>
  <c r="M1680" i="8"/>
  <c r="M1477" i="8"/>
  <c r="M1209" i="8"/>
  <c r="M1764" i="8"/>
  <c r="M1700" i="8"/>
  <c r="M1636" i="8"/>
  <c r="M1572" i="8"/>
  <c r="M1508" i="8"/>
  <c r="M1444" i="8"/>
  <c r="M1380" i="8"/>
  <c r="M1316" i="8"/>
  <c r="M1249" i="8"/>
  <c r="M1146" i="8"/>
  <c r="M376" i="8"/>
  <c r="M1739" i="8"/>
  <c r="M1675" i="8"/>
  <c r="M1611" i="8"/>
  <c r="M1547" i="8"/>
  <c r="M1483" i="8"/>
  <c r="M1419" i="8"/>
  <c r="M1355" i="8"/>
  <c r="M1291" i="8"/>
  <c r="M1217" i="8"/>
  <c r="M951" i="8"/>
  <c r="M1778" i="8"/>
  <c r="M1714" i="8"/>
  <c r="M1650" i="8"/>
  <c r="M1586" i="8"/>
  <c r="M1522" i="8"/>
  <c r="M1458" i="8"/>
  <c r="M1394" i="8"/>
  <c r="M1330" i="8"/>
  <c r="M1265" i="8"/>
  <c r="M1135" i="8"/>
  <c r="M1785" i="8"/>
  <c r="M1705" i="8"/>
  <c r="M1609" i="8"/>
  <c r="M1529" i="8"/>
  <c r="M1449" i="8"/>
  <c r="M1353" i="8"/>
  <c r="M1273" i="8"/>
  <c r="M1158" i="8"/>
  <c r="M1560" i="8"/>
  <c r="M1480" i="8"/>
  <c r="M1400" i="8"/>
  <c r="M1304" i="8"/>
  <c r="M1214" i="8"/>
  <c r="M799" i="8"/>
  <c r="M1727" i="8"/>
  <c r="M1599" i="8"/>
  <c r="M1471" i="8"/>
  <c r="M1343" i="8"/>
  <c r="M1170" i="8"/>
  <c r="M1104" i="8"/>
  <c r="M872" i="8"/>
  <c r="M192" i="8"/>
  <c r="M918" i="8"/>
  <c r="M560" i="8"/>
  <c r="M1085" i="8"/>
  <c r="M829" i="8"/>
  <c r="M1220" i="8"/>
  <c r="M964" i="8"/>
  <c r="M708" i="8"/>
  <c r="M1003" i="8"/>
  <c r="M747" i="8"/>
  <c r="M1042" i="8"/>
  <c r="M786" i="8"/>
  <c r="M1145" i="8"/>
  <c r="M889" i="8"/>
  <c r="M328" i="8"/>
  <c r="M465" i="8"/>
  <c r="M209" i="8"/>
  <c r="M631" i="8"/>
  <c r="M375" i="8"/>
  <c r="M119" i="8"/>
  <c r="M534" i="8"/>
  <c r="M278" i="8"/>
  <c r="M22" i="8"/>
  <c r="M445" i="8"/>
  <c r="M189" i="8"/>
  <c r="M604" i="8"/>
  <c r="M348" i="8"/>
  <c r="M92" i="8"/>
  <c r="M507" i="8"/>
  <c r="M251" i="8"/>
  <c r="M674" i="8"/>
  <c r="M418" i="8"/>
  <c r="M162" i="8"/>
  <c r="M1613" i="8"/>
  <c r="M1784" i="8"/>
  <c r="M1888" i="8"/>
  <c r="M1849" i="8"/>
  <c r="M2008" i="8"/>
  <c r="M1677" i="8"/>
  <c r="M1905" i="8"/>
  <c r="M1310" i="8"/>
  <c r="M1808" i="8"/>
  <c r="M1961" i="8"/>
  <c r="M1534" i="8"/>
  <c r="M1864" i="8"/>
  <c r="M839" i="8"/>
  <c r="M1951" i="8"/>
  <c r="M1887" i="8"/>
  <c r="M1823" i="8"/>
  <c r="M1694" i="8"/>
  <c r="M1494" i="8"/>
  <c r="M1232" i="8"/>
  <c r="M1974" i="8"/>
  <c r="M1910" i="8"/>
  <c r="M1846" i="8"/>
  <c r="M1757" i="8"/>
  <c r="M1584" i="8"/>
  <c r="M1333" i="8"/>
  <c r="M1997" i="8"/>
  <c r="M1933" i="8"/>
  <c r="M1869" i="8"/>
  <c r="M1805" i="8"/>
  <c r="M1646" i="8"/>
  <c r="M1422" i="8"/>
  <c r="M975" i="8"/>
  <c r="M1956" i="8"/>
  <c r="M1892" i="8"/>
  <c r="M1828" i="8"/>
  <c r="M1709" i="8"/>
  <c r="M1517" i="8"/>
  <c r="M1259" i="8"/>
  <c r="M1979" i="8"/>
  <c r="M1915" i="8"/>
  <c r="M1851" i="8"/>
  <c r="M1768" i="8"/>
  <c r="M1598" i="8"/>
  <c r="M1350" i="8"/>
  <c r="M2002" i="8"/>
  <c r="M1938" i="8"/>
  <c r="M1874" i="8"/>
  <c r="M1810" i="8"/>
  <c r="M1661" i="8"/>
  <c r="M1445" i="8"/>
  <c r="M1147" i="8"/>
  <c r="M1756" i="8"/>
  <c r="M1692" i="8"/>
  <c r="M1628" i="8"/>
  <c r="M1564" i="8"/>
  <c r="M1500" i="8"/>
  <c r="M1436" i="8"/>
  <c r="M1372" i="8"/>
  <c r="M1308" i="8"/>
  <c r="M1240" i="8"/>
  <c r="M1087" i="8"/>
  <c r="M1795" i="8"/>
  <c r="M1731" i="8"/>
  <c r="M1667" i="8"/>
  <c r="M1603" i="8"/>
  <c r="M1539" i="8"/>
  <c r="M1475" i="8"/>
  <c r="M1411" i="8"/>
  <c r="M1347" i="8"/>
  <c r="M1283" i="8"/>
  <c r="M1207" i="8"/>
  <c r="M887" i="8"/>
  <c r="M1770" i="8"/>
  <c r="M1706" i="8"/>
  <c r="M1642" i="8"/>
  <c r="M1578" i="8"/>
  <c r="M1514" i="8"/>
  <c r="M1450" i="8"/>
  <c r="M1386" i="8"/>
  <c r="M1322" i="8"/>
  <c r="M1256" i="8"/>
  <c r="M1071" i="8"/>
  <c r="M1777" i="8"/>
  <c r="M1697" i="8"/>
  <c r="M1601" i="8"/>
  <c r="M1521" i="8"/>
  <c r="M1441" i="8"/>
  <c r="M1345" i="8"/>
  <c r="M1264" i="8"/>
  <c r="M1127" i="8"/>
  <c r="M1552" i="8"/>
  <c r="M1472" i="8"/>
  <c r="M1392" i="8"/>
  <c r="M1296" i="8"/>
  <c r="M1202" i="8"/>
  <c r="M735" i="8"/>
  <c r="M1719" i="8"/>
  <c r="M1591" i="8"/>
  <c r="M1463" i="8"/>
  <c r="M1335" i="8"/>
  <c r="M1047" i="8"/>
  <c r="M1088" i="8"/>
  <c r="M832" i="8"/>
  <c r="M1134" i="8"/>
  <c r="M878" i="8"/>
  <c r="M240" i="8"/>
  <c r="M1045" i="8"/>
  <c r="M789" i="8"/>
  <c r="M1180" i="8"/>
  <c r="M924" i="8"/>
  <c r="M608" i="8"/>
  <c r="M963" i="8"/>
  <c r="M707" i="8"/>
  <c r="M1002" i="8"/>
  <c r="M746" i="8"/>
  <c r="M1105" i="8"/>
  <c r="M849" i="8"/>
  <c r="M8" i="8"/>
  <c r="M425" i="8"/>
  <c r="M169" i="8"/>
  <c r="M591" i="8"/>
  <c r="M335" i="8"/>
  <c r="M79" i="8"/>
  <c r="M494" i="8"/>
  <c r="M238" i="8"/>
  <c r="M661" i="8"/>
  <c r="M405" i="8"/>
  <c r="M149" i="8"/>
  <c r="M564" i="8"/>
  <c r="M308" i="8"/>
  <c r="M52" i="8"/>
  <c r="M467" i="8"/>
  <c r="M211" i="8"/>
  <c r="M634" i="8"/>
  <c r="M378" i="8"/>
  <c r="M122" i="8"/>
  <c r="K2" i="8"/>
  <c r="K10" i="8"/>
  <c r="K18" i="8"/>
  <c r="K26" i="8"/>
  <c r="K34" i="8"/>
  <c r="K42" i="8"/>
  <c r="K50" i="8"/>
  <c r="K58" i="8"/>
  <c r="K66" i="8"/>
  <c r="K74" i="8"/>
  <c r="K82" i="8"/>
  <c r="K90" i="8"/>
  <c r="K98" i="8"/>
  <c r="K106" i="8"/>
  <c r="K114" i="8"/>
  <c r="K122" i="8"/>
  <c r="K130" i="8"/>
  <c r="K138" i="8"/>
  <c r="K146" i="8"/>
  <c r="K154" i="8"/>
  <c r="K162" i="8"/>
  <c r="K170" i="8"/>
  <c r="K178" i="8"/>
  <c r="K186" i="8"/>
  <c r="K194" i="8"/>
  <c r="K202" i="8"/>
  <c r="K210" i="8"/>
  <c r="K218" i="8"/>
  <c r="K226" i="8"/>
  <c r="K234" i="8"/>
  <c r="K242" i="8"/>
  <c r="K250" i="8"/>
  <c r="K258" i="8"/>
  <c r="K266" i="8"/>
  <c r="K274" i="8"/>
  <c r="K282" i="8"/>
  <c r="K290" i="8"/>
  <c r="K298" i="8"/>
  <c r="K306" i="8"/>
  <c r="K314" i="8"/>
  <c r="K322" i="8"/>
  <c r="K330" i="8"/>
  <c r="K338" i="8"/>
  <c r="K346" i="8"/>
  <c r="K354" i="8"/>
  <c r="K362" i="8"/>
  <c r="K370" i="8"/>
  <c r="K378" i="8"/>
  <c r="K386" i="8"/>
  <c r="K394" i="8"/>
  <c r="K402" i="8"/>
  <c r="K410" i="8"/>
  <c r="K418" i="8"/>
  <c r="K426" i="8"/>
  <c r="K434" i="8"/>
  <c r="K442" i="8"/>
  <c r="K450" i="8"/>
  <c r="K458" i="8"/>
  <c r="K466" i="8"/>
  <c r="K474" i="8"/>
  <c r="K482" i="8"/>
  <c r="K490" i="8"/>
  <c r="K498" i="8"/>
  <c r="K506" i="8"/>
  <c r="K514" i="8"/>
  <c r="K522" i="8"/>
  <c r="K530" i="8"/>
  <c r="K538" i="8"/>
  <c r="K546" i="8"/>
  <c r="K554" i="8"/>
  <c r="K562" i="8"/>
  <c r="K570" i="8"/>
  <c r="K578" i="8"/>
  <c r="K586" i="8"/>
  <c r="K594" i="8"/>
  <c r="K602" i="8"/>
  <c r="K610" i="8"/>
  <c r="K618" i="8"/>
  <c r="K626" i="8"/>
  <c r="K634" i="8"/>
  <c r="K3" i="8"/>
  <c r="K11" i="8"/>
  <c r="K19" i="8"/>
  <c r="K27" i="8"/>
  <c r="K35" i="8"/>
  <c r="K43" i="8"/>
  <c r="K51" i="8"/>
  <c r="K59" i="8"/>
  <c r="K67" i="8"/>
  <c r="K75" i="8"/>
  <c r="K83" i="8"/>
  <c r="K91" i="8"/>
  <c r="K99" i="8"/>
  <c r="K107" i="8"/>
  <c r="K115" i="8"/>
  <c r="K123" i="8"/>
  <c r="K131" i="8"/>
  <c r="K139" i="8"/>
  <c r="K147" i="8"/>
  <c r="K155" i="8"/>
  <c r="K163" i="8"/>
  <c r="K171" i="8"/>
  <c r="K179" i="8"/>
  <c r="K187" i="8"/>
  <c r="K195" i="8"/>
  <c r="K203" i="8"/>
  <c r="K211" i="8"/>
  <c r="K219" i="8"/>
  <c r="K227" i="8"/>
  <c r="K235" i="8"/>
  <c r="K243" i="8"/>
  <c r="K251" i="8"/>
  <c r="K259" i="8"/>
  <c r="K267" i="8"/>
  <c r="K275" i="8"/>
  <c r="K283" i="8"/>
  <c r="K291" i="8"/>
  <c r="K299" i="8"/>
  <c r="K307" i="8"/>
  <c r="K315" i="8"/>
  <c r="K323" i="8"/>
  <c r="K331" i="8"/>
  <c r="K339" i="8"/>
  <c r="K347" i="8"/>
  <c r="K355" i="8"/>
  <c r="K363" i="8"/>
  <c r="K371" i="8"/>
  <c r="K379" i="8"/>
  <c r="K387" i="8"/>
  <c r="K395" i="8"/>
  <c r="K403" i="8"/>
  <c r="K411" i="8"/>
  <c r="K419" i="8"/>
  <c r="K427" i="8"/>
  <c r="K435" i="8"/>
  <c r="K443" i="8"/>
  <c r="K451" i="8"/>
  <c r="K459" i="8"/>
  <c r="K467" i="8"/>
  <c r="K475" i="8"/>
  <c r="K483" i="8"/>
  <c r="K491" i="8"/>
  <c r="K499" i="8"/>
  <c r="K507" i="8"/>
  <c r="K515" i="8"/>
  <c r="K523" i="8"/>
  <c r="K531" i="8"/>
  <c r="K539" i="8"/>
  <c r="K547" i="8"/>
  <c r="K555" i="8"/>
  <c r="K563" i="8"/>
  <c r="K571" i="8"/>
  <c r="K579" i="8"/>
  <c r="K587" i="8"/>
  <c r="K595" i="8"/>
  <c r="K603" i="8"/>
  <c r="K611" i="8"/>
  <c r="K619" i="8"/>
  <c r="K627" i="8"/>
  <c r="K635" i="8"/>
  <c r="K4" i="8"/>
  <c r="K12" i="8"/>
  <c r="K20" i="8"/>
  <c r="K28" i="8"/>
  <c r="K36" i="8"/>
  <c r="K44" i="8"/>
  <c r="K52" i="8"/>
  <c r="K60" i="8"/>
  <c r="K68" i="8"/>
  <c r="K76" i="8"/>
  <c r="K84" i="8"/>
  <c r="K92" i="8"/>
  <c r="K100" i="8"/>
  <c r="K108" i="8"/>
  <c r="K116" i="8"/>
  <c r="K124" i="8"/>
  <c r="K132" i="8"/>
  <c r="K140" i="8"/>
  <c r="K148" i="8"/>
  <c r="K156" i="8"/>
  <c r="K164" i="8"/>
  <c r="K172" i="8"/>
  <c r="K180" i="8"/>
  <c r="K188" i="8"/>
  <c r="K196" i="8"/>
  <c r="K204" i="8"/>
  <c r="K212" i="8"/>
  <c r="K220" i="8"/>
  <c r="K228" i="8"/>
  <c r="K236" i="8"/>
  <c r="K244" i="8"/>
  <c r="K252" i="8"/>
  <c r="K260" i="8"/>
  <c r="K268" i="8"/>
  <c r="K276" i="8"/>
  <c r="K5" i="8"/>
  <c r="K13" i="8"/>
  <c r="K21" i="8"/>
  <c r="K29" i="8"/>
  <c r="K37" i="8"/>
  <c r="K45" i="8"/>
  <c r="K53" i="8"/>
  <c r="K61" i="8"/>
  <c r="K69" i="8"/>
  <c r="K77" i="8"/>
  <c r="K85" i="8"/>
  <c r="K93" i="8"/>
  <c r="K101" i="8"/>
  <c r="K109" i="8"/>
  <c r="K117" i="8"/>
  <c r="K125" i="8"/>
  <c r="K133" i="8"/>
  <c r="K141" i="8"/>
  <c r="K149" i="8"/>
  <c r="K157" i="8"/>
  <c r="K165" i="8"/>
  <c r="K173" i="8"/>
  <c r="K181" i="8"/>
  <c r="K189" i="8"/>
  <c r="K197" i="8"/>
  <c r="K205" i="8"/>
  <c r="K213" i="8"/>
  <c r="K221" i="8"/>
  <c r="K229" i="8"/>
  <c r="K237" i="8"/>
  <c r="K245" i="8"/>
  <c r="K253" i="8"/>
  <c r="K261" i="8"/>
  <c r="K269" i="8"/>
  <c r="K277" i="8"/>
  <c r="K285" i="8"/>
  <c r="K293" i="8"/>
  <c r="K301" i="8"/>
  <c r="K309" i="8"/>
  <c r="K317" i="8"/>
  <c r="K325" i="8"/>
  <c r="K333" i="8"/>
  <c r="K341" i="8"/>
  <c r="K349" i="8"/>
  <c r="K357" i="8"/>
  <c r="K365" i="8"/>
  <c r="K373" i="8"/>
  <c r="K381" i="8"/>
  <c r="K389" i="8"/>
  <c r="K397" i="8"/>
  <c r="K405" i="8"/>
  <c r="K413" i="8"/>
  <c r="K421" i="8"/>
  <c r="K429" i="8"/>
  <c r="K437" i="8"/>
  <c r="K445" i="8"/>
  <c r="K453" i="8"/>
  <c r="K461" i="8"/>
  <c r="K469" i="8"/>
  <c r="K477" i="8"/>
  <c r="K485" i="8"/>
  <c r="K493" i="8"/>
  <c r="K501" i="8"/>
  <c r="K509" i="8"/>
  <c r="K517" i="8"/>
  <c r="K525" i="8"/>
  <c r="K533" i="8"/>
  <c r="K541" i="8"/>
  <c r="K549" i="8"/>
  <c r="K557" i="8"/>
  <c r="K565" i="8"/>
  <c r="K573" i="8"/>
  <c r="K581" i="8"/>
  <c r="K589" i="8"/>
  <c r="K597" i="8"/>
  <c r="K605" i="8"/>
  <c r="K613" i="8"/>
  <c r="K621" i="8"/>
  <c r="K629" i="8"/>
  <c r="K637" i="8"/>
  <c r="K645" i="8"/>
  <c r="K6" i="8"/>
  <c r="K14" i="8"/>
  <c r="K22" i="8"/>
  <c r="K30" i="8"/>
  <c r="K38" i="8"/>
  <c r="K46" i="8"/>
  <c r="K54" i="8"/>
  <c r="K62" i="8"/>
  <c r="K70" i="8"/>
  <c r="K78" i="8"/>
  <c r="K86" i="8"/>
  <c r="K94" i="8"/>
  <c r="K102" i="8"/>
  <c r="K110" i="8"/>
  <c r="K118" i="8"/>
  <c r="K126" i="8"/>
  <c r="K134" i="8"/>
  <c r="K142" i="8"/>
  <c r="K150" i="8"/>
  <c r="K158" i="8"/>
  <c r="K166" i="8"/>
  <c r="K174" i="8"/>
  <c r="K182" i="8"/>
  <c r="K190" i="8"/>
  <c r="K198" i="8"/>
  <c r="K206" i="8"/>
  <c r="K214" i="8"/>
  <c r="K222" i="8"/>
  <c r="K230" i="8"/>
  <c r="K238" i="8"/>
  <c r="K246" i="8"/>
  <c r="K254" i="8"/>
  <c r="K262" i="8"/>
  <c r="K270" i="8"/>
  <c r="K278" i="8"/>
  <c r="K286" i="8"/>
  <c r="K294" i="8"/>
  <c r="K302" i="8"/>
  <c r="K310" i="8"/>
  <c r="K318" i="8"/>
  <c r="K326" i="8"/>
  <c r="K334" i="8"/>
  <c r="K342" i="8"/>
  <c r="K350" i="8"/>
  <c r="K358" i="8"/>
  <c r="K366" i="8"/>
  <c r="K374" i="8"/>
  <c r="K382" i="8"/>
  <c r="K390" i="8"/>
  <c r="K398" i="8"/>
  <c r="K406" i="8"/>
  <c r="K414" i="8"/>
  <c r="K422" i="8"/>
  <c r="K430" i="8"/>
  <c r="K438" i="8"/>
  <c r="K7" i="8"/>
  <c r="K15" i="8"/>
  <c r="K23" i="8"/>
  <c r="K31" i="8"/>
  <c r="K39" i="8"/>
  <c r="K47" i="8"/>
  <c r="K55" i="8"/>
  <c r="K63" i="8"/>
  <c r="K71" i="8"/>
  <c r="K79" i="8"/>
  <c r="K87" i="8"/>
  <c r="K95" i="8"/>
  <c r="K103" i="8"/>
  <c r="K111" i="8"/>
  <c r="K119" i="8"/>
  <c r="K127" i="8"/>
  <c r="K135" i="8"/>
  <c r="K143" i="8"/>
  <c r="K151" i="8"/>
  <c r="K159" i="8"/>
  <c r="K167" i="8"/>
  <c r="K175" i="8"/>
  <c r="K183" i="8"/>
  <c r="K191" i="8"/>
  <c r="K199" i="8"/>
  <c r="K207" i="8"/>
  <c r="K215" i="8"/>
  <c r="K223" i="8"/>
  <c r="K231" i="8"/>
  <c r="K239" i="8"/>
  <c r="K247" i="8"/>
  <c r="K255" i="8"/>
  <c r="K263" i="8"/>
  <c r="K271" i="8"/>
  <c r="K279" i="8"/>
  <c r="K287" i="8"/>
  <c r="K295" i="8"/>
  <c r="K303" i="8"/>
  <c r="K311" i="8"/>
  <c r="K319" i="8"/>
  <c r="K327" i="8"/>
  <c r="K335" i="8"/>
  <c r="K343" i="8"/>
  <c r="K351" i="8"/>
  <c r="K359" i="8"/>
  <c r="K367" i="8"/>
  <c r="K375" i="8"/>
  <c r="K383" i="8"/>
  <c r="K391" i="8"/>
  <c r="K399" i="8"/>
  <c r="K407" i="8"/>
  <c r="K415" i="8"/>
  <c r="K423" i="8"/>
  <c r="K431" i="8"/>
  <c r="K439" i="8"/>
  <c r="K447" i="8"/>
  <c r="K455" i="8"/>
  <c r="K463" i="8"/>
  <c r="K471" i="8"/>
  <c r="K479" i="8"/>
  <c r="K487" i="8"/>
  <c r="K495" i="8"/>
  <c r="K503" i="8"/>
  <c r="K511" i="8"/>
  <c r="K519" i="8"/>
  <c r="K527" i="8"/>
  <c r="K535" i="8"/>
  <c r="K543" i="8"/>
  <c r="K551" i="8"/>
  <c r="K559" i="8"/>
  <c r="K567" i="8"/>
  <c r="K575" i="8"/>
  <c r="K583" i="8"/>
  <c r="K591" i="8"/>
  <c r="K599" i="8"/>
  <c r="K607" i="8"/>
  <c r="K8" i="8"/>
  <c r="K16" i="8"/>
  <c r="K24" i="8"/>
  <c r="K32" i="8"/>
  <c r="K40" i="8"/>
  <c r="K48" i="8"/>
  <c r="K56" i="8"/>
  <c r="K64" i="8"/>
  <c r="K72" i="8"/>
  <c r="K80" i="8"/>
  <c r="K88" i="8"/>
  <c r="K96" i="8"/>
  <c r="K104" i="8"/>
  <c r="K112" i="8"/>
  <c r="K120" i="8"/>
  <c r="K128" i="8"/>
  <c r="K136" i="8"/>
  <c r="K144" i="8"/>
  <c r="K152" i="8"/>
  <c r="K160" i="8"/>
  <c r="K168" i="8"/>
  <c r="K176" i="8"/>
  <c r="K184" i="8"/>
  <c r="K192" i="8"/>
  <c r="K200" i="8"/>
  <c r="K208" i="8"/>
  <c r="K216" i="8"/>
  <c r="K224" i="8"/>
  <c r="K232" i="8"/>
  <c r="K240" i="8"/>
  <c r="K248" i="8"/>
  <c r="K25" i="8"/>
  <c r="K89" i="8"/>
  <c r="K153" i="8"/>
  <c r="K217" i="8"/>
  <c r="K265" i="8"/>
  <c r="K292" i="8"/>
  <c r="K313" i="8"/>
  <c r="K336" i="8"/>
  <c r="K356" i="8"/>
  <c r="K377" i="8"/>
  <c r="K400" i="8"/>
  <c r="K420" i="8"/>
  <c r="K441" i="8"/>
  <c r="K457" i="8"/>
  <c r="K473" i="8"/>
  <c r="K489" i="8"/>
  <c r="K505" i="8"/>
  <c r="K521" i="8"/>
  <c r="K537" i="8"/>
  <c r="K553" i="8"/>
  <c r="K569" i="8"/>
  <c r="K585" i="8"/>
  <c r="K601" i="8"/>
  <c r="K616" i="8"/>
  <c r="K630" i="8"/>
  <c r="K641" i="8"/>
  <c r="K650" i="8"/>
  <c r="K658" i="8"/>
  <c r="K666" i="8"/>
  <c r="K674" i="8"/>
  <c r="K682" i="8"/>
  <c r="K690" i="8"/>
  <c r="K698" i="8"/>
  <c r="K706" i="8"/>
  <c r="K714" i="8"/>
  <c r="K722" i="8"/>
  <c r="K730" i="8"/>
  <c r="K738" i="8"/>
  <c r="K746" i="8"/>
  <c r="K754" i="8"/>
  <c r="K762" i="8"/>
  <c r="K770" i="8"/>
  <c r="K778" i="8"/>
  <c r="K786" i="8"/>
  <c r="K794" i="8"/>
  <c r="K802" i="8"/>
  <c r="K810" i="8"/>
  <c r="K818" i="8"/>
  <c r="K826" i="8"/>
  <c r="K834" i="8"/>
  <c r="K842" i="8"/>
  <c r="K850" i="8"/>
  <c r="K858" i="8"/>
  <c r="K866" i="8"/>
  <c r="K874" i="8"/>
  <c r="K882" i="8"/>
  <c r="K890" i="8"/>
  <c r="K898" i="8"/>
  <c r="K906" i="8"/>
  <c r="K914" i="8"/>
  <c r="K922" i="8"/>
  <c r="K930" i="8"/>
  <c r="K938" i="8"/>
  <c r="K946" i="8"/>
  <c r="K954" i="8"/>
  <c r="K962" i="8"/>
  <c r="K970" i="8"/>
  <c r="K978" i="8"/>
  <c r="K986" i="8"/>
  <c r="K994" i="8"/>
  <c r="K1002" i="8"/>
  <c r="K1010" i="8"/>
  <c r="K1018" i="8"/>
  <c r="K1026" i="8"/>
  <c r="K1034" i="8"/>
  <c r="K1042" i="8"/>
  <c r="K1050" i="8"/>
  <c r="K1058" i="8"/>
  <c r="K1066" i="8"/>
  <c r="K1074" i="8"/>
  <c r="K1082" i="8"/>
  <c r="K1090" i="8"/>
  <c r="K1098" i="8"/>
  <c r="K1106" i="8"/>
  <c r="K1114" i="8"/>
  <c r="K1122" i="8"/>
  <c r="K1130" i="8"/>
  <c r="K1138" i="8"/>
  <c r="K1146" i="8"/>
  <c r="K1154" i="8"/>
  <c r="K1162" i="8"/>
  <c r="K1170" i="8"/>
  <c r="K1178" i="8"/>
  <c r="K1186" i="8"/>
  <c r="K1194" i="8"/>
  <c r="K1202" i="8"/>
  <c r="K1210" i="8"/>
  <c r="K1218" i="8"/>
  <c r="K1226" i="8"/>
  <c r="K1234" i="8"/>
  <c r="K1242" i="8"/>
  <c r="K1250" i="8"/>
  <c r="K1258" i="8"/>
  <c r="K1266" i="8"/>
  <c r="K1274" i="8"/>
  <c r="K1282" i="8"/>
  <c r="K1290" i="8"/>
  <c r="K1298" i="8"/>
  <c r="K1306" i="8"/>
  <c r="K1314" i="8"/>
  <c r="K1322" i="8"/>
  <c r="K1330" i="8"/>
  <c r="K1338" i="8"/>
  <c r="K1346" i="8"/>
  <c r="K1354" i="8"/>
  <c r="K1362" i="8"/>
  <c r="K1370" i="8"/>
  <c r="K1378" i="8"/>
  <c r="K1386" i="8"/>
  <c r="K1394" i="8"/>
  <c r="K1402" i="8"/>
  <c r="K1410" i="8"/>
  <c r="K1418" i="8"/>
  <c r="K1426" i="8"/>
  <c r="K1434" i="8"/>
  <c r="K1442" i="8"/>
  <c r="K1450" i="8"/>
  <c r="K1458" i="8"/>
  <c r="K1466" i="8"/>
  <c r="K1474" i="8"/>
  <c r="K1482" i="8"/>
  <c r="K1490" i="8"/>
  <c r="K1498" i="8"/>
  <c r="K1506" i="8"/>
  <c r="K1514" i="8"/>
  <c r="K1522" i="8"/>
  <c r="K1530" i="8"/>
  <c r="K1538" i="8"/>
  <c r="K1546" i="8"/>
  <c r="K1554" i="8"/>
  <c r="K1562" i="8"/>
  <c r="K1570" i="8"/>
  <c r="K1578" i="8"/>
  <c r="K1586" i="8"/>
  <c r="K1594" i="8"/>
  <c r="K1602" i="8"/>
  <c r="K1610" i="8"/>
  <c r="K1618" i="8"/>
  <c r="K1626" i="8"/>
  <c r="K1634" i="8"/>
  <c r="K1642" i="8"/>
  <c r="K1650" i="8"/>
  <c r="K1658" i="8"/>
  <c r="K1666" i="8"/>
  <c r="K1674" i="8"/>
  <c r="K1682" i="8"/>
  <c r="K1690" i="8"/>
  <c r="K1698" i="8"/>
  <c r="K1706" i="8"/>
  <c r="K33" i="8"/>
  <c r="K97" i="8"/>
  <c r="K161" i="8"/>
  <c r="K225" i="8"/>
  <c r="K272" i="8"/>
  <c r="K296" i="8"/>
  <c r="K316" i="8"/>
  <c r="K337" i="8"/>
  <c r="K360" i="8"/>
  <c r="K380" i="8"/>
  <c r="K401" i="8"/>
  <c r="K424" i="8"/>
  <c r="K444" i="8"/>
  <c r="K460" i="8"/>
  <c r="K476" i="8"/>
  <c r="K492" i="8"/>
  <c r="K508" i="8"/>
  <c r="K524" i="8"/>
  <c r="K540" i="8"/>
  <c r="K556" i="8"/>
  <c r="K572" i="8"/>
  <c r="K588" i="8"/>
  <c r="K604" i="8"/>
  <c r="K617" i="8"/>
  <c r="K631" i="8"/>
  <c r="K642" i="8"/>
  <c r="K651" i="8"/>
  <c r="K659" i="8"/>
  <c r="K667" i="8"/>
  <c r="K675" i="8"/>
  <c r="K683" i="8"/>
  <c r="K691" i="8"/>
  <c r="K699" i="8"/>
  <c r="K707" i="8"/>
  <c r="K715" i="8"/>
  <c r="K723" i="8"/>
  <c r="K731" i="8"/>
  <c r="K739" i="8"/>
  <c r="K747" i="8"/>
  <c r="K755" i="8"/>
  <c r="K763" i="8"/>
  <c r="K771" i="8"/>
  <c r="K779" i="8"/>
  <c r="K787" i="8"/>
  <c r="K795" i="8"/>
  <c r="K803" i="8"/>
  <c r="K811" i="8"/>
  <c r="K819" i="8"/>
  <c r="K827" i="8"/>
  <c r="K835" i="8"/>
  <c r="K843" i="8"/>
  <c r="K851" i="8"/>
  <c r="K859" i="8"/>
  <c r="K867" i="8"/>
  <c r="K875" i="8"/>
  <c r="K883" i="8"/>
  <c r="K891" i="8"/>
  <c r="K899" i="8"/>
  <c r="K907" i="8"/>
  <c r="K915" i="8"/>
  <c r="K923" i="8"/>
  <c r="K931" i="8"/>
  <c r="K939" i="8"/>
  <c r="K947" i="8"/>
  <c r="K955" i="8"/>
  <c r="K963" i="8"/>
  <c r="K971" i="8"/>
  <c r="K979" i="8"/>
  <c r="K987" i="8"/>
  <c r="K995" i="8"/>
  <c r="K1003" i="8"/>
  <c r="K1011" i="8"/>
  <c r="K1019" i="8"/>
  <c r="K1027" i="8"/>
  <c r="K1035" i="8"/>
  <c r="K1043" i="8"/>
  <c r="K1051" i="8"/>
  <c r="K1059" i="8"/>
  <c r="K1067" i="8"/>
  <c r="K1075" i="8"/>
  <c r="K1083" i="8"/>
  <c r="K1091" i="8"/>
  <c r="K1099" i="8"/>
  <c r="K1107" i="8"/>
  <c r="K1115" i="8"/>
  <c r="K1123" i="8"/>
  <c r="K1131" i="8"/>
  <c r="K1139" i="8"/>
  <c r="K1147" i="8"/>
  <c r="K1155" i="8"/>
  <c r="K1163" i="8"/>
  <c r="K1171" i="8"/>
  <c r="K1179" i="8"/>
  <c r="K1187" i="8"/>
  <c r="K1195" i="8"/>
  <c r="K1203" i="8"/>
  <c r="K1211" i="8"/>
  <c r="K1219" i="8"/>
  <c r="K1227" i="8"/>
  <c r="K1235" i="8"/>
  <c r="K1243" i="8"/>
  <c r="K1251" i="8"/>
  <c r="K1259" i="8"/>
  <c r="K1267" i="8"/>
  <c r="K1275" i="8"/>
  <c r="K1283" i="8"/>
  <c r="K1291" i="8"/>
  <c r="K1299" i="8"/>
  <c r="K1307" i="8"/>
  <c r="K1315" i="8"/>
  <c r="K1323" i="8"/>
  <c r="K1331" i="8"/>
  <c r="K1339" i="8"/>
  <c r="K1347" i="8"/>
  <c r="K1355" i="8"/>
  <c r="K1363" i="8"/>
  <c r="K1371" i="8"/>
  <c r="K1379" i="8"/>
  <c r="K1387" i="8"/>
  <c r="K1395" i="8"/>
  <c r="K1403" i="8"/>
  <c r="K1411" i="8"/>
  <c r="K1419" i="8"/>
  <c r="K1427" i="8"/>
  <c r="K1435" i="8"/>
  <c r="K1443" i="8"/>
  <c r="K1451" i="8"/>
  <c r="K1459" i="8"/>
  <c r="K1467" i="8"/>
  <c r="K1475" i="8"/>
  <c r="K1483" i="8"/>
  <c r="K1491" i="8"/>
  <c r="K1499" i="8"/>
  <c r="K1507" i="8"/>
  <c r="K1515" i="8"/>
  <c r="K1523" i="8"/>
  <c r="K1531" i="8"/>
  <c r="K1539" i="8"/>
  <c r="K1547" i="8"/>
  <c r="K1555" i="8"/>
  <c r="K1563" i="8"/>
  <c r="K1571" i="8"/>
  <c r="K1579" i="8"/>
  <c r="K1587" i="8"/>
  <c r="K1595" i="8"/>
  <c r="K1603" i="8"/>
  <c r="K1611" i="8"/>
  <c r="K1619" i="8"/>
  <c r="K1627" i="8"/>
  <c r="K1635" i="8"/>
  <c r="K1643" i="8"/>
  <c r="K1651" i="8"/>
  <c r="K1659" i="8"/>
  <c r="K1667" i="8"/>
  <c r="K1675" i="8"/>
  <c r="K1683" i="8"/>
  <c r="K1691" i="8"/>
  <c r="K1699" i="8"/>
  <c r="K1707" i="8"/>
  <c r="K1715" i="8"/>
  <c r="K1723" i="8"/>
  <c r="K1731" i="8"/>
  <c r="K1739" i="8"/>
  <c r="K41" i="8"/>
  <c r="K105" i="8"/>
  <c r="K169" i="8"/>
  <c r="K233" i="8"/>
  <c r="K273" i="8"/>
  <c r="K297" i="8"/>
  <c r="K320" i="8"/>
  <c r="K340" i="8"/>
  <c r="K361" i="8"/>
  <c r="K384" i="8"/>
  <c r="K404" i="8"/>
  <c r="K425" i="8"/>
  <c r="K446" i="8"/>
  <c r="K462" i="8"/>
  <c r="K478" i="8"/>
  <c r="K494" i="8"/>
  <c r="K510" i="8"/>
  <c r="K526" i="8"/>
  <c r="K542" i="8"/>
  <c r="K558" i="8"/>
  <c r="K574" i="8"/>
  <c r="K590" i="8"/>
  <c r="K606" i="8"/>
  <c r="K620" i="8"/>
  <c r="K632" i="8"/>
  <c r="K643" i="8"/>
  <c r="K652" i="8"/>
  <c r="K660" i="8"/>
  <c r="K668" i="8"/>
  <c r="K676" i="8"/>
  <c r="K684" i="8"/>
  <c r="K692" i="8"/>
  <c r="K700" i="8"/>
  <c r="K708" i="8"/>
  <c r="K716" i="8"/>
  <c r="K724" i="8"/>
  <c r="K732" i="8"/>
  <c r="K740" i="8"/>
  <c r="K748" i="8"/>
  <c r="K756" i="8"/>
  <c r="K764" i="8"/>
  <c r="K772" i="8"/>
  <c r="K780" i="8"/>
  <c r="K788" i="8"/>
  <c r="K796" i="8"/>
  <c r="K804" i="8"/>
  <c r="K812" i="8"/>
  <c r="K820" i="8"/>
  <c r="K828" i="8"/>
  <c r="K836" i="8"/>
  <c r="K844" i="8"/>
  <c r="K852" i="8"/>
  <c r="K860" i="8"/>
  <c r="K868" i="8"/>
  <c r="K876" i="8"/>
  <c r="K884" i="8"/>
  <c r="K892" i="8"/>
  <c r="K900" i="8"/>
  <c r="K908" i="8"/>
  <c r="K916" i="8"/>
  <c r="K924" i="8"/>
  <c r="K932" i="8"/>
  <c r="K940" i="8"/>
  <c r="K948" i="8"/>
  <c r="K956" i="8"/>
  <c r="K964" i="8"/>
  <c r="K972" i="8"/>
  <c r="K980" i="8"/>
  <c r="K988" i="8"/>
  <c r="K996" i="8"/>
  <c r="K1004" i="8"/>
  <c r="K1012" i="8"/>
  <c r="K1020" i="8"/>
  <c r="K1028" i="8"/>
  <c r="K1036" i="8"/>
  <c r="K1044" i="8"/>
  <c r="K1052" i="8"/>
  <c r="K1060" i="8"/>
  <c r="K1068" i="8"/>
  <c r="K1076" i="8"/>
  <c r="K1084" i="8"/>
  <c r="K1092" i="8"/>
  <c r="K1100" i="8"/>
  <c r="K1108" i="8"/>
  <c r="K1116" i="8"/>
  <c r="K1124" i="8"/>
  <c r="K1132" i="8"/>
  <c r="K1140" i="8"/>
  <c r="K1148" i="8"/>
  <c r="K1156" i="8"/>
  <c r="K1164" i="8"/>
  <c r="K1172" i="8"/>
  <c r="K1180" i="8"/>
  <c r="K1188" i="8"/>
  <c r="K1196" i="8"/>
  <c r="K1204" i="8"/>
  <c r="K1212" i="8"/>
  <c r="K1220" i="8"/>
  <c r="K1228" i="8"/>
  <c r="K1236" i="8"/>
  <c r="K1244" i="8"/>
  <c r="K1252" i="8"/>
  <c r="K1260" i="8"/>
  <c r="K1268" i="8"/>
  <c r="K1276" i="8"/>
  <c r="K1284" i="8"/>
  <c r="K1292" i="8"/>
  <c r="K1300" i="8"/>
  <c r="K1308" i="8"/>
  <c r="K1316" i="8"/>
  <c r="K1324" i="8"/>
  <c r="K1332" i="8"/>
  <c r="K1340" i="8"/>
  <c r="K1348" i="8"/>
  <c r="K1356" i="8"/>
  <c r="K1364" i="8"/>
  <c r="K1372" i="8"/>
  <c r="K1380" i="8"/>
  <c r="K1388" i="8"/>
  <c r="K1396" i="8"/>
  <c r="K1404" i="8"/>
  <c r="K1412" i="8"/>
  <c r="K1420" i="8"/>
  <c r="K1428" i="8"/>
  <c r="K1436" i="8"/>
  <c r="K1444" i="8"/>
  <c r="K1452" i="8"/>
  <c r="K1460" i="8"/>
  <c r="K1468" i="8"/>
  <c r="K1476" i="8"/>
  <c r="K1484" i="8"/>
  <c r="K1492" i="8"/>
  <c r="K1500" i="8"/>
  <c r="K1508" i="8"/>
  <c r="K1516" i="8"/>
  <c r="K1524" i="8"/>
  <c r="K1532" i="8"/>
  <c r="K1540" i="8"/>
  <c r="K1548" i="8"/>
  <c r="K1556" i="8"/>
  <c r="K1564" i="8"/>
  <c r="K1572" i="8"/>
  <c r="K1580" i="8"/>
  <c r="K1588" i="8"/>
  <c r="K1596" i="8"/>
  <c r="K1604" i="8"/>
  <c r="K1612" i="8"/>
  <c r="K1620" i="8"/>
  <c r="K1628" i="8"/>
  <c r="K1636" i="8"/>
  <c r="K1644" i="8"/>
  <c r="K1652" i="8"/>
  <c r="K1660" i="8"/>
  <c r="K1668" i="8"/>
  <c r="K1676" i="8"/>
  <c r="K1684" i="8"/>
  <c r="K1692" i="8"/>
  <c r="K1700" i="8"/>
  <c r="K1708" i="8"/>
  <c r="K1716" i="8"/>
  <c r="K1724" i="8"/>
  <c r="K1732" i="8"/>
  <c r="K1740" i="8"/>
  <c r="K49" i="8"/>
  <c r="K113" i="8"/>
  <c r="K177" i="8"/>
  <c r="K241" i="8"/>
  <c r="K280" i="8"/>
  <c r="K300" i="8"/>
  <c r="K321" i="8"/>
  <c r="K344" i="8"/>
  <c r="K364" i="8"/>
  <c r="K385" i="8"/>
  <c r="K408" i="8"/>
  <c r="K428" i="8"/>
  <c r="K448" i="8"/>
  <c r="K464" i="8"/>
  <c r="K480" i="8"/>
  <c r="K496" i="8"/>
  <c r="K512" i="8"/>
  <c r="K528" i="8"/>
  <c r="K544" i="8"/>
  <c r="K560" i="8"/>
  <c r="K576" i="8"/>
  <c r="K592" i="8"/>
  <c r="K608" i="8"/>
  <c r="K622" i="8"/>
  <c r="K633" i="8"/>
  <c r="K644" i="8"/>
  <c r="K653" i="8"/>
  <c r="K661" i="8"/>
  <c r="K669" i="8"/>
  <c r="K677" i="8"/>
  <c r="K685" i="8"/>
  <c r="K693" i="8"/>
  <c r="K701" i="8"/>
  <c r="K709" i="8"/>
  <c r="K717" i="8"/>
  <c r="K725" i="8"/>
  <c r="K733" i="8"/>
  <c r="K741" i="8"/>
  <c r="K749" i="8"/>
  <c r="K757" i="8"/>
  <c r="K765" i="8"/>
  <c r="K773" i="8"/>
  <c r="K781" i="8"/>
  <c r="K789" i="8"/>
  <c r="K797" i="8"/>
  <c r="K805" i="8"/>
  <c r="K813" i="8"/>
  <c r="K821" i="8"/>
  <c r="K829" i="8"/>
  <c r="K837" i="8"/>
  <c r="K845" i="8"/>
  <c r="K853" i="8"/>
  <c r="K861" i="8"/>
  <c r="K869" i="8"/>
  <c r="K877" i="8"/>
  <c r="K885" i="8"/>
  <c r="K893" i="8"/>
  <c r="K901" i="8"/>
  <c r="K909" i="8"/>
  <c r="K917" i="8"/>
  <c r="K925" i="8"/>
  <c r="K933" i="8"/>
  <c r="K941" i="8"/>
  <c r="K949" i="8"/>
  <c r="K957" i="8"/>
  <c r="K965" i="8"/>
  <c r="K973" i="8"/>
  <c r="K981" i="8"/>
  <c r="K989" i="8"/>
  <c r="K997" i="8"/>
  <c r="K1005" i="8"/>
  <c r="K1013" i="8"/>
  <c r="K1021" i="8"/>
  <c r="K1029" i="8"/>
  <c r="K1037" i="8"/>
  <c r="K1045" i="8"/>
  <c r="K1053" i="8"/>
  <c r="K1061" i="8"/>
  <c r="K1069" i="8"/>
  <c r="K1077" i="8"/>
  <c r="K1085" i="8"/>
  <c r="K1093" i="8"/>
  <c r="K1101" i="8"/>
  <c r="K1109" i="8"/>
  <c r="K1117" i="8"/>
  <c r="K1125" i="8"/>
  <c r="K1133" i="8"/>
  <c r="K1141" i="8"/>
  <c r="K1149" i="8"/>
  <c r="K1157" i="8"/>
  <c r="K1165" i="8"/>
  <c r="K1173" i="8"/>
  <c r="K1181" i="8"/>
  <c r="K1189" i="8"/>
  <c r="K1197" i="8"/>
  <c r="K1205" i="8"/>
  <c r="K1213" i="8"/>
  <c r="K1221" i="8"/>
  <c r="K1229" i="8"/>
  <c r="K1237" i="8"/>
  <c r="K1245" i="8"/>
  <c r="K1253" i="8"/>
  <c r="K1261" i="8"/>
  <c r="K1269" i="8"/>
  <c r="K1277" i="8"/>
  <c r="K1285" i="8"/>
  <c r="K1293" i="8"/>
  <c r="K1301" i="8"/>
  <c r="K1309" i="8"/>
  <c r="K1317" i="8"/>
  <c r="K1325" i="8"/>
  <c r="K1333" i="8"/>
  <c r="K1341" i="8"/>
  <c r="K1349" i="8"/>
  <c r="K1357" i="8"/>
  <c r="K1365" i="8"/>
  <c r="K1373" i="8"/>
  <c r="K1381" i="8"/>
  <c r="K1389" i="8"/>
  <c r="K1397" i="8"/>
  <c r="K1405" i="8"/>
  <c r="K1413" i="8"/>
  <c r="K1421" i="8"/>
  <c r="K1429" i="8"/>
  <c r="K1437" i="8"/>
  <c r="K1445" i="8"/>
  <c r="K1453" i="8"/>
  <c r="K1461" i="8"/>
  <c r="K1469" i="8"/>
  <c r="K1477" i="8"/>
  <c r="K1485" i="8"/>
  <c r="K1493" i="8"/>
  <c r="K1501" i="8"/>
  <c r="K1509" i="8"/>
  <c r="K1517" i="8"/>
  <c r="K1525" i="8"/>
  <c r="K1533" i="8"/>
  <c r="K1541" i="8"/>
  <c r="K1549" i="8"/>
  <c r="K1557" i="8"/>
  <c r="K1565" i="8"/>
  <c r="K1573" i="8"/>
  <c r="K1581" i="8"/>
  <c r="K1589" i="8"/>
  <c r="K1597" i="8"/>
  <c r="K1605" i="8"/>
  <c r="K1613" i="8"/>
  <c r="K1621" i="8"/>
  <c r="K1629" i="8"/>
  <c r="K1637" i="8"/>
  <c r="K1645" i="8"/>
  <c r="K1653" i="8"/>
  <c r="K1661" i="8"/>
  <c r="K1669" i="8"/>
  <c r="K1677" i="8"/>
  <c r="K1685" i="8"/>
  <c r="K1693" i="8"/>
  <c r="K1701" i="8"/>
  <c r="K1709" i="8"/>
  <c r="K1717" i="8"/>
  <c r="K1725" i="8"/>
  <c r="K1733" i="8"/>
  <c r="K1741" i="8"/>
  <c r="K57" i="8"/>
  <c r="K121" i="8"/>
  <c r="K185" i="8"/>
  <c r="K249" i="8"/>
  <c r="K281" i="8"/>
  <c r="K304" i="8"/>
  <c r="K324" i="8"/>
  <c r="K345" i="8"/>
  <c r="K368" i="8"/>
  <c r="K388" i="8"/>
  <c r="K409" i="8"/>
  <c r="K432" i="8"/>
  <c r="K449" i="8"/>
  <c r="K465" i="8"/>
  <c r="K481" i="8"/>
  <c r="K497" i="8"/>
  <c r="K513" i="8"/>
  <c r="K529" i="8"/>
  <c r="K545" i="8"/>
  <c r="K561" i="8"/>
  <c r="K577" i="8"/>
  <c r="K593" i="8"/>
  <c r="K609" i="8"/>
  <c r="K623" i="8"/>
  <c r="K636" i="8"/>
  <c r="K646" i="8"/>
  <c r="K654" i="8"/>
  <c r="K662" i="8"/>
  <c r="K670" i="8"/>
  <c r="K678" i="8"/>
  <c r="K686" i="8"/>
  <c r="K694" i="8"/>
  <c r="K702" i="8"/>
  <c r="K710" i="8"/>
  <c r="K718" i="8"/>
  <c r="K726" i="8"/>
  <c r="K734" i="8"/>
  <c r="K742" i="8"/>
  <c r="K750" i="8"/>
  <c r="K758" i="8"/>
  <c r="K766" i="8"/>
  <c r="K774" i="8"/>
  <c r="K782" i="8"/>
  <c r="K790" i="8"/>
  <c r="K798" i="8"/>
  <c r="K806" i="8"/>
  <c r="K814" i="8"/>
  <c r="K822" i="8"/>
  <c r="K830" i="8"/>
  <c r="K838" i="8"/>
  <c r="K846" i="8"/>
  <c r="K854" i="8"/>
  <c r="K862" i="8"/>
  <c r="K870" i="8"/>
  <c r="K878" i="8"/>
  <c r="K886" i="8"/>
  <c r="K894" i="8"/>
  <c r="K902" i="8"/>
  <c r="K910" i="8"/>
  <c r="K918" i="8"/>
  <c r="K926" i="8"/>
  <c r="K934" i="8"/>
  <c r="K942" i="8"/>
  <c r="K950" i="8"/>
  <c r="K958" i="8"/>
  <c r="K966" i="8"/>
  <c r="K974" i="8"/>
  <c r="K982" i="8"/>
  <c r="K990" i="8"/>
  <c r="K998" i="8"/>
  <c r="K1006" i="8"/>
  <c r="K1014" i="8"/>
  <c r="K1022" i="8"/>
  <c r="K1030" i="8"/>
  <c r="K1038" i="8"/>
  <c r="K1046" i="8"/>
  <c r="K1054" i="8"/>
  <c r="K1062" i="8"/>
  <c r="K1070" i="8"/>
  <c r="K1078" i="8"/>
  <c r="K1086" i="8"/>
  <c r="K1094" i="8"/>
  <c r="K1102" i="8"/>
  <c r="K1110" i="8"/>
  <c r="K1118" i="8"/>
  <c r="K1126" i="8"/>
  <c r="K1134" i="8"/>
  <c r="K1142" i="8"/>
  <c r="K1150" i="8"/>
  <c r="K1158" i="8"/>
  <c r="K1166" i="8"/>
  <c r="K1174" i="8"/>
  <c r="K1182" i="8"/>
  <c r="K1190" i="8"/>
  <c r="K1198" i="8"/>
  <c r="K1206" i="8"/>
  <c r="K1214" i="8"/>
  <c r="K1222" i="8"/>
  <c r="K1230" i="8"/>
  <c r="K1238" i="8"/>
  <c r="K1246" i="8"/>
  <c r="K1254" i="8"/>
  <c r="K1262" i="8"/>
  <c r="K1270" i="8"/>
  <c r="K1278" i="8"/>
  <c r="K1286" i="8"/>
  <c r="K1294" i="8"/>
  <c r="K1302" i="8"/>
  <c r="K1310" i="8"/>
  <c r="K1318" i="8"/>
  <c r="K1326" i="8"/>
  <c r="K1334" i="8"/>
  <c r="K1342" i="8"/>
  <c r="K1350" i="8"/>
  <c r="K1358" i="8"/>
  <c r="K1366" i="8"/>
  <c r="K1374" i="8"/>
  <c r="K1382" i="8"/>
  <c r="K1390" i="8"/>
  <c r="K1398" i="8"/>
  <c r="K1406" i="8"/>
  <c r="K1414" i="8"/>
  <c r="K1422" i="8"/>
  <c r="K1430" i="8"/>
  <c r="K1438" i="8"/>
  <c r="K1446" i="8"/>
  <c r="K1454" i="8"/>
  <c r="K1462" i="8"/>
  <c r="K1470" i="8"/>
  <c r="K1478" i="8"/>
  <c r="K1486" i="8"/>
  <c r="K1494" i="8"/>
  <c r="K1502" i="8"/>
  <c r="K1510" i="8"/>
  <c r="K1518" i="8"/>
  <c r="K1526" i="8"/>
  <c r="K1534" i="8"/>
  <c r="K1542" i="8"/>
  <c r="K1550" i="8"/>
  <c r="K1558" i="8"/>
  <c r="K1566" i="8"/>
  <c r="K1574" i="8"/>
  <c r="K1582" i="8"/>
  <c r="K1590" i="8"/>
  <c r="K1598" i="8"/>
  <c r="K1606" i="8"/>
  <c r="K1614" i="8"/>
  <c r="K1622" i="8"/>
  <c r="K1630" i="8"/>
  <c r="K1638" i="8"/>
  <c r="K1646" i="8"/>
  <c r="K1654" i="8"/>
  <c r="K1662" i="8"/>
  <c r="K1670" i="8"/>
  <c r="K1678" i="8"/>
  <c r="K1686" i="8"/>
  <c r="K1694" i="8"/>
  <c r="K1702" i="8"/>
  <c r="K1710" i="8"/>
  <c r="K1718" i="8"/>
  <c r="K1726" i="8"/>
  <c r="K1734" i="8"/>
  <c r="K65" i="8"/>
  <c r="K129" i="8"/>
  <c r="K193" i="8"/>
  <c r="K256" i="8"/>
  <c r="K284" i="8"/>
  <c r="K305" i="8"/>
  <c r="K328" i="8"/>
  <c r="K348" i="8"/>
  <c r="K369" i="8"/>
  <c r="K392" i="8"/>
  <c r="K412" i="8"/>
  <c r="K433" i="8"/>
  <c r="K452" i="8"/>
  <c r="K468" i="8"/>
  <c r="K484" i="8"/>
  <c r="K500" i="8"/>
  <c r="K516" i="8"/>
  <c r="K532" i="8"/>
  <c r="K548" i="8"/>
  <c r="K564" i="8"/>
  <c r="K580" i="8"/>
  <c r="K596" i="8"/>
  <c r="K612" i="8"/>
  <c r="K624" i="8"/>
  <c r="K638" i="8"/>
  <c r="K647" i="8"/>
  <c r="K655" i="8"/>
  <c r="K663" i="8"/>
  <c r="K671" i="8"/>
  <c r="K679" i="8"/>
  <c r="K687" i="8"/>
  <c r="K695" i="8"/>
  <c r="K703" i="8"/>
  <c r="K711" i="8"/>
  <c r="K719" i="8"/>
  <c r="K727" i="8"/>
  <c r="K735" i="8"/>
  <c r="K743" i="8"/>
  <c r="K751" i="8"/>
  <c r="K759" i="8"/>
  <c r="K767" i="8"/>
  <c r="K775" i="8"/>
  <c r="K783" i="8"/>
  <c r="K791" i="8"/>
  <c r="K799" i="8"/>
  <c r="K807" i="8"/>
  <c r="K815" i="8"/>
  <c r="K823" i="8"/>
  <c r="K831" i="8"/>
  <c r="K839" i="8"/>
  <c r="K847" i="8"/>
  <c r="K855" i="8"/>
  <c r="K863" i="8"/>
  <c r="K871" i="8"/>
  <c r="K879" i="8"/>
  <c r="K887" i="8"/>
  <c r="K895" i="8"/>
  <c r="K903" i="8"/>
  <c r="K911" i="8"/>
  <c r="K919" i="8"/>
  <c r="K927" i="8"/>
  <c r="K935" i="8"/>
  <c r="K943" i="8"/>
  <c r="K951" i="8"/>
  <c r="K959" i="8"/>
  <c r="K967" i="8"/>
  <c r="K975" i="8"/>
  <c r="K983" i="8"/>
  <c r="K991" i="8"/>
  <c r="K999" i="8"/>
  <c r="K1007" i="8"/>
  <c r="K1015" i="8"/>
  <c r="K1023" i="8"/>
  <c r="K1031" i="8"/>
  <c r="K1039" i="8"/>
  <c r="K1047" i="8"/>
  <c r="K1055" i="8"/>
  <c r="K1063" i="8"/>
  <c r="K1071" i="8"/>
  <c r="K1079" i="8"/>
  <c r="K1087" i="8"/>
  <c r="K1095" i="8"/>
  <c r="K1103" i="8"/>
  <c r="K1111" i="8"/>
  <c r="K1119" i="8"/>
  <c r="K1127" i="8"/>
  <c r="K1135" i="8"/>
  <c r="K1143" i="8"/>
  <c r="K1151" i="8"/>
  <c r="K1159" i="8"/>
  <c r="K1167" i="8"/>
  <c r="K1175" i="8"/>
  <c r="K1183" i="8"/>
  <c r="K1191" i="8"/>
  <c r="K1199" i="8"/>
  <c r="K1207" i="8"/>
  <c r="K1215" i="8"/>
  <c r="K1223" i="8"/>
  <c r="K1231" i="8"/>
  <c r="K1239" i="8"/>
  <c r="K1247" i="8"/>
  <c r="K1255" i="8"/>
  <c r="K1263" i="8"/>
  <c r="K1271" i="8"/>
  <c r="K1279" i="8"/>
  <c r="K1287" i="8"/>
  <c r="K1295" i="8"/>
  <c r="K1303" i="8"/>
  <c r="K1311" i="8"/>
  <c r="K1319" i="8"/>
  <c r="K1327" i="8"/>
  <c r="K1335" i="8"/>
  <c r="K1343" i="8"/>
  <c r="K1351" i="8"/>
  <c r="K1359" i="8"/>
  <c r="K1367" i="8"/>
  <c r="K1375" i="8"/>
  <c r="K1383" i="8"/>
  <c r="K1391" i="8"/>
  <c r="K1399" i="8"/>
  <c r="K1407" i="8"/>
  <c r="K1415" i="8"/>
  <c r="K1423" i="8"/>
  <c r="K1431" i="8"/>
  <c r="K1439" i="8"/>
  <c r="K1447" i="8"/>
  <c r="K1455" i="8"/>
  <c r="K1463" i="8"/>
  <c r="K1471" i="8"/>
  <c r="K1479" i="8"/>
  <c r="K1487" i="8"/>
  <c r="K1495" i="8"/>
  <c r="K1503" i="8"/>
  <c r="K1511" i="8"/>
  <c r="K1519" i="8"/>
  <c r="K1527" i="8"/>
  <c r="K1535" i="8"/>
  <c r="K1543" i="8"/>
  <c r="K1551" i="8"/>
  <c r="K1559" i="8"/>
  <c r="K1567" i="8"/>
  <c r="K1575" i="8"/>
  <c r="K1583" i="8"/>
  <c r="K1591" i="8"/>
  <c r="K1599" i="8"/>
  <c r="K1607" i="8"/>
  <c r="K1615" i="8"/>
  <c r="K1623" i="8"/>
  <c r="K1631" i="8"/>
  <c r="K1639" i="8"/>
  <c r="K1647" i="8"/>
  <c r="K1655" i="8"/>
  <c r="K1663" i="8"/>
  <c r="K1671" i="8"/>
  <c r="K1679" i="8"/>
  <c r="K1687" i="8"/>
  <c r="K1695" i="8"/>
  <c r="K1703" i="8"/>
  <c r="K1711" i="8"/>
  <c r="K1719" i="8"/>
  <c r="K9" i="8"/>
  <c r="K73" i="8"/>
  <c r="K137" i="8"/>
  <c r="K201" i="8"/>
  <c r="K257" i="8"/>
  <c r="K288" i="8"/>
  <c r="K308" i="8"/>
  <c r="K329" i="8"/>
  <c r="K352" i="8"/>
  <c r="K372" i="8"/>
  <c r="K393" i="8"/>
  <c r="K416" i="8"/>
  <c r="K436" i="8"/>
  <c r="K454" i="8"/>
  <c r="K470" i="8"/>
  <c r="K486" i="8"/>
  <c r="K502" i="8"/>
  <c r="K518" i="8"/>
  <c r="K534" i="8"/>
  <c r="K550" i="8"/>
  <c r="K566" i="8"/>
  <c r="K582" i="8"/>
  <c r="K598" i="8"/>
  <c r="K614" i="8"/>
  <c r="K625" i="8"/>
  <c r="K639" i="8"/>
  <c r="K648" i="8"/>
  <c r="K656" i="8"/>
  <c r="K664" i="8"/>
  <c r="K672" i="8"/>
  <c r="K680" i="8"/>
  <c r="K688" i="8"/>
  <c r="K696" i="8"/>
  <c r="K704" i="8"/>
  <c r="K712" i="8"/>
  <c r="K720" i="8"/>
  <c r="K728" i="8"/>
  <c r="K736" i="8"/>
  <c r="K744" i="8"/>
  <c r="K752" i="8"/>
  <c r="K760" i="8"/>
  <c r="K768" i="8"/>
  <c r="K776" i="8"/>
  <c r="K784" i="8"/>
  <c r="K792" i="8"/>
  <c r="K800" i="8"/>
  <c r="K808" i="8"/>
  <c r="K816" i="8"/>
  <c r="K824" i="8"/>
  <c r="K832" i="8"/>
  <c r="K840" i="8"/>
  <c r="K848" i="8"/>
  <c r="K856" i="8"/>
  <c r="K864" i="8"/>
  <c r="K872" i="8"/>
  <c r="K880" i="8"/>
  <c r="K888" i="8"/>
  <c r="K896" i="8"/>
  <c r="K904" i="8"/>
  <c r="K912" i="8"/>
  <c r="K920" i="8"/>
  <c r="K928" i="8"/>
  <c r="K936" i="8"/>
  <c r="K944" i="8"/>
  <c r="K952" i="8"/>
  <c r="K960" i="8"/>
  <c r="K968" i="8"/>
  <c r="K976" i="8"/>
  <c r="K984" i="8"/>
  <c r="K992" i="8"/>
  <c r="K1000" i="8"/>
  <c r="K1008" i="8"/>
  <c r="K1016" i="8"/>
  <c r="K1024" i="8"/>
  <c r="K1032" i="8"/>
  <c r="K1040" i="8"/>
  <c r="K1048" i="8"/>
  <c r="K1056" i="8"/>
  <c r="K1064" i="8"/>
  <c r="K1072" i="8"/>
  <c r="K1080" i="8"/>
  <c r="K1088" i="8"/>
  <c r="K1096" i="8"/>
  <c r="K1104" i="8"/>
  <c r="K1112" i="8"/>
  <c r="K1120" i="8"/>
  <c r="K1128" i="8"/>
  <c r="K1136" i="8"/>
  <c r="K1144" i="8"/>
  <c r="K1152" i="8"/>
  <c r="K1160" i="8"/>
  <c r="K1168" i="8"/>
  <c r="K1176" i="8"/>
  <c r="K1184" i="8"/>
  <c r="K1192" i="8"/>
  <c r="K1200" i="8"/>
  <c r="K1208" i="8"/>
  <c r="K1216" i="8"/>
  <c r="K1224" i="8"/>
  <c r="K1232" i="8"/>
  <c r="K1240" i="8"/>
  <c r="K1248" i="8"/>
  <c r="K1256" i="8"/>
  <c r="K1264" i="8"/>
  <c r="K1272" i="8"/>
  <c r="K1280" i="8"/>
  <c r="K1288" i="8"/>
  <c r="K1296" i="8"/>
  <c r="K1304" i="8"/>
  <c r="K1312" i="8"/>
  <c r="K1320" i="8"/>
  <c r="K1328" i="8"/>
  <c r="K1336" i="8"/>
  <c r="K1344" i="8"/>
  <c r="K1352" i="8"/>
  <c r="K1360" i="8"/>
  <c r="K1368" i="8"/>
  <c r="K1376" i="8"/>
  <c r="K1384" i="8"/>
  <c r="K1392" i="8"/>
  <c r="K1400" i="8"/>
  <c r="K1408" i="8"/>
  <c r="K1416" i="8"/>
  <c r="K1424" i="8"/>
  <c r="K1432" i="8"/>
  <c r="K1440" i="8"/>
  <c r="K1448" i="8"/>
  <c r="K1456" i="8"/>
  <c r="K1464" i="8"/>
  <c r="K1472" i="8"/>
  <c r="K1480" i="8"/>
  <c r="K1488" i="8"/>
  <c r="K1496" i="8"/>
  <c r="K1504" i="8"/>
  <c r="K1512" i="8"/>
  <c r="K1520" i="8"/>
  <c r="K1528" i="8"/>
  <c r="K1536" i="8"/>
  <c r="K1544" i="8"/>
  <c r="K1552" i="8"/>
  <c r="K1560" i="8"/>
  <c r="K1568" i="8"/>
  <c r="K1576" i="8"/>
  <c r="K1584" i="8"/>
  <c r="K1592" i="8"/>
  <c r="K1600" i="8"/>
  <c r="K1608" i="8"/>
  <c r="K1616" i="8"/>
  <c r="K1624" i="8"/>
  <c r="K1632" i="8"/>
  <c r="K1640" i="8"/>
  <c r="K1648" i="8"/>
  <c r="K1656" i="8"/>
  <c r="K1664" i="8"/>
  <c r="K1672" i="8"/>
  <c r="K1680" i="8"/>
  <c r="K1688" i="8"/>
  <c r="K1696" i="8"/>
  <c r="K1704" i="8"/>
  <c r="K1712" i="8"/>
  <c r="K1720" i="8"/>
  <c r="K1728" i="8"/>
  <c r="K1736" i="8"/>
  <c r="K145" i="8"/>
  <c r="K396" i="8"/>
  <c r="K536" i="8"/>
  <c r="K649" i="8"/>
  <c r="K713" i="8"/>
  <c r="K777" i="8"/>
  <c r="K841" i="8"/>
  <c r="K905" i="8"/>
  <c r="K969" i="8"/>
  <c r="K1033" i="8"/>
  <c r="K1097" i="8"/>
  <c r="K1161" i="8"/>
  <c r="K1225" i="8"/>
  <c r="K1289" i="8"/>
  <c r="K1353" i="8"/>
  <c r="K1417" i="8"/>
  <c r="K1481" i="8"/>
  <c r="K1545" i="8"/>
  <c r="K1609" i="8"/>
  <c r="K1673" i="8"/>
  <c r="K1722" i="8"/>
  <c r="K1743" i="8"/>
  <c r="K1751" i="8"/>
  <c r="K1759" i="8"/>
  <c r="K1767" i="8"/>
  <c r="K1775" i="8"/>
  <c r="K1783" i="8"/>
  <c r="K1791" i="8"/>
  <c r="K1799" i="8"/>
  <c r="K1807" i="8"/>
  <c r="K1815" i="8"/>
  <c r="K1823" i="8"/>
  <c r="K1831" i="8"/>
  <c r="K1839" i="8"/>
  <c r="K1847" i="8"/>
  <c r="K1855" i="8"/>
  <c r="K1863" i="8"/>
  <c r="K1871" i="8"/>
  <c r="K1879" i="8"/>
  <c r="K1887" i="8"/>
  <c r="K1895" i="8"/>
  <c r="K1903" i="8"/>
  <c r="K1911" i="8"/>
  <c r="K1919" i="8"/>
  <c r="K1927" i="8"/>
  <c r="K1935" i="8"/>
  <c r="K1943" i="8"/>
  <c r="K1951" i="8"/>
  <c r="K1959" i="8"/>
  <c r="K1967" i="8"/>
  <c r="K1975" i="8"/>
  <c r="K1983" i="8"/>
  <c r="K1991" i="8"/>
  <c r="K1999" i="8"/>
  <c r="K2007" i="8"/>
  <c r="K209" i="8"/>
  <c r="K417" i="8"/>
  <c r="K552" i="8"/>
  <c r="K657" i="8"/>
  <c r="K721" i="8"/>
  <c r="K785" i="8"/>
  <c r="K849" i="8"/>
  <c r="K913" i="8"/>
  <c r="K977" i="8"/>
  <c r="K1041" i="8"/>
  <c r="K1105" i="8"/>
  <c r="K1169" i="8"/>
  <c r="K1233" i="8"/>
  <c r="K1297" i="8"/>
  <c r="K1361" i="8"/>
  <c r="K1425" i="8"/>
  <c r="K1489" i="8"/>
  <c r="K1553" i="8"/>
  <c r="K1617" i="8"/>
  <c r="K1681" i="8"/>
  <c r="K1727" i="8"/>
  <c r="K1744" i="8"/>
  <c r="K1752" i="8"/>
  <c r="K1760" i="8"/>
  <c r="K1768" i="8"/>
  <c r="K1776" i="8"/>
  <c r="K1784" i="8"/>
  <c r="K1792" i="8"/>
  <c r="K1800" i="8"/>
  <c r="K1808" i="8"/>
  <c r="K1816" i="8"/>
  <c r="K1824" i="8"/>
  <c r="K1832" i="8"/>
  <c r="K1840" i="8"/>
  <c r="K1848" i="8"/>
  <c r="K1856" i="8"/>
  <c r="K1864" i="8"/>
  <c r="K1872" i="8"/>
  <c r="K1880" i="8"/>
  <c r="K1888" i="8"/>
  <c r="K1896" i="8"/>
  <c r="K1904" i="8"/>
  <c r="K1912" i="8"/>
  <c r="K1920" i="8"/>
  <c r="K1928" i="8"/>
  <c r="K1936" i="8"/>
  <c r="K1944" i="8"/>
  <c r="K1952" i="8"/>
  <c r="K1960" i="8"/>
  <c r="K1968" i="8"/>
  <c r="K1976" i="8"/>
  <c r="K1984" i="8"/>
  <c r="K1992" i="8"/>
  <c r="K2000" i="8"/>
  <c r="K2008" i="8"/>
  <c r="K312" i="8"/>
  <c r="K472" i="8"/>
  <c r="K600" i="8"/>
  <c r="K681" i="8"/>
  <c r="K745" i="8"/>
  <c r="K809" i="8"/>
  <c r="K873" i="8"/>
  <c r="K937" i="8"/>
  <c r="K1001" i="8"/>
  <c r="K1065" i="8"/>
  <c r="K1129" i="8"/>
  <c r="K1193" i="8"/>
  <c r="K1257" i="8"/>
  <c r="K1321" i="8"/>
  <c r="K1385" i="8"/>
  <c r="K1449" i="8"/>
  <c r="K1513" i="8"/>
  <c r="K1577" i="8"/>
  <c r="K1641" i="8"/>
  <c r="K1705" i="8"/>
  <c r="K1735" i="8"/>
  <c r="K1747" i="8"/>
  <c r="K1755" i="8"/>
  <c r="K1763" i="8"/>
  <c r="K1771" i="8"/>
  <c r="K1779" i="8"/>
  <c r="K1787" i="8"/>
  <c r="K1795" i="8"/>
  <c r="K1803" i="8"/>
  <c r="K1811" i="8"/>
  <c r="K1819" i="8"/>
  <c r="K1827" i="8"/>
  <c r="K1835" i="8"/>
  <c r="K1843" i="8"/>
  <c r="K1851" i="8"/>
  <c r="K1859" i="8"/>
  <c r="K1867" i="8"/>
  <c r="K1875" i="8"/>
  <c r="K1883" i="8"/>
  <c r="K1891" i="8"/>
  <c r="K1899" i="8"/>
  <c r="K1907" i="8"/>
  <c r="K1915" i="8"/>
  <c r="K1923" i="8"/>
  <c r="K1931" i="8"/>
  <c r="K1939" i="8"/>
  <c r="K1947" i="8"/>
  <c r="K1955" i="8"/>
  <c r="K1963" i="8"/>
  <c r="K1971" i="8"/>
  <c r="K1979" i="8"/>
  <c r="K1987" i="8"/>
  <c r="K1995" i="8"/>
  <c r="K2003" i="8"/>
  <c r="K264" i="8"/>
  <c r="K440" i="8"/>
  <c r="K568" i="8"/>
  <c r="K665" i="8"/>
  <c r="K729" i="8"/>
  <c r="K793" i="8"/>
  <c r="K857" i="8"/>
  <c r="K921" i="8"/>
  <c r="K985" i="8"/>
  <c r="K1049" i="8"/>
  <c r="K1113" i="8"/>
  <c r="K1177" i="8"/>
  <c r="K1241" i="8"/>
  <c r="K1305" i="8"/>
  <c r="K1369" i="8"/>
  <c r="K1433" i="8"/>
  <c r="K1497" i="8"/>
  <c r="K1561" i="8"/>
  <c r="K1625" i="8"/>
  <c r="K1689" i="8"/>
  <c r="K1729" i="8"/>
  <c r="K1745" i="8"/>
  <c r="K1753" i="8"/>
  <c r="K1761" i="8"/>
  <c r="K1769" i="8"/>
  <c r="K1777" i="8"/>
  <c r="K1785" i="8"/>
  <c r="K1793" i="8"/>
  <c r="K1801" i="8"/>
  <c r="K1809" i="8"/>
  <c r="K1817" i="8"/>
  <c r="K1825" i="8"/>
  <c r="K1833" i="8"/>
  <c r="K1841" i="8"/>
  <c r="K1849" i="8"/>
  <c r="K1857" i="8"/>
  <c r="K1865" i="8"/>
  <c r="K1873" i="8"/>
  <c r="K1881" i="8"/>
  <c r="K1889" i="8"/>
  <c r="K1897" i="8"/>
  <c r="K1905" i="8"/>
  <c r="K1913" i="8"/>
  <c r="K1921" i="8"/>
  <c r="K1929" i="8"/>
  <c r="K1937" i="8"/>
  <c r="K1945" i="8"/>
  <c r="K1953" i="8"/>
  <c r="K1961" i="8"/>
  <c r="K1969" i="8"/>
  <c r="K1977" i="8"/>
  <c r="K1985" i="8"/>
  <c r="K1993" i="8"/>
  <c r="K2001" i="8"/>
  <c r="K2009" i="8"/>
  <c r="K289" i="8"/>
  <c r="K456" i="8"/>
  <c r="K584" i="8"/>
  <c r="K673" i="8"/>
  <c r="K737" i="8"/>
  <c r="K801" i="8"/>
  <c r="K865" i="8"/>
  <c r="K929" i="8"/>
  <c r="K993" i="8"/>
  <c r="K1057" i="8"/>
  <c r="K1121" i="8"/>
  <c r="K1185" i="8"/>
  <c r="K1249" i="8"/>
  <c r="K1313" i="8"/>
  <c r="K1377" i="8"/>
  <c r="K1441" i="8"/>
  <c r="K1505" i="8"/>
  <c r="K1569" i="8"/>
  <c r="K1633" i="8"/>
  <c r="K1697" i="8"/>
  <c r="K1730" i="8"/>
  <c r="K1746" i="8"/>
  <c r="K1754" i="8"/>
  <c r="K1762" i="8"/>
  <c r="K1770" i="8"/>
  <c r="K1778" i="8"/>
  <c r="K1786" i="8"/>
  <c r="K1794" i="8"/>
  <c r="K1802" i="8"/>
  <c r="K1810" i="8"/>
  <c r="K1818" i="8"/>
  <c r="K1826" i="8"/>
  <c r="K1834" i="8"/>
  <c r="K1842" i="8"/>
  <c r="K1850" i="8"/>
  <c r="K1858" i="8"/>
  <c r="K1866" i="8"/>
  <c r="K1874" i="8"/>
  <c r="K1882" i="8"/>
  <c r="K1890" i="8"/>
  <c r="K1898" i="8"/>
  <c r="K1906" i="8"/>
  <c r="K1914" i="8"/>
  <c r="K1922" i="8"/>
  <c r="K1930" i="8"/>
  <c r="K1938" i="8"/>
  <c r="K1946" i="8"/>
  <c r="K1954" i="8"/>
  <c r="K1962" i="8"/>
  <c r="K1970" i="8"/>
  <c r="K1978" i="8"/>
  <c r="K1986" i="8"/>
  <c r="K1994" i="8"/>
  <c r="K2002" i="8"/>
  <c r="K332" i="8"/>
  <c r="K488" i="8"/>
  <c r="K615" i="8"/>
  <c r="K689" i="8"/>
  <c r="K753" i="8"/>
  <c r="K817" i="8"/>
  <c r="K881" i="8"/>
  <c r="K945" i="8"/>
  <c r="K1009" i="8"/>
  <c r="K1073" i="8"/>
  <c r="K1137" i="8"/>
  <c r="K1201" i="8"/>
  <c r="K1265" i="8"/>
  <c r="K1329" i="8"/>
  <c r="K1393" i="8"/>
  <c r="K1457" i="8"/>
  <c r="K1521" i="8"/>
  <c r="K1585" i="8"/>
  <c r="K1649" i="8"/>
  <c r="K1713" i="8"/>
  <c r="K1737" i="8"/>
  <c r="K1748" i="8"/>
  <c r="K1756" i="8"/>
  <c r="K1764" i="8"/>
  <c r="K1772" i="8"/>
  <c r="K1780" i="8"/>
  <c r="K1788" i="8"/>
  <c r="K1796" i="8"/>
  <c r="K1804" i="8"/>
  <c r="K1812" i="8"/>
  <c r="K1820" i="8"/>
  <c r="K1828" i="8"/>
  <c r="K1836" i="8"/>
  <c r="K1844" i="8"/>
  <c r="K1852" i="8"/>
  <c r="K1860" i="8"/>
  <c r="K1868" i="8"/>
  <c r="K1876" i="8"/>
  <c r="K1884" i="8"/>
  <c r="K1892" i="8"/>
  <c r="K1900" i="8"/>
  <c r="K1908" i="8"/>
  <c r="K1916" i="8"/>
  <c r="K1924" i="8"/>
  <c r="K1932" i="8"/>
  <c r="K1940" i="8"/>
  <c r="K1948" i="8"/>
  <c r="K1956" i="8"/>
  <c r="K1964" i="8"/>
  <c r="K1972" i="8"/>
  <c r="K1980" i="8"/>
  <c r="K1988" i="8"/>
  <c r="K1996" i="8"/>
  <c r="K2004" i="8"/>
  <c r="K17" i="8"/>
  <c r="K353" i="8"/>
  <c r="K504" i="8"/>
  <c r="K628" i="8"/>
  <c r="K697" i="8"/>
  <c r="K761" i="8"/>
  <c r="K825" i="8"/>
  <c r="K889" i="8"/>
  <c r="K953" i="8"/>
  <c r="K1017" i="8"/>
  <c r="K1081" i="8"/>
  <c r="K1145" i="8"/>
  <c r="K1209" i="8"/>
  <c r="K1273" i="8"/>
  <c r="K1337" i="8"/>
  <c r="K1401" i="8"/>
  <c r="K1465" i="8"/>
  <c r="K1529" i="8"/>
  <c r="K1593" i="8"/>
  <c r="K1657" i="8"/>
  <c r="K1714" i="8"/>
  <c r="K1738" i="8"/>
  <c r="K1749" i="8"/>
  <c r="K1757" i="8"/>
  <c r="K1765" i="8"/>
  <c r="K1773" i="8"/>
  <c r="K1781" i="8"/>
  <c r="K1789" i="8"/>
  <c r="K1797" i="8"/>
  <c r="K1805" i="8"/>
  <c r="K1813" i="8"/>
  <c r="K1821" i="8"/>
  <c r="K1829" i="8"/>
  <c r="K1837" i="8"/>
  <c r="K1845" i="8"/>
  <c r="K1853" i="8"/>
  <c r="K1861" i="8"/>
  <c r="K1869" i="8"/>
  <c r="K1877" i="8"/>
  <c r="K1885" i="8"/>
  <c r="K1893" i="8"/>
  <c r="K1901" i="8"/>
  <c r="K1909" i="8"/>
  <c r="K1917" i="8"/>
  <c r="K1925" i="8"/>
  <c r="K1933" i="8"/>
  <c r="K1941" i="8"/>
  <c r="K1949" i="8"/>
  <c r="K1957" i="8"/>
  <c r="K1965" i="8"/>
  <c r="K1973" i="8"/>
  <c r="K1981" i="8"/>
  <c r="K1989" i="8"/>
  <c r="K1997" i="8"/>
  <c r="K2005" i="8"/>
  <c r="K81" i="8"/>
  <c r="K376" i="8"/>
  <c r="K520" i="8"/>
  <c r="K640" i="8"/>
  <c r="K705" i="8"/>
  <c r="K769" i="8"/>
  <c r="K833" i="8"/>
  <c r="K897" i="8"/>
  <c r="K961" i="8"/>
  <c r="K1025" i="8"/>
  <c r="K1089" i="8"/>
  <c r="K1153" i="8"/>
  <c r="K1217" i="8"/>
  <c r="K1281" i="8"/>
  <c r="K1345" i="8"/>
  <c r="K1409" i="8"/>
  <c r="K1473" i="8"/>
  <c r="K1537" i="8"/>
  <c r="K1601" i="8"/>
  <c r="K1665" i="8"/>
  <c r="K1721" i="8"/>
  <c r="K1742" i="8"/>
  <c r="K1750" i="8"/>
  <c r="K1758" i="8"/>
  <c r="K1766" i="8"/>
  <c r="K1774" i="8"/>
  <c r="K1782" i="8"/>
  <c r="K1790" i="8"/>
  <c r="K1798" i="8"/>
  <c r="K1806" i="8"/>
  <c r="K1814" i="8"/>
  <c r="K1822" i="8"/>
  <c r="K1830" i="8"/>
  <c r="K1838" i="8"/>
  <c r="K1846" i="8"/>
  <c r="K1854" i="8"/>
  <c r="K1862" i="8"/>
  <c r="K1870" i="8"/>
  <c r="K1878" i="8"/>
  <c r="K1886" i="8"/>
  <c r="K1894" i="8"/>
  <c r="K1902" i="8"/>
  <c r="K1910" i="8"/>
  <c r="K1918" i="8"/>
  <c r="K1926" i="8"/>
  <c r="K1934" i="8"/>
  <c r="K1942" i="8"/>
  <c r="K1950" i="8"/>
  <c r="K1958" i="8"/>
  <c r="K1966" i="8"/>
  <c r="K1974" i="8"/>
  <c r="K1982" i="8"/>
  <c r="K1990" i="8"/>
  <c r="K1998" i="8"/>
  <c r="K2006" i="8"/>
  <c r="M1953" i="8"/>
  <c r="M1374" i="8"/>
  <c r="M1696" i="8"/>
  <c r="M1817" i="8"/>
  <c r="M1976" i="8"/>
  <c r="M1590" i="8"/>
  <c r="M1873" i="8"/>
  <c r="M1103" i="8"/>
  <c r="M1741" i="8"/>
  <c r="M1929" i="8"/>
  <c r="M1406" i="8"/>
  <c r="M1832" i="8"/>
  <c r="M2007" i="8"/>
  <c r="M1943" i="8"/>
  <c r="M1879" i="8"/>
  <c r="M1815" i="8"/>
  <c r="M1672" i="8"/>
  <c r="M1462" i="8"/>
  <c r="M1183" i="8"/>
  <c r="M1966" i="8"/>
  <c r="M1902" i="8"/>
  <c r="M1838" i="8"/>
  <c r="M1734" i="8"/>
  <c r="M1557" i="8"/>
  <c r="M1301" i="8"/>
  <c r="M1989" i="8"/>
  <c r="M1925" i="8"/>
  <c r="M1861" i="8"/>
  <c r="M1797" i="8"/>
  <c r="M1624" i="8"/>
  <c r="M1390" i="8"/>
  <c r="M719" i="8"/>
  <c r="M1948" i="8"/>
  <c r="M1884" i="8"/>
  <c r="M1820" i="8"/>
  <c r="M1686" i="8"/>
  <c r="M1485" i="8"/>
  <c r="M1219" i="8"/>
  <c r="M1971" i="8"/>
  <c r="M1907" i="8"/>
  <c r="M1843" i="8"/>
  <c r="M1749" i="8"/>
  <c r="M1574" i="8"/>
  <c r="M1318" i="8"/>
  <c r="M1994" i="8"/>
  <c r="M1930" i="8"/>
  <c r="M1866" i="8"/>
  <c r="M1802" i="8"/>
  <c r="M1638" i="8"/>
  <c r="M1413" i="8"/>
  <c r="M903" i="8"/>
  <c r="M1748" i="8"/>
  <c r="M1684" i="8"/>
  <c r="M1620" i="8"/>
  <c r="M1556" i="8"/>
  <c r="M1492" i="8"/>
  <c r="M1428" i="8"/>
  <c r="M1364" i="8"/>
  <c r="M1300" i="8"/>
  <c r="M1230" i="8"/>
  <c r="M1023" i="8"/>
  <c r="M1787" i="8"/>
  <c r="M1723" i="8"/>
  <c r="M1659" i="8"/>
  <c r="M1595" i="8"/>
  <c r="M1531" i="8"/>
  <c r="M1467" i="8"/>
  <c r="M1403" i="8"/>
  <c r="M1339" i="8"/>
  <c r="M1275" i="8"/>
  <c r="M1194" i="8"/>
  <c r="M823" i="8"/>
  <c r="M1762" i="8"/>
  <c r="M1698" i="8"/>
  <c r="M1634" i="8"/>
  <c r="M1570" i="8"/>
  <c r="M1506" i="8"/>
  <c r="M1442" i="8"/>
  <c r="M1378" i="8"/>
  <c r="M1314" i="8"/>
  <c r="M1247" i="8"/>
  <c r="M1007" i="8"/>
  <c r="M1769" i="8"/>
  <c r="M1673" i="8"/>
  <c r="M1593" i="8"/>
  <c r="M1513" i="8"/>
  <c r="M1417" i="8"/>
  <c r="M1337" i="8"/>
  <c r="M1255" i="8"/>
  <c r="M935" i="8"/>
  <c r="M1544" i="8"/>
  <c r="M1464" i="8"/>
  <c r="M1368" i="8"/>
  <c r="M1288" i="8"/>
  <c r="M1187" i="8"/>
  <c r="M1791" i="8"/>
  <c r="M1711" i="8"/>
  <c r="M1583" i="8"/>
  <c r="M1455" i="8"/>
  <c r="M1327" i="8"/>
  <c r="M855" i="8"/>
  <c r="M1064" i="8"/>
  <c r="M808" i="8"/>
  <c r="M1110" i="8"/>
  <c r="M854" i="8"/>
  <c r="M48" i="8"/>
  <c r="M1021" i="8"/>
  <c r="M765" i="8"/>
  <c r="M1156" i="8"/>
  <c r="M900" i="8"/>
  <c r="M416" i="8"/>
  <c r="M939" i="8"/>
  <c r="M683" i="8"/>
  <c r="M978" i="8"/>
  <c r="M722" i="8"/>
  <c r="M1081" i="8"/>
  <c r="M825" i="8"/>
  <c r="M657" i="8"/>
  <c r="M401" i="8"/>
  <c r="M145" i="8"/>
  <c r="M567" i="8"/>
  <c r="M311" i="8"/>
  <c r="M55" i="8"/>
  <c r="M470" i="8"/>
  <c r="M214" i="8"/>
  <c r="M637" i="8"/>
  <c r="M381" i="8"/>
  <c r="M125" i="8"/>
  <c r="M540" i="8"/>
  <c r="M284" i="8"/>
  <c r="M28" i="8"/>
  <c r="M443" i="8"/>
  <c r="M187" i="8"/>
  <c r="M610" i="8"/>
  <c r="M354" i="8"/>
  <c r="M2" i="8"/>
  <c r="M66" i="8"/>
  <c r="M130" i="8"/>
  <c r="M194" i="8"/>
  <c r="M258" i="8"/>
  <c r="M322" i="8"/>
  <c r="M386" i="8"/>
  <c r="M450" i="8"/>
  <c r="M514" i="8"/>
  <c r="M578" i="8"/>
  <c r="M642" i="8"/>
  <c r="M27" i="8"/>
  <c r="M91" i="8"/>
  <c r="M155" i="8"/>
  <c r="M219" i="8"/>
  <c r="M283" i="8"/>
  <c r="M347" i="8"/>
  <c r="M411" i="8"/>
  <c r="M475" i="8"/>
  <c r="M539" i="8"/>
  <c r="M603" i="8"/>
  <c r="M667" i="8"/>
  <c r="M60" i="8"/>
  <c r="M124" i="8"/>
  <c r="M188" i="8"/>
  <c r="M252" i="8"/>
  <c r="M316" i="8"/>
  <c r="M380" i="8"/>
  <c r="M444" i="8"/>
  <c r="M508" i="8"/>
  <c r="M572" i="8"/>
  <c r="M636" i="8"/>
  <c r="M29" i="8"/>
  <c r="M93" i="8"/>
  <c r="M157" i="8"/>
  <c r="M221" i="8"/>
  <c r="M285" i="8"/>
  <c r="M349" i="8"/>
  <c r="M413" i="8"/>
  <c r="M477" i="8"/>
  <c r="M541" i="8"/>
  <c r="M605" i="8"/>
  <c r="M669" i="8"/>
  <c r="M54" i="8"/>
  <c r="M118" i="8"/>
  <c r="M182" i="8"/>
  <c r="M246" i="8"/>
  <c r="M310" i="8"/>
  <c r="M374" i="8"/>
  <c r="M438" i="8"/>
  <c r="M502" i="8"/>
  <c r="M566" i="8"/>
  <c r="M630" i="8"/>
  <c r="M23" i="8"/>
  <c r="M87" i="8"/>
  <c r="M151" i="8"/>
  <c r="M215" i="8"/>
  <c r="M279" i="8"/>
  <c r="M343" i="8"/>
  <c r="M407" i="8"/>
  <c r="M471" i="8"/>
  <c r="M535" i="8"/>
  <c r="M599" i="8"/>
  <c r="M663" i="8"/>
  <c r="M49" i="8"/>
  <c r="M113" i="8"/>
  <c r="M177" i="8"/>
  <c r="M241" i="8"/>
  <c r="M305" i="8"/>
  <c r="M369" i="8"/>
  <c r="M433" i="8"/>
  <c r="M497" i="8"/>
  <c r="M561" i="8"/>
  <c r="M625" i="8"/>
  <c r="M72" i="8"/>
  <c r="M584" i="8"/>
  <c r="M729" i="8"/>
  <c r="M793" i="8"/>
  <c r="M857" i="8"/>
  <c r="M921" i="8"/>
  <c r="M985" i="8"/>
  <c r="M1049" i="8"/>
  <c r="M1113" i="8"/>
  <c r="M1177" i="8"/>
  <c r="M272" i="8"/>
  <c r="M690" i="8"/>
  <c r="M754" i="8"/>
  <c r="M818" i="8"/>
  <c r="M882" i="8"/>
  <c r="M946" i="8"/>
  <c r="M1010" i="8"/>
  <c r="M1074" i="8"/>
  <c r="M1138" i="8"/>
  <c r="M472" i="8"/>
  <c r="M715" i="8"/>
  <c r="M779" i="8"/>
  <c r="M843" i="8"/>
  <c r="M907" i="8"/>
  <c r="M971" i="8"/>
  <c r="M1035" i="8"/>
  <c r="M1099" i="8"/>
  <c r="M160" i="8"/>
  <c r="M672" i="8"/>
  <c r="M740" i="8"/>
  <c r="M804" i="8"/>
  <c r="M868" i="8"/>
  <c r="M932" i="8"/>
  <c r="M996" i="8"/>
  <c r="M1060" i="8"/>
  <c r="M1124" i="8"/>
  <c r="M1188" i="8"/>
  <c r="M104" i="8"/>
  <c r="M616" i="8"/>
  <c r="M733" i="8"/>
  <c r="M797" i="8"/>
  <c r="M861" i="8"/>
  <c r="M925" i="8"/>
  <c r="M989" i="8"/>
  <c r="M1053" i="8"/>
  <c r="M1117" i="8"/>
  <c r="M1181" i="8"/>
  <c r="M1245" i="8"/>
  <c r="M304" i="8"/>
  <c r="M694" i="8"/>
  <c r="M758" i="8"/>
  <c r="M822" i="8"/>
  <c r="M886" i="8"/>
  <c r="M950" i="8"/>
  <c r="M1014" i="8"/>
  <c r="M1078" i="8"/>
  <c r="M1142" i="8"/>
  <c r="M448" i="8"/>
  <c r="M712" i="8"/>
  <c r="M776" i="8"/>
  <c r="M840" i="8"/>
  <c r="M904" i="8"/>
  <c r="M968" i="8"/>
  <c r="M1032" i="8"/>
  <c r="M1096" i="8"/>
  <c r="M1160" i="8"/>
  <c r="M791" i="8"/>
  <c r="M1186" i="8"/>
  <c r="M1271" i="8"/>
  <c r="M10" i="8"/>
  <c r="M74" i="8"/>
  <c r="M138" i="8"/>
  <c r="M202" i="8"/>
  <c r="M266" i="8"/>
  <c r="M330" i="8"/>
  <c r="M394" i="8"/>
  <c r="M458" i="8"/>
  <c r="M522" i="8"/>
  <c r="M586" i="8"/>
  <c r="M650" i="8"/>
  <c r="M35" i="8"/>
  <c r="M99" i="8"/>
  <c r="M163" i="8"/>
  <c r="M227" i="8"/>
  <c r="M291" i="8"/>
  <c r="M355" i="8"/>
  <c r="M419" i="8"/>
  <c r="M483" i="8"/>
  <c r="M547" i="8"/>
  <c r="M611" i="8"/>
  <c r="M4" i="8"/>
  <c r="M68" i="8"/>
  <c r="M132" i="8"/>
  <c r="M196" i="8"/>
  <c r="M260" i="8"/>
  <c r="M324" i="8"/>
  <c r="M388" i="8"/>
  <c r="M452" i="8"/>
  <c r="M516" i="8"/>
  <c r="M580" i="8"/>
  <c r="M644" i="8"/>
  <c r="M37" i="8"/>
  <c r="M101" i="8"/>
  <c r="M165" i="8"/>
  <c r="M229" i="8"/>
  <c r="M293" i="8"/>
  <c r="M357" i="8"/>
  <c r="M421" i="8"/>
  <c r="M485" i="8"/>
  <c r="M549" i="8"/>
  <c r="M613" i="8"/>
  <c r="M677" i="8"/>
  <c r="M62" i="8"/>
  <c r="M126" i="8"/>
  <c r="M190" i="8"/>
  <c r="M254" i="8"/>
  <c r="M318" i="8"/>
  <c r="M382" i="8"/>
  <c r="M446" i="8"/>
  <c r="M510" i="8"/>
  <c r="M574" i="8"/>
  <c r="M638" i="8"/>
  <c r="M31" i="8"/>
  <c r="M95" i="8"/>
  <c r="M159" i="8"/>
  <c r="M223" i="8"/>
  <c r="M287" i="8"/>
  <c r="M351" i="8"/>
  <c r="M415" i="8"/>
  <c r="M479" i="8"/>
  <c r="M543" i="8"/>
  <c r="M607" i="8"/>
  <c r="M671" i="8"/>
  <c r="M57" i="8"/>
  <c r="M121" i="8"/>
  <c r="M185" i="8"/>
  <c r="M249" i="8"/>
  <c r="M313" i="8"/>
  <c r="M377" i="8"/>
  <c r="M441" i="8"/>
  <c r="M505" i="8"/>
  <c r="M569" i="8"/>
  <c r="M633" i="8"/>
  <c r="M136" i="8"/>
  <c r="M648" i="8"/>
  <c r="M737" i="8"/>
  <c r="M801" i="8"/>
  <c r="M865" i="8"/>
  <c r="M929" i="8"/>
  <c r="M993" i="8"/>
  <c r="M1057" i="8"/>
  <c r="M1121" i="8"/>
  <c r="M1185" i="8"/>
  <c r="M336" i="8"/>
  <c r="M698" i="8"/>
  <c r="M762" i="8"/>
  <c r="M826" i="8"/>
  <c r="M890" i="8"/>
  <c r="M954" i="8"/>
  <c r="M1018" i="8"/>
  <c r="M1082" i="8"/>
  <c r="M24" i="8"/>
  <c r="M536" i="8"/>
  <c r="M723" i="8"/>
  <c r="M787" i="8"/>
  <c r="M851" i="8"/>
  <c r="M915" i="8"/>
  <c r="M979" i="8"/>
  <c r="M1043" i="8"/>
  <c r="M1107" i="8"/>
  <c r="M224" i="8"/>
  <c r="M684" i="8"/>
  <c r="M748" i="8"/>
  <c r="M812" i="8"/>
  <c r="M876" i="8"/>
  <c r="M940" i="8"/>
  <c r="M1004" i="8"/>
  <c r="M1068" i="8"/>
  <c r="M1132" i="8"/>
  <c r="M1196" i="8"/>
  <c r="M168" i="8"/>
  <c r="M675" i="8"/>
  <c r="M741" i="8"/>
  <c r="M805" i="8"/>
  <c r="M869" i="8"/>
  <c r="M933" i="8"/>
  <c r="M997" i="8"/>
  <c r="M1061" i="8"/>
  <c r="M1125" i="8"/>
  <c r="M1189" i="8"/>
  <c r="M1253" i="8"/>
  <c r="M368" i="8"/>
  <c r="M702" i="8"/>
  <c r="M766" i="8"/>
  <c r="M830" i="8"/>
  <c r="M894" i="8"/>
  <c r="M958" i="8"/>
  <c r="M1022" i="8"/>
  <c r="M1086" i="8"/>
  <c r="M1150" i="8"/>
  <c r="M512" i="8"/>
  <c r="M720" i="8"/>
  <c r="M784" i="8"/>
  <c r="M848" i="8"/>
  <c r="M912" i="8"/>
  <c r="M976" i="8"/>
  <c r="M1040" i="8"/>
  <c r="M18" i="8"/>
  <c r="M82" i="8"/>
  <c r="M146" i="8"/>
  <c r="M210" i="8"/>
  <c r="M274" i="8"/>
  <c r="M338" i="8"/>
  <c r="M402" i="8"/>
  <c r="M466" i="8"/>
  <c r="M530" i="8"/>
  <c r="M594" i="8"/>
  <c r="M658" i="8"/>
  <c r="M43" i="8"/>
  <c r="M107" i="8"/>
  <c r="M171" i="8"/>
  <c r="M235" i="8"/>
  <c r="M299" i="8"/>
  <c r="M363" i="8"/>
  <c r="M427" i="8"/>
  <c r="M491" i="8"/>
  <c r="M555" i="8"/>
  <c r="M619" i="8"/>
  <c r="M12" i="8"/>
  <c r="M76" i="8"/>
  <c r="M140" i="8"/>
  <c r="M204" i="8"/>
  <c r="M268" i="8"/>
  <c r="M332" i="8"/>
  <c r="M396" i="8"/>
  <c r="M460" i="8"/>
  <c r="M524" i="8"/>
  <c r="M588" i="8"/>
  <c r="M652" i="8"/>
  <c r="M45" i="8"/>
  <c r="M109" i="8"/>
  <c r="M173" i="8"/>
  <c r="M237" i="8"/>
  <c r="M301" i="8"/>
  <c r="M365" i="8"/>
  <c r="M429" i="8"/>
  <c r="M493" i="8"/>
  <c r="M557" i="8"/>
  <c r="M621" i="8"/>
  <c r="M6" i="8"/>
  <c r="M70" i="8"/>
  <c r="M134" i="8"/>
  <c r="M198" i="8"/>
  <c r="M262" i="8"/>
  <c r="M326" i="8"/>
  <c r="M390" i="8"/>
  <c r="M454" i="8"/>
  <c r="M518" i="8"/>
  <c r="M582" i="8"/>
  <c r="M646" i="8"/>
  <c r="M39" i="8"/>
  <c r="M103" i="8"/>
  <c r="M167" i="8"/>
  <c r="M231" i="8"/>
  <c r="M295" i="8"/>
  <c r="M359" i="8"/>
  <c r="M423" i="8"/>
  <c r="M487" i="8"/>
  <c r="M551" i="8"/>
  <c r="M615" i="8"/>
  <c r="M679" i="8"/>
  <c r="M65" i="8"/>
  <c r="M129" i="8"/>
  <c r="M193" i="8"/>
  <c r="M257" i="8"/>
  <c r="M321" i="8"/>
  <c r="M385" i="8"/>
  <c r="M449" i="8"/>
  <c r="M513" i="8"/>
  <c r="M577" i="8"/>
  <c r="M641" i="8"/>
  <c r="M200" i="8"/>
  <c r="M681" i="8"/>
  <c r="M745" i="8"/>
  <c r="M809" i="8"/>
  <c r="M873" i="8"/>
  <c r="M937" i="8"/>
  <c r="M1001" i="8"/>
  <c r="M1065" i="8"/>
  <c r="M1129" i="8"/>
  <c r="M1193" i="8"/>
  <c r="M400" i="8"/>
  <c r="M706" i="8"/>
  <c r="M770" i="8"/>
  <c r="M834" i="8"/>
  <c r="M898" i="8"/>
  <c r="M962" i="8"/>
  <c r="M1026" i="8"/>
  <c r="M1090" i="8"/>
  <c r="M88" i="8"/>
  <c r="M600" i="8"/>
  <c r="M731" i="8"/>
  <c r="M795" i="8"/>
  <c r="M859" i="8"/>
  <c r="M923" i="8"/>
  <c r="M987" i="8"/>
  <c r="M1051" i="8"/>
  <c r="M1115" i="8"/>
  <c r="M288" i="8"/>
  <c r="M692" i="8"/>
  <c r="M756" i="8"/>
  <c r="M820" i="8"/>
  <c r="M884" i="8"/>
  <c r="M948" i="8"/>
  <c r="M1012" i="8"/>
  <c r="M1076" i="8"/>
  <c r="M1140" i="8"/>
  <c r="M1204" i="8"/>
  <c r="M232" i="8"/>
  <c r="M685" i="8"/>
  <c r="M749" i="8"/>
  <c r="M813" i="8"/>
  <c r="M877" i="8"/>
  <c r="M941" i="8"/>
  <c r="M1005" i="8"/>
  <c r="M1069" i="8"/>
  <c r="M1133" i="8"/>
  <c r="M1197" i="8"/>
  <c r="M1261" i="8"/>
  <c r="M432" i="8"/>
  <c r="M710" i="8"/>
  <c r="M774" i="8"/>
  <c r="M838" i="8"/>
  <c r="M902" i="8"/>
  <c r="M966" i="8"/>
  <c r="M1030" i="8"/>
  <c r="M1094" i="8"/>
  <c r="M64" i="8"/>
  <c r="M576" i="8"/>
  <c r="M728" i="8"/>
  <c r="M792" i="8"/>
  <c r="M856" i="8"/>
  <c r="M920" i="8"/>
  <c r="M984" i="8"/>
  <c r="M1048" i="8"/>
  <c r="M1112" i="8"/>
  <c r="M1176" i="8"/>
  <c r="M919" i="8"/>
  <c r="M1211" i="8"/>
  <c r="M1287" i="8"/>
  <c r="M1351" i="8"/>
  <c r="M1415" i="8"/>
  <c r="M1479" i="8"/>
  <c r="M1543" i="8"/>
  <c r="M1607" i="8"/>
  <c r="M1671" i="8"/>
  <c r="M1735" i="8"/>
  <c r="M120" i="8"/>
  <c r="M1119" i="8"/>
  <c r="M1244" i="8"/>
  <c r="M1312" i="8"/>
  <c r="M1376" i="8"/>
  <c r="M1440" i="8"/>
  <c r="M1504" i="8"/>
  <c r="M1568" i="8"/>
  <c r="M999" i="8"/>
  <c r="M1225" i="8"/>
  <c r="M1297" i="8"/>
  <c r="M1361" i="8"/>
  <c r="M1425" i="8"/>
  <c r="M1489" i="8"/>
  <c r="M1553" i="8"/>
  <c r="M1617" i="8"/>
  <c r="M1681" i="8"/>
  <c r="M1745" i="8"/>
  <c r="M687" i="8"/>
  <c r="M1159" i="8"/>
  <c r="M26" i="8"/>
  <c r="M90" i="8"/>
  <c r="M154" i="8"/>
  <c r="M218" i="8"/>
  <c r="M282" i="8"/>
  <c r="M346" i="8"/>
  <c r="M410" i="8"/>
  <c r="M474" i="8"/>
  <c r="M538" i="8"/>
  <c r="M602" i="8"/>
  <c r="M666" i="8"/>
  <c r="M51" i="8"/>
  <c r="M115" i="8"/>
  <c r="M179" i="8"/>
  <c r="M243" i="8"/>
  <c r="M307" i="8"/>
  <c r="M371" i="8"/>
  <c r="M435" i="8"/>
  <c r="M499" i="8"/>
  <c r="M563" i="8"/>
  <c r="M627" i="8"/>
  <c r="M20" i="8"/>
  <c r="M84" i="8"/>
  <c r="M148" i="8"/>
  <c r="M212" i="8"/>
  <c r="M276" i="8"/>
  <c r="M340" i="8"/>
  <c r="M404" i="8"/>
  <c r="M468" i="8"/>
  <c r="M532" i="8"/>
  <c r="M596" i="8"/>
  <c r="M660" i="8"/>
  <c r="M53" i="8"/>
  <c r="M117" i="8"/>
  <c r="M181" i="8"/>
  <c r="M245" i="8"/>
  <c r="M309" i="8"/>
  <c r="M373" i="8"/>
  <c r="M437" i="8"/>
  <c r="M501" i="8"/>
  <c r="M565" i="8"/>
  <c r="M629" i="8"/>
  <c r="M14" i="8"/>
  <c r="M78" i="8"/>
  <c r="M142" i="8"/>
  <c r="M206" i="8"/>
  <c r="M270" i="8"/>
  <c r="M334" i="8"/>
  <c r="M398" i="8"/>
  <c r="M462" i="8"/>
  <c r="M526" i="8"/>
  <c r="M590" i="8"/>
  <c r="M654" i="8"/>
  <c r="M47" i="8"/>
  <c r="M111" i="8"/>
  <c r="M175" i="8"/>
  <c r="M239" i="8"/>
  <c r="M303" i="8"/>
  <c r="M367" i="8"/>
  <c r="M431" i="8"/>
  <c r="M495" i="8"/>
  <c r="M559" i="8"/>
  <c r="M623" i="8"/>
  <c r="M9" i="8"/>
  <c r="M73" i="8"/>
  <c r="M137" i="8"/>
  <c r="M201" i="8"/>
  <c r="M265" i="8"/>
  <c r="M329" i="8"/>
  <c r="M393" i="8"/>
  <c r="M457" i="8"/>
  <c r="M521" i="8"/>
  <c r="M585" i="8"/>
  <c r="M649" i="8"/>
  <c r="M264" i="8"/>
  <c r="M689" i="8"/>
  <c r="M753" i="8"/>
  <c r="M817" i="8"/>
  <c r="M881" i="8"/>
  <c r="M945" i="8"/>
  <c r="M1009" i="8"/>
  <c r="M1073" i="8"/>
  <c r="M1137" i="8"/>
  <c r="M1201" i="8"/>
  <c r="M464" i="8"/>
  <c r="M714" i="8"/>
  <c r="M778" i="8"/>
  <c r="M842" i="8"/>
  <c r="M906" i="8"/>
  <c r="M970" i="8"/>
  <c r="M1034" i="8"/>
  <c r="M1098" i="8"/>
  <c r="M152" i="8"/>
  <c r="M664" i="8"/>
  <c r="M739" i="8"/>
  <c r="M803" i="8"/>
  <c r="M867" i="8"/>
  <c r="M931" i="8"/>
  <c r="M995" i="8"/>
  <c r="M1059" i="8"/>
  <c r="M1123" i="8"/>
  <c r="M352" i="8"/>
  <c r="M700" i="8"/>
  <c r="M764" i="8"/>
  <c r="M828" i="8"/>
  <c r="M892" i="8"/>
  <c r="M956" i="8"/>
  <c r="M1020" i="8"/>
  <c r="M1084" i="8"/>
  <c r="M1148" i="8"/>
  <c r="M1212" i="8"/>
  <c r="M296" i="8"/>
  <c r="M693" i="8"/>
  <c r="M757" i="8"/>
  <c r="M821" i="8"/>
  <c r="M885" i="8"/>
  <c r="M949" i="8"/>
  <c r="M1013" i="8"/>
  <c r="M1077" i="8"/>
  <c r="M1141" i="8"/>
  <c r="M1205" i="8"/>
  <c r="M1269" i="8"/>
  <c r="M496" i="8"/>
  <c r="M718" i="8"/>
  <c r="M782" i="8"/>
  <c r="M846" i="8"/>
  <c r="M910" i="8"/>
  <c r="M974" i="8"/>
  <c r="M1038" i="8"/>
  <c r="M1102" i="8"/>
  <c r="M128" i="8"/>
  <c r="M640" i="8"/>
  <c r="M736" i="8"/>
  <c r="M800" i="8"/>
  <c r="M864" i="8"/>
  <c r="M928" i="8"/>
  <c r="M992" i="8"/>
  <c r="M1056" i="8"/>
  <c r="M1120" i="8"/>
  <c r="M1184" i="8"/>
  <c r="M983" i="8"/>
  <c r="M1223" i="8"/>
  <c r="M1295" i="8"/>
  <c r="M1359" i="8"/>
  <c r="M1423" i="8"/>
  <c r="M1487" i="8"/>
  <c r="M1551" i="8"/>
  <c r="M1615" i="8"/>
  <c r="M1679" i="8"/>
  <c r="M1743" i="8"/>
  <c r="M632" i="8"/>
  <c r="M1155" i="8"/>
  <c r="M1254" i="8"/>
  <c r="M1320" i="8"/>
  <c r="M1384" i="8"/>
  <c r="M1448" i="8"/>
  <c r="M1512" i="8"/>
  <c r="M1576" i="8"/>
  <c r="M1063" i="8"/>
  <c r="M1235" i="8"/>
  <c r="M1305" i="8"/>
  <c r="M1369" i="8"/>
  <c r="M1433" i="8"/>
  <c r="M1497" i="8"/>
  <c r="M1561" i="8"/>
  <c r="M1625" i="8"/>
  <c r="M1689" i="8"/>
  <c r="M1753" i="8"/>
  <c r="M751" i="8"/>
  <c r="M1175" i="8"/>
  <c r="M42" i="8"/>
  <c r="M106" i="8"/>
  <c r="M170" i="8"/>
  <c r="M234" i="8"/>
  <c r="M298" i="8"/>
  <c r="M362" i="8"/>
  <c r="M426" i="8"/>
  <c r="M490" i="8"/>
  <c r="M554" i="8"/>
  <c r="M618" i="8"/>
  <c r="M3" i="8"/>
  <c r="M67" i="8"/>
  <c r="M131" i="8"/>
  <c r="M195" i="8"/>
  <c r="M259" i="8"/>
  <c r="M323" i="8"/>
  <c r="M387" i="8"/>
  <c r="M451" i="8"/>
  <c r="M515" i="8"/>
  <c r="M579" i="8"/>
  <c r="M643" i="8"/>
  <c r="M36" i="8"/>
  <c r="M100" i="8"/>
  <c r="M164" i="8"/>
  <c r="M228" i="8"/>
  <c r="M292" i="8"/>
  <c r="M356" i="8"/>
  <c r="M420" i="8"/>
  <c r="M484" i="8"/>
  <c r="M548" i="8"/>
  <c r="M612" i="8"/>
  <c r="M5" i="8"/>
  <c r="M69" i="8"/>
  <c r="M133" i="8"/>
  <c r="M197" i="8"/>
  <c r="M261" i="8"/>
  <c r="M325" i="8"/>
  <c r="M389" i="8"/>
  <c r="M453" i="8"/>
  <c r="M517" i="8"/>
  <c r="M581" i="8"/>
  <c r="M645" i="8"/>
  <c r="M30" i="8"/>
  <c r="M94" i="8"/>
  <c r="M158" i="8"/>
  <c r="M222" i="8"/>
  <c r="M286" i="8"/>
  <c r="M350" i="8"/>
  <c r="M414" i="8"/>
  <c r="M478" i="8"/>
  <c r="M542" i="8"/>
  <c r="M606" i="8"/>
  <c r="M670" i="8"/>
  <c r="M63" i="8"/>
  <c r="M127" i="8"/>
  <c r="M191" i="8"/>
  <c r="M255" i="8"/>
  <c r="M319" i="8"/>
  <c r="M383" i="8"/>
  <c r="M447" i="8"/>
  <c r="M511" i="8"/>
  <c r="M575" i="8"/>
  <c r="M639" i="8"/>
  <c r="M25" i="8"/>
  <c r="M89" i="8"/>
  <c r="M153" i="8"/>
  <c r="M217" i="8"/>
  <c r="M281" i="8"/>
  <c r="M345" i="8"/>
  <c r="M409" i="8"/>
  <c r="M473" i="8"/>
  <c r="M537" i="8"/>
  <c r="M601" i="8"/>
  <c r="M665" i="8"/>
  <c r="M392" i="8"/>
  <c r="M705" i="8"/>
  <c r="M769" i="8"/>
  <c r="M833" i="8"/>
  <c r="M897" i="8"/>
  <c r="M961" i="8"/>
  <c r="M1025" i="8"/>
  <c r="M1089" i="8"/>
  <c r="M1153" i="8"/>
  <c r="M80" i="8"/>
  <c r="M592" i="8"/>
  <c r="M730" i="8"/>
  <c r="M794" i="8"/>
  <c r="M858" i="8"/>
  <c r="M922" i="8"/>
  <c r="M986" i="8"/>
  <c r="M1050" i="8"/>
  <c r="M1114" i="8"/>
  <c r="M280" i="8"/>
  <c r="M691" i="8"/>
  <c r="M755" i="8"/>
  <c r="M819" i="8"/>
  <c r="M883" i="8"/>
  <c r="M947" i="8"/>
  <c r="M1011" i="8"/>
  <c r="M1075" i="8"/>
  <c r="M1139" i="8"/>
  <c r="M480" i="8"/>
  <c r="M716" i="8"/>
  <c r="M780" i="8"/>
  <c r="M844" i="8"/>
  <c r="M908" i="8"/>
  <c r="M972" i="8"/>
  <c r="M1036" i="8"/>
  <c r="M1100" i="8"/>
  <c r="M1164" i="8"/>
  <c r="M1228" i="8"/>
  <c r="M424" i="8"/>
  <c r="M709" i="8"/>
  <c r="M773" i="8"/>
  <c r="M837" i="8"/>
  <c r="M901" i="8"/>
  <c r="M965" i="8"/>
  <c r="M1029" i="8"/>
  <c r="M1093" i="8"/>
  <c r="M1157" i="8"/>
  <c r="M1221" i="8"/>
  <c r="M112" i="8"/>
  <c r="M624" i="8"/>
  <c r="M734" i="8"/>
  <c r="M798" i="8"/>
  <c r="M862" i="8"/>
  <c r="M926" i="8"/>
  <c r="M990" i="8"/>
  <c r="M1054" i="8"/>
  <c r="M1118" i="8"/>
  <c r="M256" i="8"/>
  <c r="M688" i="8"/>
  <c r="M752" i="8"/>
  <c r="M816" i="8"/>
  <c r="M880" i="8"/>
  <c r="M944" i="8"/>
  <c r="M1008" i="8"/>
  <c r="M1072" i="8"/>
  <c r="M1136" i="8"/>
  <c r="M56" i="8"/>
  <c r="M1111" i="8"/>
  <c r="M1243" i="8"/>
  <c r="M1311" i="8"/>
  <c r="M1375" i="8"/>
  <c r="M1439" i="8"/>
  <c r="M1503" i="8"/>
  <c r="M1567" i="8"/>
  <c r="M1631" i="8"/>
  <c r="M1695" i="8"/>
  <c r="M50" i="8"/>
  <c r="M114" i="8"/>
  <c r="M178" i="8"/>
  <c r="M242" i="8"/>
  <c r="M306" i="8"/>
  <c r="M370" i="8"/>
  <c r="M434" i="8"/>
  <c r="M498" i="8"/>
  <c r="M562" i="8"/>
  <c r="M626" i="8"/>
  <c r="M11" i="8"/>
  <c r="M75" i="8"/>
  <c r="M139" i="8"/>
  <c r="M203" i="8"/>
  <c r="M267" i="8"/>
  <c r="M331" i="8"/>
  <c r="M395" i="8"/>
  <c r="M459" i="8"/>
  <c r="M523" i="8"/>
  <c r="M587" i="8"/>
  <c r="M651" i="8"/>
  <c r="M44" i="8"/>
  <c r="M108" i="8"/>
  <c r="M172" i="8"/>
  <c r="M236" i="8"/>
  <c r="M300" i="8"/>
  <c r="M364" i="8"/>
  <c r="M428" i="8"/>
  <c r="M492" i="8"/>
  <c r="M556" i="8"/>
  <c r="M620" i="8"/>
  <c r="M13" i="8"/>
  <c r="M77" i="8"/>
  <c r="M141" i="8"/>
  <c r="M205" i="8"/>
  <c r="M269" i="8"/>
  <c r="M333" i="8"/>
  <c r="M397" i="8"/>
  <c r="M461" i="8"/>
  <c r="M525" i="8"/>
  <c r="M589" i="8"/>
  <c r="M653" i="8"/>
  <c r="M38" i="8"/>
  <c r="M102" i="8"/>
  <c r="M166" i="8"/>
  <c r="M230" i="8"/>
  <c r="M294" i="8"/>
  <c r="M358" i="8"/>
  <c r="M422" i="8"/>
  <c r="M486" i="8"/>
  <c r="M550" i="8"/>
  <c r="M614" i="8"/>
  <c r="M7" i="8"/>
  <c r="M71" i="8"/>
  <c r="M135" i="8"/>
  <c r="M199" i="8"/>
  <c r="M263" i="8"/>
  <c r="M327" i="8"/>
  <c r="M391" i="8"/>
  <c r="M455" i="8"/>
  <c r="M519" i="8"/>
  <c r="M583" i="8"/>
  <c r="M647" i="8"/>
  <c r="M33" i="8"/>
  <c r="M97" i="8"/>
  <c r="M161" i="8"/>
  <c r="M225" i="8"/>
  <c r="M289" i="8"/>
  <c r="M353" i="8"/>
  <c r="M417" i="8"/>
  <c r="M481" i="8"/>
  <c r="M545" i="8"/>
  <c r="M609" i="8"/>
  <c r="M673" i="8"/>
  <c r="M456" i="8"/>
  <c r="M713" i="8"/>
  <c r="M777" i="8"/>
  <c r="M841" i="8"/>
  <c r="M905" i="8"/>
  <c r="M969" i="8"/>
  <c r="M1033" i="8"/>
  <c r="M1097" i="8"/>
  <c r="M1161" i="8"/>
  <c r="M144" i="8"/>
  <c r="M656" i="8"/>
  <c r="M738" i="8"/>
  <c r="M802" i="8"/>
  <c r="M866" i="8"/>
  <c r="M930" i="8"/>
  <c r="M994" i="8"/>
  <c r="M1058" i="8"/>
  <c r="M1122" i="8"/>
  <c r="M344" i="8"/>
  <c r="M699" i="8"/>
  <c r="M763" i="8"/>
  <c r="M827" i="8"/>
  <c r="M891" i="8"/>
  <c r="M955" i="8"/>
  <c r="M1019" i="8"/>
  <c r="M1083" i="8"/>
  <c r="M32" i="8"/>
  <c r="M544" i="8"/>
  <c r="M724" i="8"/>
  <c r="M788" i="8"/>
  <c r="M852" i="8"/>
  <c r="M916" i="8"/>
  <c r="M980" i="8"/>
  <c r="M1044" i="8"/>
  <c r="M1108" i="8"/>
  <c r="M1172" i="8"/>
  <c r="M1236" i="8"/>
  <c r="M488" i="8"/>
  <c r="M717" i="8"/>
  <c r="M781" i="8"/>
  <c r="M845" i="8"/>
  <c r="M909" i="8"/>
  <c r="M973" i="8"/>
  <c r="M1037" i="8"/>
  <c r="M1101" i="8"/>
  <c r="M1165" i="8"/>
  <c r="M1229" i="8"/>
  <c r="M176" i="8"/>
  <c r="M676" i="8"/>
  <c r="M742" i="8"/>
  <c r="M806" i="8"/>
  <c r="M870" i="8"/>
  <c r="M934" i="8"/>
  <c r="M998" i="8"/>
  <c r="M1062" i="8"/>
  <c r="M1126" i="8"/>
  <c r="M320" i="8"/>
  <c r="M696" i="8"/>
  <c r="M760" i="8"/>
  <c r="M824" i="8"/>
  <c r="M888" i="8"/>
  <c r="M952" i="8"/>
  <c r="M1016" i="8"/>
  <c r="M1080" i="8"/>
  <c r="M1144" i="8"/>
  <c r="M568" i="8"/>
  <c r="M1154" i="8"/>
  <c r="M1252" i="8"/>
  <c r="M1319" i="8"/>
  <c r="M1383" i="8"/>
  <c r="M1447" i="8"/>
  <c r="M1511" i="8"/>
  <c r="M1575" i="8"/>
  <c r="M1639" i="8"/>
  <c r="M1703" i="8"/>
  <c r="M1825" i="8"/>
  <c r="M1920" i="8"/>
  <c r="M1241" i="8"/>
  <c r="M1765" i="8"/>
  <c r="M1944" i="8"/>
  <c r="M1469" i="8"/>
  <c r="M1841" i="8"/>
  <c r="M2000" i="8"/>
  <c r="M1654" i="8"/>
  <c r="M1897" i="8"/>
  <c r="M1278" i="8"/>
  <c r="M1800" i="8"/>
  <c r="M1999" i="8"/>
  <c r="M1935" i="8"/>
  <c r="M1871" i="8"/>
  <c r="M1807" i="8"/>
  <c r="M1653" i="8"/>
  <c r="M1430" i="8"/>
  <c r="M1039" i="8"/>
  <c r="M1958" i="8"/>
  <c r="M1894" i="8"/>
  <c r="M1830" i="8"/>
  <c r="M1712" i="8"/>
  <c r="M1525" i="8"/>
  <c r="M1268" i="8"/>
  <c r="M1981" i="8"/>
  <c r="M1917" i="8"/>
  <c r="M1853" i="8"/>
  <c r="M1774" i="8"/>
  <c r="M1605" i="8"/>
  <c r="M1358" i="8"/>
  <c r="M2004" i="8"/>
  <c r="M1940" i="8"/>
  <c r="M1876" i="8"/>
  <c r="M1812" i="8"/>
  <c r="M1664" i="8"/>
  <c r="M1453" i="8"/>
  <c r="M1166" i="8"/>
  <c r="M1963" i="8"/>
  <c r="M1899" i="8"/>
  <c r="M1835" i="8"/>
  <c r="M1726" i="8"/>
  <c r="M1542" i="8"/>
  <c r="M1286" i="8"/>
  <c r="M1986" i="8"/>
  <c r="M1922" i="8"/>
  <c r="M1858" i="8"/>
  <c r="M1789" i="8"/>
  <c r="M1616" i="8"/>
  <c r="M1381" i="8"/>
  <c r="M440" i="8"/>
  <c r="M1740" i="8"/>
  <c r="M1676" i="8"/>
  <c r="M1612" i="8"/>
  <c r="M1548" i="8"/>
  <c r="M1484" i="8"/>
  <c r="M1420" i="8"/>
  <c r="M1356" i="8"/>
  <c r="M1292" i="8"/>
  <c r="M1218" i="8"/>
  <c r="M959" i="8"/>
  <c r="M1779" i="8"/>
  <c r="M1715" i="8"/>
  <c r="M1651" i="8"/>
  <c r="M1587" i="8"/>
  <c r="M1523" i="8"/>
  <c r="M1459" i="8"/>
  <c r="M1395" i="8"/>
  <c r="M1331" i="8"/>
  <c r="M1266" i="8"/>
  <c r="M1178" i="8"/>
  <c r="M759" i="8"/>
  <c r="M1754" i="8"/>
  <c r="M1690" i="8"/>
  <c r="M1626" i="8"/>
  <c r="M1562" i="8"/>
  <c r="M1498" i="8"/>
  <c r="M1434" i="8"/>
  <c r="M1370" i="8"/>
  <c r="M1306" i="8"/>
  <c r="M1238" i="8"/>
  <c r="M943" i="8"/>
  <c r="M1761" i="8"/>
  <c r="M1665" i="8"/>
  <c r="M1585" i="8"/>
  <c r="M1505" i="8"/>
  <c r="M1409" i="8"/>
  <c r="M1329" i="8"/>
  <c r="M1246" i="8"/>
  <c r="M871" i="8"/>
  <c r="M1536" i="8"/>
  <c r="M1456" i="8"/>
  <c r="M1360" i="8"/>
  <c r="M1280" i="8"/>
  <c r="M1171" i="8"/>
  <c r="M1783" i="8"/>
  <c r="M1687" i="8"/>
  <c r="M1559" i="8"/>
  <c r="M1431" i="8"/>
  <c r="M1303" i="8"/>
  <c r="M727" i="8"/>
  <c r="M1024" i="8"/>
  <c r="M768" i="8"/>
  <c r="M1070" i="8"/>
  <c r="M814" i="8"/>
  <c r="M1237" i="8"/>
  <c r="M981" i="8"/>
  <c r="M725" i="8"/>
  <c r="M1116" i="8"/>
  <c r="M860" i="8"/>
  <c r="M96" i="8"/>
  <c r="M899" i="8"/>
  <c r="M408" i="8"/>
  <c r="M938" i="8"/>
  <c r="M682" i="8"/>
  <c r="M1041" i="8"/>
  <c r="M785" i="8"/>
  <c r="M617" i="8"/>
  <c r="M361" i="8"/>
  <c r="M105" i="8"/>
  <c r="M527" i="8"/>
  <c r="M271" i="8"/>
  <c r="M15" i="8"/>
  <c r="M430" i="8"/>
  <c r="M174" i="8"/>
  <c r="M597" i="8"/>
  <c r="M341" i="8"/>
  <c r="M85" i="8"/>
  <c r="M500" i="8"/>
  <c r="M244" i="8"/>
  <c r="M659" i="8"/>
  <c r="M403" i="8"/>
  <c r="M147" i="8"/>
  <c r="M570" i="8"/>
  <c r="M314" i="8"/>
  <c r="M58" i="8"/>
  <c r="M1985" i="8"/>
  <c r="M1502" i="8"/>
  <c r="M1782" i="8"/>
  <c r="M2009" i="8"/>
  <c r="M1678" i="8"/>
  <c r="M1912" i="8"/>
  <c r="M1341" i="8"/>
  <c r="M1809" i="8"/>
  <c r="M1968" i="8"/>
  <c r="M1565" i="8"/>
  <c r="M1865" i="8"/>
  <c r="M847" i="8"/>
  <c r="M1718" i="8"/>
  <c r="M1991" i="8"/>
  <c r="M1927" i="8"/>
  <c r="M1863" i="8"/>
  <c r="M1799" i="8"/>
  <c r="M1630" i="8"/>
  <c r="M1398" i="8"/>
  <c r="M783" i="8"/>
  <c r="M1950" i="8"/>
  <c r="M1886" i="8"/>
  <c r="M1822" i="8"/>
  <c r="M1693" i="8"/>
  <c r="M1493" i="8"/>
  <c r="M1231" i="8"/>
  <c r="M1973" i="8"/>
  <c r="M1909" i="8"/>
  <c r="M1845" i="8"/>
  <c r="M1752" i="8"/>
  <c r="M1582" i="8"/>
  <c r="M1326" i="8"/>
  <c r="M1996" i="8"/>
  <c r="M1932" i="8"/>
  <c r="M1868" i="8"/>
  <c r="M1804" i="8"/>
  <c r="M1645" i="8"/>
  <c r="M1421" i="8"/>
  <c r="M967" i="8"/>
  <c r="M1955" i="8"/>
  <c r="M1891" i="8"/>
  <c r="M1827" i="8"/>
  <c r="M1704" i="8"/>
  <c r="M1510" i="8"/>
  <c r="M1251" i="8"/>
  <c r="M1978" i="8"/>
  <c r="M1914" i="8"/>
  <c r="M1850" i="8"/>
  <c r="M1766" i="8"/>
  <c r="M1597" i="8"/>
  <c r="M1349" i="8"/>
  <c r="M1796" i="8"/>
  <c r="M1732" i="8"/>
  <c r="M1668" i="8"/>
  <c r="M1604" i="8"/>
  <c r="M1540" i="8"/>
  <c r="M1476" i="8"/>
  <c r="M1412" i="8"/>
  <c r="M1348" i="8"/>
  <c r="M1284" i="8"/>
  <c r="M1208" i="8"/>
  <c r="M895" i="8"/>
  <c r="M1771" i="8"/>
  <c r="M1707" i="8"/>
  <c r="M1643" i="8"/>
  <c r="M1579" i="8"/>
  <c r="M1515" i="8"/>
  <c r="M1451" i="8"/>
  <c r="M1387" i="8"/>
  <c r="M1323" i="8"/>
  <c r="M1257" i="8"/>
  <c r="M1162" i="8"/>
  <c r="M695" i="8"/>
  <c r="M1746" i="8"/>
  <c r="M1682" i="8"/>
  <c r="M1618" i="8"/>
  <c r="M1554" i="8"/>
  <c r="M1490" i="8"/>
  <c r="M1426" i="8"/>
  <c r="M1362" i="8"/>
  <c r="M1298" i="8"/>
  <c r="M1226" i="8"/>
  <c r="M879" i="8"/>
  <c r="M1737" i="8"/>
  <c r="M1657" i="8"/>
  <c r="M1577" i="8"/>
  <c r="M1481" i="8"/>
  <c r="M1401" i="8"/>
  <c r="M1321" i="8"/>
  <c r="M1215" i="8"/>
  <c r="M807" i="8"/>
  <c r="M1528" i="8"/>
  <c r="M1432" i="8"/>
  <c r="M1352" i="8"/>
  <c r="M1272" i="8"/>
  <c r="M1055" i="8"/>
  <c r="M1775" i="8"/>
  <c r="M1663" i="8"/>
  <c r="M1535" i="8"/>
  <c r="M1407" i="8"/>
  <c r="M1279" i="8"/>
  <c r="M1192" i="8"/>
  <c r="M1000" i="8"/>
  <c r="M744" i="8"/>
  <c r="M1046" i="8"/>
  <c r="M790" i="8"/>
  <c r="M1213" i="8"/>
  <c r="M957" i="8"/>
  <c r="M701" i="8"/>
  <c r="M1092" i="8"/>
  <c r="M836" i="8"/>
  <c r="M1131" i="8"/>
  <c r="M875" i="8"/>
  <c r="M216" i="8"/>
  <c r="M914" i="8"/>
  <c r="M528" i="8"/>
  <c r="M1017" i="8"/>
  <c r="M761" i="8"/>
  <c r="M593" i="8"/>
  <c r="M337" i="8"/>
  <c r="M81" i="8"/>
  <c r="M503" i="8"/>
  <c r="M247" i="8"/>
  <c r="M662" i="8"/>
  <c r="M406" i="8"/>
  <c r="M150" i="8"/>
  <c r="M573" i="8"/>
  <c r="M317" i="8"/>
  <c r="M61" i="8"/>
  <c r="M476" i="8"/>
  <c r="M220" i="8"/>
  <c r="M635" i="8"/>
  <c r="M379" i="8"/>
  <c r="M123" i="8"/>
  <c r="M546" i="8"/>
  <c r="M290" i="8"/>
  <c r="M34" i="8"/>
  <c r="J2" i="8"/>
  <c r="J10" i="8"/>
  <c r="J18" i="8"/>
  <c r="J26" i="8"/>
  <c r="J34" i="8"/>
  <c r="J42" i="8"/>
  <c r="J50" i="8"/>
  <c r="J58" i="8"/>
  <c r="J66" i="8"/>
  <c r="J74" i="8"/>
  <c r="J82" i="8"/>
  <c r="J90" i="8"/>
  <c r="J98" i="8"/>
  <c r="J106" i="8"/>
  <c r="J114" i="8"/>
  <c r="J122" i="8"/>
  <c r="J130" i="8"/>
  <c r="J3" i="8"/>
  <c r="J11" i="8"/>
  <c r="J19" i="8"/>
  <c r="J27" i="8"/>
  <c r="J4" i="8"/>
  <c r="J12" i="8"/>
  <c r="J20" i="8"/>
  <c r="J28" i="8"/>
  <c r="J36" i="8"/>
  <c r="J44" i="8"/>
  <c r="J52" i="8"/>
  <c r="J60" i="8"/>
  <c r="J68" i="8"/>
  <c r="J76" i="8"/>
  <c r="J84" i="8"/>
  <c r="J92" i="8"/>
  <c r="J100" i="8"/>
  <c r="J108" i="8"/>
  <c r="J116" i="8"/>
  <c r="J124" i="8"/>
  <c r="J5" i="8"/>
  <c r="J13" i="8"/>
  <c r="J21" i="8"/>
  <c r="J29" i="8"/>
  <c r="J37" i="8"/>
  <c r="J45" i="8"/>
  <c r="J53" i="8"/>
  <c r="J61" i="8"/>
  <c r="J69" i="8"/>
  <c r="J77" i="8"/>
  <c r="J85" i="8"/>
  <c r="J93" i="8"/>
  <c r="J101" i="8"/>
  <c r="J109" i="8"/>
  <c r="J117" i="8"/>
  <c r="J125" i="8"/>
  <c r="J133" i="8"/>
  <c r="J141" i="8"/>
  <c r="J149" i="8"/>
  <c r="J157" i="8"/>
  <c r="J165" i="8"/>
  <c r="J173" i="8"/>
  <c r="J181" i="8"/>
  <c r="J189" i="8"/>
  <c r="J197" i="8"/>
  <c r="J205" i="8"/>
  <c r="J213" i="8"/>
  <c r="J221" i="8"/>
  <c r="J229" i="8"/>
  <c r="J237" i="8"/>
  <c r="J245" i="8"/>
  <c r="J253" i="8"/>
  <c r="J261" i="8"/>
  <c r="J269" i="8"/>
  <c r="J277" i="8"/>
  <c r="J285" i="8"/>
  <c r="J293" i="8"/>
  <c r="J301" i="8"/>
  <c r="J309" i="8"/>
  <c r="J317" i="8"/>
  <c r="J325" i="8"/>
  <c r="J333" i="8"/>
  <c r="J341" i="8"/>
  <c r="J349" i="8"/>
  <c r="J357" i="8"/>
  <c r="J365" i="8"/>
  <c r="J373" i="8"/>
  <c r="J381" i="8"/>
  <c r="J389" i="8"/>
  <c r="J397" i="8"/>
  <c r="J405" i="8"/>
  <c r="J413" i="8"/>
  <c r="J421" i="8"/>
  <c r="J429" i="8"/>
  <c r="J437" i="8"/>
  <c r="J445" i="8"/>
  <c r="J453" i="8"/>
  <c r="J461" i="8"/>
  <c r="J469" i="8"/>
  <c r="J477" i="8"/>
  <c r="J485" i="8"/>
  <c r="J493" i="8"/>
  <c r="J501" i="8"/>
  <c r="J509" i="8"/>
  <c r="J517" i="8"/>
  <c r="J525" i="8"/>
  <c r="J533" i="8"/>
  <c r="J541" i="8"/>
  <c r="J549" i="8"/>
  <c r="J557" i="8"/>
  <c r="J565" i="8"/>
  <c r="J573" i="8"/>
  <c r="J581" i="8"/>
  <c r="J589" i="8"/>
  <c r="J597" i="8"/>
  <c r="J605" i="8"/>
  <c r="J613" i="8"/>
  <c r="J621" i="8"/>
  <c r="J629" i="8"/>
  <c r="J637" i="8"/>
  <c r="J645" i="8"/>
  <c r="J653" i="8"/>
  <c r="J661" i="8"/>
  <c r="J669" i="8"/>
  <c r="J677" i="8"/>
  <c r="J6" i="8"/>
  <c r="J14" i="8"/>
  <c r="J22" i="8"/>
  <c r="J30" i="8"/>
  <c r="J38" i="8"/>
  <c r="J46" i="8"/>
  <c r="J54" i="8"/>
  <c r="J62" i="8"/>
  <c r="J70" i="8"/>
  <c r="J78" i="8"/>
  <c r="J86" i="8"/>
  <c r="J94" i="8"/>
  <c r="J102" i="8"/>
  <c r="J110" i="8"/>
  <c r="J118" i="8"/>
  <c r="J126" i="8"/>
  <c r="J134" i="8"/>
  <c r="J142" i="8"/>
  <c r="J150" i="8"/>
  <c r="J158" i="8"/>
  <c r="J166" i="8"/>
  <c r="J174" i="8"/>
  <c r="J182" i="8"/>
  <c r="J190" i="8"/>
  <c r="J198" i="8"/>
  <c r="J206" i="8"/>
  <c r="J214" i="8"/>
  <c r="J222" i="8"/>
  <c r="J230" i="8"/>
  <c r="J238" i="8"/>
  <c r="J246" i="8"/>
  <c r="J254" i="8"/>
  <c r="J262" i="8"/>
  <c r="J270" i="8"/>
  <c r="J278" i="8"/>
  <c r="J286" i="8"/>
  <c r="J294" i="8"/>
  <c r="J302" i="8"/>
  <c r="J310" i="8"/>
  <c r="J318" i="8"/>
  <c r="J326" i="8"/>
  <c r="J334" i="8"/>
  <c r="J342" i="8"/>
  <c r="J350" i="8"/>
  <c r="J358" i="8"/>
  <c r="J366" i="8"/>
  <c r="J374" i="8"/>
  <c r="J382" i="8"/>
  <c r="J390" i="8"/>
  <c r="J398" i="8"/>
  <c r="J406" i="8"/>
  <c r="J414" i="8"/>
  <c r="J422" i="8"/>
  <c r="J430" i="8"/>
  <c r="J438" i="8"/>
  <c r="J446" i="8"/>
  <c r="J454" i="8"/>
  <c r="J462" i="8"/>
  <c r="J470" i="8"/>
  <c r="J478" i="8"/>
  <c r="J486" i="8"/>
  <c r="J494" i="8"/>
  <c r="J502" i="8"/>
  <c r="J510" i="8"/>
  <c r="J518" i="8"/>
  <c r="J526" i="8"/>
  <c r="J534" i="8"/>
  <c r="J542" i="8"/>
  <c r="J550" i="8"/>
  <c r="J558" i="8"/>
  <c r="J566" i="8"/>
  <c r="J574" i="8"/>
  <c r="J582" i="8"/>
  <c r="J590" i="8"/>
  <c r="J598" i="8"/>
  <c r="J606" i="8"/>
  <c r="J614" i="8"/>
  <c r="J622" i="8"/>
  <c r="J630" i="8"/>
  <c r="J638" i="8"/>
  <c r="J646" i="8"/>
  <c r="J654" i="8"/>
  <c r="J662" i="8"/>
  <c r="J670" i="8"/>
  <c r="J678" i="8"/>
  <c r="J7" i="8"/>
  <c r="J15" i="8"/>
  <c r="J23" i="8"/>
  <c r="J31" i="8"/>
  <c r="J39" i="8"/>
  <c r="J47" i="8"/>
  <c r="J55" i="8"/>
  <c r="J63" i="8"/>
  <c r="J71" i="8"/>
  <c r="J79" i="8"/>
  <c r="J87" i="8"/>
  <c r="J95" i="8"/>
  <c r="J103" i="8"/>
  <c r="J111" i="8"/>
  <c r="J119" i="8"/>
  <c r="J127" i="8"/>
  <c r="J9" i="8"/>
  <c r="J17" i="8"/>
  <c r="J25" i="8"/>
  <c r="J33" i="8"/>
  <c r="J41" i="8"/>
  <c r="J49" i="8"/>
  <c r="J57" i="8"/>
  <c r="J65" i="8"/>
  <c r="J73" i="8"/>
  <c r="J81" i="8"/>
  <c r="J89" i="8"/>
  <c r="J97" i="8"/>
  <c r="J105" i="8"/>
  <c r="J113" i="8"/>
  <c r="J121" i="8"/>
  <c r="J129" i="8"/>
  <c r="J137" i="8"/>
  <c r="J145" i="8"/>
  <c r="J153" i="8"/>
  <c r="J161" i="8"/>
  <c r="J169" i="8"/>
  <c r="J177" i="8"/>
  <c r="J185" i="8"/>
  <c r="J193" i="8"/>
  <c r="J201" i="8"/>
  <c r="J209" i="8"/>
  <c r="J217" i="8"/>
  <c r="J225" i="8"/>
  <c r="J233" i="8"/>
  <c r="J241" i="8"/>
  <c r="J249" i="8"/>
  <c r="J257" i="8"/>
  <c r="J265" i="8"/>
  <c r="J273" i="8"/>
  <c r="J281" i="8"/>
  <c r="J289" i="8"/>
  <c r="J297" i="8"/>
  <c r="J305" i="8"/>
  <c r="J313" i="8"/>
  <c r="J321" i="8"/>
  <c r="J329" i="8"/>
  <c r="J337" i="8"/>
  <c r="J345" i="8"/>
  <c r="J353" i="8"/>
  <c r="J361" i="8"/>
  <c r="J369" i="8"/>
  <c r="J377" i="8"/>
  <c r="J385" i="8"/>
  <c r="J393" i="8"/>
  <c r="J401" i="8"/>
  <c r="J409" i="8"/>
  <c r="J417" i="8"/>
  <c r="J425" i="8"/>
  <c r="J433" i="8"/>
  <c r="J441" i="8"/>
  <c r="J449" i="8"/>
  <c r="J457" i="8"/>
  <c r="J465" i="8"/>
  <c r="J473" i="8"/>
  <c r="J481" i="8"/>
  <c r="J489" i="8"/>
  <c r="J497" i="8"/>
  <c r="J505" i="8"/>
  <c r="J513" i="8"/>
  <c r="J521" i="8"/>
  <c r="J529" i="8"/>
  <c r="J537" i="8"/>
  <c r="J545" i="8"/>
  <c r="J553" i="8"/>
  <c r="J561" i="8"/>
  <c r="J569" i="8"/>
  <c r="J577" i="8"/>
  <c r="J585" i="8"/>
  <c r="J593" i="8"/>
  <c r="J601" i="8"/>
  <c r="J609" i="8"/>
  <c r="J617" i="8"/>
  <c r="J625" i="8"/>
  <c r="J633" i="8"/>
  <c r="J641" i="8"/>
  <c r="J649" i="8"/>
  <c r="J657" i="8"/>
  <c r="J665" i="8"/>
  <c r="J673" i="8"/>
  <c r="J681" i="8"/>
  <c r="J8" i="8"/>
  <c r="J51" i="8"/>
  <c r="J83" i="8"/>
  <c r="J115" i="8"/>
  <c r="J138" i="8"/>
  <c r="J151" i="8"/>
  <c r="J163" i="8"/>
  <c r="J176" i="8"/>
  <c r="J188" i="8"/>
  <c r="J202" i="8"/>
  <c r="J215" i="8"/>
  <c r="J227" i="8"/>
  <c r="J240" i="8"/>
  <c r="J252" i="8"/>
  <c r="J266" i="8"/>
  <c r="J279" i="8"/>
  <c r="J291" i="8"/>
  <c r="J304" i="8"/>
  <c r="J316" i="8"/>
  <c r="J330" i="8"/>
  <c r="J343" i="8"/>
  <c r="J355" i="8"/>
  <c r="J368" i="8"/>
  <c r="J380" i="8"/>
  <c r="J394" i="8"/>
  <c r="J16" i="8"/>
  <c r="J56" i="8"/>
  <c r="J88" i="8"/>
  <c r="J120" i="8"/>
  <c r="J139" i="8"/>
  <c r="J152" i="8"/>
  <c r="J164" i="8"/>
  <c r="J178" i="8"/>
  <c r="J191" i="8"/>
  <c r="J203" i="8"/>
  <c r="J216" i="8"/>
  <c r="J228" i="8"/>
  <c r="J242" i="8"/>
  <c r="J255" i="8"/>
  <c r="J267" i="8"/>
  <c r="J280" i="8"/>
  <c r="J292" i="8"/>
  <c r="J306" i="8"/>
  <c r="J319" i="8"/>
  <c r="J331" i="8"/>
  <c r="J344" i="8"/>
  <c r="J356" i="8"/>
  <c r="J370" i="8"/>
  <c r="J383" i="8"/>
  <c r="J395" i="8"/>
  <c r="J24" i="8"/>
  <c r="J59" i="8"/>
  <c r="J91" i="8"/>
  <c r="J123" i="8"/>
  <c r="J140" i="8"/>
  <c r="J154" i="8"/>
  <c r="J167" i="8"/>
  <c r="J179" i="8"/>
  <c r="J192" i="8"/>
  <c r="J204" i="8"/>
  <c r="J218" i="8"/>
  <c r="J231" i="8"/>
  <c r="J243" i="8"/>
  <c r="J256" i="8"/>
  <c r="J268" i="8"/>
  <c r="J282" i="8"/>
  <c r="J295" i="8"/>
  <c r="J307" i="8"/>
  <c r="J320" i="8"/>
  <c r="J332" i="8"/>
  <c r="J346" i="8"/>
  <c r="J359" i="8"/>
  <c r="J371" i="8"/>
  <c r="J384" i="8"/>
  <c r="J396" i="8"/>
  <c r="J410" i="8"/>
  <c r="J423" i="8"/>
  <c r="J435" i="8"/>
  <c r="J448" i="8"/>
  <c r="J460" i="8"/>
  <c r="J474" i="8"/>
  <c r="J487" i="8"/>
  <c r="J499" i="8"/>
  <c r="J512" i="8"/>
  <c r="J524" i="8"/>
  <c r="J538" i="8"/>
  <c r="J551" i="8"/>
  <c r="J563" i="8"/>
  <c r="J576" i="8"/>
  <c r="J588" i="8"/>
  <c r="J602" i="8"/>
  <c r="J615" i="8"/>
  <c r="J627" i="8"/>
  <c r="J640" i="8"/>
  <c r="J652" i="8"/>
  <c r="J666" i="8"/>
  <c r="J679" i="8"/>
  <c r="J688" i="8"/>
  <c r="J696" i="8"/>
  <c r="J704" i="8"/>
  <c r="J712" i="8"/>
  <c r="J720" i="8"/>
  <c r="J728" i="8"/>
  <c r="J736" i="8"/>
  <c r="J744" i="8"/>
  <c r="J752" i="8"/>
  <c r="J760" i="8"/>
  <c r="J768" i="8"/>
  <c r="J776" i="8"/>
  <c r="J784" i="8"/>
  <c r="J792" i="8"/>
  <c r="J800" i="8"/>
  <c r="J808" i="8"/>
  <c r="J816" i="8"/>
  <c r="J824" i="8"/>
  <c r="J832" i="8"/>
  <c r="J840" i="8"/>
  <c r="J848" i="8"/>
  <c r="J856" i="8"/>
  <c r="J864" i="8"/>
  <c r="J872" i="8"/>
  <c r="J880" i="8"/>
  <c r="J888" i="8"/>
  <c r="J896" i="8"/>
  <c r="J904" i="8"/>
  <c r="J912" i="8"/>
  <c r="J920" i="8"/>
  <c r="J928" i="8"/>
  <c r="J936" i="8"/>
  <c r="J944" i="8"/>
  <c r="J952" i="8"/>
  <c r="J960" i="8"/>
  <c r="J968" i="8"/>
  <c r="J976" i="8"/>
  <c r="J984" i="8"/>
  <c r="J32" i="8"/>
  <c r="J64" i="8"/>
  <c r="J96" i="8"/>
  <c r="J128" i="8"/>
  <c r="J143" i="8"/>
  <c r="J155" i="8"/>
  <c r="J168" i="8"/>
  <c r="J180" i="8"/>
  <c r="J194" i="8"/>
  <c r="J207" i="8"/>
  <c r="J219" i="8"/>
  <c r="J232" i="8"/>
  <c r="J244" i="8"/>
  <c r="J258" i="8"/>
  <c r="J271" i="8"/>
  <c r="J283" i="8"/>
  <c r="J296" i="8"/>
  <c r="J308" i="8"/>
  <c r="J322" i="8"/>
  <c r="J335" i="8"/>
  <c r="J347" i="8"/>
  <c r="J360" i="8"/>
  <c r="J372" i="8"/>
  <c r="J386" i="8"/>
  <c r="J399" i="8"/>
  <c r="J411" i="8"/>
  <c r="J35" i="8"/>
  <c r="J67" i="8"/>
  <c r="J99" i="8"/>
  <c r="J131" i="8"/>
  <c r="J144" i="8"/>
  <c r="J156" i="8"/>
  <c r="J170" i="8"/>
  <c r="J183" i="8"/>
  <c r="J195" i="8"/>
  <c r="J208" i="8"/>
  <c r="J220" i="8"/>
  <c r="J234" i="8"/>
  <c r="J247" i="8"/>
  <c r="J259" i="8"/>
  <c r="J272" i="8"/>
  <c r="J284" i="8"/>
  <c r="J298" i="8"/>
  <c r="J311" i="8"/>
  <c r="J323" i="8"/>
  <c r="J336" i="8"/>
  <c r="J348" i="8"/>
  <c r="J362" i="8"/>
  <c r="J375" i="8"/>
  <c r="J387" i="8"/>
  <c r="J400" i="8"/>
  <c r="J412" i="8"/>
  <c r="J40" i="8"/>
  <c r="J72" i="8"/>
  <c r="J104" i="8"/>
  <c r="J132" i="8"/>
  <c r="J146" i="8"/>
  <c r="J159" i="8"/>
  <c r="J171" i="8"/>
  <c r="J184" i="8"/>
  <c r="J196" i="8"/>
  <c r="J210" i="8"/>
  <c r="J223" i="8"/>
  <c r="J235" i="8"/>
  <c r="J248" i="8"/>
  <c r="J260" i="8"/>
  <c r="J274" i="8"/>
  <c r="J287" i="8"/>
  <c r="J299" i="8"/>
  <c r="J312" i="8"/>
  <c r="J324" i="8"/>
  <c r="J338" i="8"/>
  <c r="J351" i="8"/>
  <c r="J363" i="8"/>
  <c r="J376" i="8"/>
  <c r="J388" i="8"/>
  <c r="J402" i="8"/>
  <c r="J415" i="8"/>
  <c r="J427" i="8"/>
  <c r="J440" i="8"/>
  <c r="J452" i="8"/>
  <c r="J466" i="8"/>
  <c r="J479" i="8"/>
  <c r="J491" i="8"/>
  <c r="J504" i="8"/>
  <c r="J516" i="8"/>
  <c r="J530" i="8"/>
  <c r="J543" i="8"/>
  <c r="J555" i="8"/>
  <c r="J568" i="8"/>
  <c r="J580" i="8"/>
  <c r="J594" i="8"/>
  <c r="J607" i="8"/>
  <c r="J619" i="8"/>
  <c r="J632" i="8"/>
  <c r="J644" i="8"/>
  <c r="J658" i="8"/>
  <c r="J671" i="8"/>
  <c r="J683" i="8"/>
  <c r="J691" i="8"/>
  <c r="J699" i="8"/>
  <c r="J707" i="8"/>
  <c r="J715" i="8"/>
  <c r="J723" i="8"/>
  <c r="J731" i="8"/>
  <c r="J739" i="8"/>
  <c r="J747" i="8"/>
  <c r="J755" i="8"/>
  <c r="J763" i="8"/>
  <c r="J771" i="8"/>
  <c r="J779" i="8"/>
  <c r="J787" i="8"/>
  <c r="J795" i="8"/>
  <c r="J803" i="8"/>
  <c r="J811" i="8"/>
  <c r="J819" i="8"/>
  <c r="J827" i="8"/>
  <c r="J835" i="8"/>
  <c r="J843" i="8"/>
  <c r="J851" i="8"/>
  <c r="J859" i="8"/>
  <c r="J867" i="8"/>
  <c r="J875" i="8"/>
  <c r="J883" i="8"/>
  <c r="J891" i="8"/>
  <c r="J899" i="8"/>
  <c r="J907" i="8"/>
  <c r="J915" i="8"/>
  <c r="J923" i="8"/>
  <c r="J931" i="8"/>
  <c r="J939" i="8"/>
  <c r="J947" i="8"/>
  <c r="J955" i="8"/>
  <c r="J963" i="8"/>
  <c r="J971" i="8"/>
  <c r="J979" i="8"/>
  <c r="J987" i="8"/>
  <c r="J43" i="8"/>
  <c r="J147" i="8"/>
  <c r="J199" i="8"/>
  <c r="J250" i="8"/>
  <c r="J300" i="8"/>
  <c r="J352" i="8"/>
  <c r="J403" i="8"/>
  <c r="J424" i="8"/>
  <c r="J442" i="8"/>
  <c r="J458" i="8"/>
  <c r="J475" i="8"/>
  <c r="J492" i="8"/>
  <c r="J508" i="8"/>
  <c r="J527" i="8"/>
  <c r="J544" i="8"/>
  <c r="J560" i="8"/>
  <c r="J578" i="8"/>
  <c r="J595" i="8"/>
  <c r="J611" i="8"/>
  <c r="J628" i="8"/>
  <c r="J647" i="8"/>
  <c r="J663" i="8"/>
  <c r="J680" i="8"/>
  <c r="J692" i="8"/>
  <c r="J702" i="8"/>
  <c r="J713" i="8"/>
  <c r="J80" i="8"/>
  <c r="J162" i="8"/>
  <c r="J212" i="8"/>
  <c r="J264" i="8"/>
  <c r="J315" i="8"/>
  <c r="J367" i="8"/>
  <c r="J408" i="8"/>
  <c r="J431" i="8"/>
  <c r="J447" i="8"/>
  <c r="J464" i="8"/>
  <c r="J482" i="8"/>
  <c r="J498" i="8"/>
  <c r="J515" i="8"/>
  <c r="J532" i="8"/>
  <c r="J548" i="8"/>
  <c r="J567" i="8"/>
  <c r="J584" i="8"/>
  <c r="J600" i="8"/>
  <c r="J618" i="8"/>
  <c r="J635" i="8"/>
  <c r="J651" i="8"/>
  <c r="J668" i="8"/>
  <c r="J685" i="8"/>
  <c r="J695" i="8"/>
  <c r="J706" i="8"/>
  <c r="J717" i="8"/>
  <c r="J727" i="8"/>
  <c r="J738" i="8"/>
  <c r="J749" i="8"/>
  <c r="J759" i="8"/>
  <c r="J770" i="8"/>
  <c r="J781" i="8"/>
  <c r="J791" i="8"/>
  <c r="J802" i="8"/>
  <c r="J813" i="8"/>
  <c r="J823" i="8"/>
  <c r="J834" i="8"/>
  <c r="J845" i="8"/>
  <c r="J855" i="8"/>
  <c r="J866" i="8"/>
  <c r="J877" i="8"/>
  <c r="J887" i="8"/>
  <c r="J898" i="8"/>
  <c r="J909" i="8"/>
  <c r="J919" i="8"/>
  <c r="J930" i="8"/>
  <c r="J941" i="8"/>
  <c r="J951" i="8"/>
  <c r="J962" i="8"/>
  <c r="J973" i="8"/>
  <c r="J983" i="8"/>
  <c r="J993" i="8"/>
  <c r="J1001" i="8"/>
  <c r="J1009" i="8"/>
  <c r="J1017" i="8"/>
  <c r="J1025" i="8"/>
  <c r="J1033" i="8"/>
  <c r="J1041" i="8"/>
  <c r="J1049" i="8"/>
  <c r="J1057" i="8"/>
  <c r="J1065" i="8"/>
  <c r="J1073" i="8"/>
  <c r="J1081" i="8"/>
  <c r="J1089" i="8"/>
  <c r="J1097" i="8"/>
  <c r="J1105" i="8"/>
  <c r="J1113" i="8"/>
  <c r="J1121" i="8"/>
  <c r="J1129" i="8"/>
  <c r="J1137" i="8"/>
  <c r="J1145" i="8"/>
  <c r="J1153" i="8"/>
  <c r="J1161" i="8"/>
  <c r="J1169" i="8"/>
  <c r="J1177" i="8"/>
  <c r="J1185" i="8"/>
  <c r="J1193" i="8"/>
  <c r="J1201" i="8"/>
  <c r="J1209" i="8"/>
  <c r="J1217" i="8"/>
  <c r="J1225" i="8"/>
  <c r="J1233" i="8"/>
  <c r="J1241" i="8"/>
  <c r="J1249" i="8"/>
  <c r="J1257" i="8"/>
  <c r="J1265" i="8"/>
  <c r="J107" i="8"/>
  <c r="J172" i="8"/>
  <c r="J224" i="8"/>
  <c r="J275" i="8"/>
  <c r="J327" i="8"/>
  <c r="J378" i="8"/>
  <c r="J416" i="8"/>
  <c r="J432" i="8"/>
  <c r="J450" i="8"/>
  <c r="J467" i="8"/>
  <c r="J483" i="8"/>
  <c r="J500" i="8"/>
  <c r="J519" i="8"/>
  <c r="J535" i="8"/>
  <c r="J552" i="8"/>
  <c r="J570" i="8"/>
  <c r="J586" i="8"/>
  <c r="J603" i="8"/>
  <c r="J620" i="8"/>
  <c r="J636" i="8"/>
  <c r="J655" i="8"/>
  <c r="J672" i="8"/>
  <c r="J686" i="8"/>
  <c r="J697" i="8"/>
  <c r="J708" i="8"/>
  <c r="J136" i="8"/>
  <c r="J187" i="8"/>
  <c r="J239" i="8"/>
  <c r="J290" i="8"/>
  <c r="J340" i="8"/>
  <c r="J392" i="8"/>
  <c r="J420" i="8"/>
  <c r="J439" i="8"/>
  <c r="J456" i="8"/>
  <c r="J472" i="8"/>
  <c r="J490" i="8"/>
  <c r="J507" i="8"/>
  <c r="J523" i="8"/>
  <c r="J540" i="8"/>
  <c r="J559" i="8"/>
  <c r="J575" i="8"/>
  <c r="J592" i="8"/>
  <c r="J610" i="8"/>
  <c r="J626" i="8"/>
  <c r="J643" i="8"/>
  <c r="J660" i="8"/>
  <c r="J676" i="8"/>
  <c r="J690" i="8"/>
  <c r="J701" i="8"/>
  <c r="J711" i="8"/>
  <c r="J722" i="8"/>
  <c r="J733" i="8"/>
  <c r="J743" i="8"/>
  <c r="J754" i="8"/>
  <c r="J765" i="8"/>
  <c r="J775" i="8"/>
  <c r="J786" i="8"/>
  <c r="J797" i="8"/>
  <c r="J807" i="8"/>
  <c r="J818" i="8"/>
  <c r="J829" i="8"/>
  <c r="J839" i="8"/>
  <c r="J850" i="8"/>
  <c r="J861" i="8"/>
  <c r="J871" i="8"/>
  <c r="J882" i="8"/>
  <c r="J893" i="8"/>
  <c r="J903" i="8"/>
  <c r="J914" i="8"/>
  <c r="J925" i="8"/>
  <c r="J935" i="8"/>
  <c r="J946" i="8"/>
  <c r="J957" i="8"/>
  <c r="J967" i="8"/>
  <c r="J978" i="8"/>
  <c r="J989" i="8"/>
  <c r="J997" i="8"/>
  <c r="J1005" i="8"/>
  <c r="J1013" i="8"/>
  <c r="J1021" i="8"/>
  <c r="J1029" i="8"/>
  <c r="J1037" i="8"/>
  <c r="J1045" i="8"/>
  <c r="J1053" i="8"/>
  <c r="J1061" i="8"/>
  <c r="J1069" i="8"/>
  <c r="J1077" i="8"/>
  <c r="J1085" i="8"/>
  <c r="J1093" i="8"/>
  <c r="J1101" i="8"/>
  <c r="J1109" i="8"/>
  <c r="J1117" i="8"/>
  <c r="J1125" i="8"/>
  <c r="J1133" i="8"/>
  <c r="J1141" i="8"/>
  <c r="J1149" i="8"/>
  <c r="J1157" i="8"/>
  <c r="J1165" i="8"/>
  <c r="J1173" i="8"/>
  <c r="J1181" i="8"/>
  <c r="J1189" i="8"/>
  <c r="J1197" i="8"/>
  <c r="J1205" i="8"/>
  <c r="J1213" i="8"/>
  <c r="J1221" i="8"/>
  <c r="J1229" i="8"/>
  <c r="J1237" i="8"/>
  <c r="J1245" i="8"/>
  <c r="J1253" i="8"/>
  <c r="J1261" i="8"/>
  <c r="J75" i="8"/>
  <c r="J211" i="8"/>
  <c r="J314" i="8"/>
  <c r="J407" i="8"/>
  <c r="J444" i="8"/>
  <c r="J480" i="8"/>
  <c r="J514" i="8"/>
  <c r="J547" i="8"/>
  <c r="J583" i="8"/>
  <c r="J616" i="8"/>
  <c r="J650" i="8"/>
  <c r="J684" i="8"/>
  <c r="J705" i="8"/>
  <c r="J724" i="8"/>
  <c r="J737" i="8"/>
  <c r="J751" i="8"/>
  <c r="J766" i="8"/>
  <c r="J780" i="8"/>
  <c r="J794" i="8"/>
  <c r="J809" i="8"/>
  <c r="J822" i="8"/>
  <c r="J837" i="8"/>
  <c r="J852" i="8"/>
  <c r="J865" i="8"/>
  <c r="J879" i="8"/>
  <c r="J894" i="8"/>
  <c r="J908" i="8"/>
  <c r="J922" i="8"/>
  <c r="J937" i="8"/>
  <c r="J950" i="8"/>
  <c r="J965" i="8"/>
  <c r="J980" i="8"/>
  <c r="J992" i="8"/>
  <c r="J1003" i="8"/>
  <c r="J1014" i="8"/>
  <c r="J1024" i="8"/>
  <c r="J1035" i="8"/>
  <c r="J1046" i="8"/>
  <c r="J1056" i="8"/>
  <c r="J1067" i="8"/>
  <c r="J1078" i="8"/>
  <c r="J1088" i="8"/>
  <c r="J1099" i="8"/>
  <c r="J1110" i="8"/>
  <c r="J1120" i="8"/>
  <c r="J1131" i="8"/>
  <c r="J1142" i="8"/>
  <c r="J1152" i="8"/>
  <c r="J1163" i="8"/>
  <c r="J1174" i="8"/>
  <c r="J1184" i="8"/>
  <c r="J1195" i="8"/>
  <c r="J1206" i="8"/>
  <c r="J1216" i="8"/>
  <c r="J1227" i="8"/>
  <c r="J112" i="8"/>
  <c r="J226" i="8"/>
  <c r="J328" i="8"/>
  <c r="J418" i="8"/>
  <c r="J451" i="8"/>
  <c r="J484" i="8"/>
  <c r="J520" i="8"/>
  <c r="J554" i="8"/>
  <c r="J587" i="8"/>
  <c r="J623" i="8"/>
  <c r="J656" i="8"/>
  <c r="J687" i="8"/>
  <c r="J709" i="8"/>
  <c r="J725" i="8"/>
  <c r="J740" i="8"/>
  <c r="J753" i="8"/>
  <c r="J767" i="8"/>
  <c r="J782" i="8"/>
  <c r="J796" i="8"/>
  <c r="J810" i="8"/>
  <c r="J825" i="8"/>
  <c r="J838" i="8"/>
  <c r="J853" i="8"/>
  <c r="J868" i="8"/>
  <c r="J881" i="8"/>
  <c r="J895" i="8"/>
  <c r="J910" i="8"/>
  <c r="J924" i="8"/>
  <c r="J938" i="8"/>
  <c r="J953" i="8"/>
  <c r="J966" i="8"/>
  <c r="J981" i="8"/>
  <c r="J994" i="8"/>
  <c r="J1004" i="8"/>
  <c r="J1015" i="8"/>
  <c r="J1026" i="8"/>
  <c r="J1036" i="8"/>
  <c r="J1047" i="8"/>
  <c r="J1058" i="8"/>
  <c r="J1068" i="8"/>
  <c r="J1079" i="8"/>
  <c r="J1090" i="8"/>
  <c r="J1100" i="8"/>
  <c r="J1111" i="8"/>
  <c r="J1122" i="8"/>
  <c r="J1132" i="8"/>
  <c r="J1143" i="8"/>
  <c r="J1154" i="8"/>
  <c r="J1164" i="8"/>
  <c r="J1175" i="8"/>
  <c r="J1186" i="8"/>
  <c r="J1196" i="8"/>
  <c r="J1207" i="8"/>
  <c r="J1218" i="8"/>
  <c r="J1228" i="8"/>
  <c r="J1239" i="8"/>
  <c r="J1250" i="8"/>
  <c r="J1260" i="8"/>
  <c r="J1270" i="8"/>
  <c r="J1278" i="8"/>
  <c r="J1286" i="8"/>
  <c r="J1294" i="8"/>
  <c r="J1302" i="8"/>
  <c r="J1310" i="8"/>
  <c r="J1318" i="8"/>
  <c r="J1326" i="8"/>
  <c r="J1334" i="8"/>
  <c r="J1342" i="8"/>
  <c r="J1350" i="8"/>
  <c r="J1358" i="8"/>
  <c r="J1366" i="8"/>
  <c r="J1374" i="8"/>
  <c r="J1382" i="8"/>
  <c r="J1390" i="8"/>
  <c r="J1398" i="8"/>
  <c r="J1406" i="8"/>
  <c r="J1414" i="8"/>
  <c r="J1422" i="8"/>
  <c r="J135" i="8"/>
  <c r="J236" i="8"/>
  <c r="J339" i="8"/>
  <c r="J419" i="8"/>
  <c r="J455" i="8"/>
  <c r="J488" i="8"/>
  <c r="J522" i="8"/>
  <c r="J556" i="8"/>
  <c r="J591" i="8"/>
  <c r="J624" i="8"/>
  <c r="J659" i="8"/>
  <c r="J689" i="8"/>
  <c r="J710" i="8"/>
  <c r="J726" i="8"/>
  <c r="J741" i="8"/>
  <c r="J756" i="8"/>
  <c r="J769" i="8"/>
  <c r="J783" i="8"/>
  <c r="J798" i="8"/>
  <c r="J812" i="8"/>
  <c r="J826" i="8"/>
  <c r="J841" i="8"/>
  <c r="J854" i="8"/>
  <c r="J869" i="8"/>
  <c r="J884" i="8"/>
  <c r="J897" i="8"/>
  <c r="J911" i="8"/>
  <c r="J926" i="8"/>
  <c r="J940" i="8"/>
  <c r="J954" i="8"/>
  <c r="J969" i="8"/>
  <c r="J982" i="8"/>
  <c r="J995" i="8"/>
  <c r="J1006" i="8"/>
  <c r="J1016" i="8"/>
  <c r="J1027" i="8"/>
  <c r="J1038" i="8"/>
  <c r="J1048" i="8"/>
  <c r="J1059" i="8"/>
  <c r="J1070" i="8"/>
  <c r="J1080" i="8"/>
  <c r="J1091" i="8"/>
  <c r="J1102" i="8"/>
  <c r="J1112" i="8"/>
  <c r="J1123" i="8"/>
  <c r="J1134" i="8"/>
  <c r="J1144" i="8"/>
  <c r="J1155" i="8"/>
  <c r="J1166" i="8"/>
  <c r="J1176" i="8"/>
  <c r="J1187" i="8"/>
  <c r="J1198" i="8"/>
  <c r="J1208" i="8"/>
  <c r="J1219" i="8"/>
  <c r="J1230" i="8"/>
  <c r="J1240" i="8"/>
  <c r="J1251" i="8"/>
  <c r="J1262" i="8"/>
  <c r="J1271" i="8"/>
  <c r="J1279" i="8"/>
  <c r="J148" i="8"/>
  <c r="J251" i="8"/>
  <c r="J354" i="8"/>
  <c r="J426" i="8"/>
  <c r="J459" i="8"/>
  <c r="J495" i="8"/>
  <c r="J528" i="8"/>
  <c r="J562" i="8"/>
  <c r="J596" i="8"/>
  <c r="J631" i="8"/>
  <c r="J664" i="8"/>
  <c r="J693" i="8"/>
  <c r="J714" i="8"/>
  <c r="J729" i="8"/>
  <c r="J742" i="8"/>
  <c r="J757" i="8"/>
  <c r="J772" i="8"/>
  <c r="J785" i="8"/>
  <c r="J799" i="8"/>
  <c r="J814" i="8"/>
  <c r="J828" i="8"/>
  <c r="J842" i="8"/>
  <c r="J857" i="8"/>
  <c r="J870" i="8"/>
  <c r="J885" i="8"/>
  <c r="J900" i="8"/>
  <c r="J913" i="8"/>
  <c r="J927" i="8"/>
  <c r="J942" i="8"/>
  <c r="J956" i="8"/>
  <c r="J970" i="8"/>
  <c r="J985" i="8"/>
  <c r="J996" i="8"/>
  <c r="J1007" i="8"/>
  <c r="J1018" i="8"/>
  <c r="J1028" i="8"/>
  <c r="J1039" i="8"/>
  <c r="J1050" i="8"/>
  <c r="J1060" i="8"/>
  <c r="J1071" i="8"/>
  <c r="J1082" i="8"/>
  <c r="J1092" i="8"/>
  <c r="J1103" i="8"/>
  <c r="J1114" i="8"/>
  <c r="J1124" i="8"/>
  <c r="J1135" i="8"/>
  <c r="J1146" i="8"/>
  <c r="J1156" i="8"/>
  <c r="J1167" i="8"/>
  <c r="J1178" i="8"/>
  <c r="J1188" i="8"/>
  <c r="J1199" i="8"/>
  <c r="J1210" i="8"/>
  <c r="J1220" i="8"/>
  <c r="J1231" i="8"/>
  <c r="J1242" i="8"/>
  <c r="J1252" i="8"/>
  <c r="J1263" i="8"/>
  <c r="J1272" i="8"/>
  <c r="J1280" i="8"/>
  <c r="J1288" i="8"/>
  <c r="J1296" i="8"/>
  <c r="J1304" i="8"/>
  <c r="J1312" i="8"/>
  <c r="J1320" i="8"/>
  <c r="J1328" i="8"/>
  <c r="J1336" i="8"/>
  <c r="J1344" i="8"/>
  <c r="J1352" i="8"/>
  <c r="J1360" i="8"/>
  <c r="J1368" i="8"/>
  <c r="J1376" i="8"/>
  <c r="J1384" i="8"/>
  <c r="J1392" i="8"/>
  <c r="J1400" i="8"/>
  <c r="J1408" i="8"/>
  <c r="J1416" i="8"/>
  <c r="J1424" i="8"/>
  <c r="J160" i="8"/>
  <c r="J263" i="8"/>
  <c r="J364" i="8"/>
  <c r="J428" i="8"/>
  <c r="J463" i="8"/>
  <c r="J496" i="8"/>
  <c r="J531" i="8"/>
  <c r="J564" i="8"/>
  <c r="J599" i="8"/>
  <c r="J634" i="8"/>
  <c r="J667" i="8"/>
  <c r="J694" i="8"/>
  <c r="J716" i="8"/>
  <c r="J730" i="8"/>
  <c r="J745" i="8"/>
  <c r="J758" i="8"/>
  <c r="J773" i="8"/>
  <c r="J788" i="8"/>
  <c r="J801" i="8"/>
  <c r="J815" i="8"/>
  <c r="J830" i="8"/>
  <c r="J844" i="8"/>
  <c r="J858" i="8"/>
  <c r="J873" i="8"/>
  <c r="J886" i="8"/>
  <c r="J901" i="8"/>
  <c r="J916" i="8"/>
  <c r="J929" i="8"/>
  <c r="J943" i="8"/>
  <c r="J958" i="8"/>
  <c r="J972" i="8"/>
  <c r="J986" i="8"/>
  <c r="J998" i="8"/>
  <c r="J1008" i="8"/>
  <c r="J1019" i="8"/>
  <c r="J1030" i="8"/>
  <c r="J1040" i="8"/>
  <c r="J1051" i="8"/>
  <c r="J1062" i="8"/>
  <c r="J1072" i="8"/>
  <c r="J1083" i="8"/>
  <c r="J1094" i="8"/>
  <c r="J1104" i="8"/>
  <c r="J1115" i="8"/>
  <c r="J1126" i="8"/>
  <c r="J1136" i="8"/>
  <c r="J1147" i="8"/>
  <c r="J1158" i="8"/>
  <c r="J1168" i="8"/>
  <c r="J1179" i="8"/>
  <c r="J1190" i="8"/>
  <c r="J1200" i="8"/>
  <c r="J1211" i="8"/>
  <c r="J1222" i="8"/>
  <c r="J1232" i="8"/>
  <c r="J1243" i="8"/>
  <c r="J1254" i="8"/>
  <c r="J1264" i="8"/>
  <c r="J1273" i="8"/>
  <c r="J1281" i="8"/>
  <c r="J1289" i="8"/>
  <c r="J1297" i="8"/>
  <c r="J175" i="8"/>
  <c r="J276" i="8"/>
  <c r="J379" i="8"/>
  <c r="J434" i="8"/>
  <c r="J468" i="8"/>
  <c r="J503" i="8"/>
  <c r="J536" i="8"/>
  <c r="J571" i="8"/>
  <c r="J604" i="8"/>
  <c r="J639" i="8"/>
  <c r="J674" i="8"/>
  <c r="J698" i="8"/>
  <c r="J718" i="8"/>
  <c r="J732" i="8"/>
  <c r="J746" i="8"/>
  <c r="J761" i="8"/>
  <c r="J774" i="8"/>
  <c r="J789" i="8"/>
  <c r="J804" i="8"/>
  <c r="J817" i="8"/>
  <c r="J831" i="8"/>
  <c r="J846" i="8"/>
  <c r="J860" i="8"/>
  <c r="J874" i="8"/>
  <c r="J889" i="8"/>
  <c r="J902" i="8"/>
  <c r="J917" i="8"/>
  <c r="J932" i="8"/>
  <c r="J945" i="8"/>
  <c r="J959" i="8"/>
  <c r="J974" i="8"/>
  <c r="J988" i="8"/>
  <c r="J999" i="8"/>
  <c r="J1010" i="8"/>
  <c r="J1020" i="8"/>
  <c r="J1031" i="8"/>
  <c r="J1042" i="8"/>
  <c r="J1052" i="8"/>
  <c r="J1063" i="8"/>
  <c r="J1074" i="8"/>
  <c r="J1084" i="8"/>
  <c r="J1095" i="8"/>
  <c r="J1106" i="8"/>
  <c r="J1116" i="8"/>
  <c r="J1127" i="8"/>
  <c r="J1138" i="8"/>
  <c r="J1148" i="8"/>
  <c r="J1159" i="8"/>
  <c r="J1170" i="8"/>
  <c r="J1180" i="8"/>
  <c r="J1191" i="8"/>
  <c r="J1202" i="8"/>
  <c r="J1212" i="8"/>
  <c r="J1223" i="8"/>
  <c r="J1234" i="8"/>
  <c r="J1244" i="8"/>
  <c r="J1255" i="8"/>
  <c r="J1266" i="8"/>
  <c r="J1274" i="8"/>
  <c r="J1282" i="8"/>
  <c r="J1290" i="8"/>
  <c r="J1298" i="8"/>
  <c r="J1306" i="8"/>
  <c r="J1314" i="8"/>
  <c r="J1322" i="8"/>
  <c r="J1330" i="8"/>
  <c r="J1338" i="8"/>
  <c r="J1346" i="8"/>
  <c r="J1354" i="8"/>
  <c r="J1362" i="8"/>
  <c r="J1370" i="8"/>
  <c r="J1378" i="8"/>
  <c r="J1386" i="8"/>
  <c r="J1394" i="8"/>
  <c r="J1402" i="8"/>
  <c r="J1410" i="8"/>
  <c r="J1418" i="8"/>
  <c r="J1426" i="8"/>
  <c r="J1434" i="8"/>
  <c r="J1442" i="8"/>
  <c r="J1450" i="8"/>
  <c r="J1458" i="8"/>
  <c r="J1466" i="8"/>
  <c r="J1474" i="8"/>
  <c r="J1482" i="8"/>
  <c r="J48" i="8"/>
  <c r="J443" i="8"/>
  <c r="J579" i="8"/>
  <c r="J703" i="8"/>
  <c r="J764" i="8"/>
  <c r="J821" i="8"/>
  <c r="J878" i="8"/>
  <c r="J934" i="8"/>
  <c r="J991" i="8"/>
  <c r="J1034" i="8"/>
  <c r="J186" i="8"/>
  <c r="J471" i="8"/>
  <c r="J608" i="8"/>
  <c r="J719" i="8"/>
  <c r="J777" i="8"/>
  <c r="J833" i="8"/>
  <c r="J890" i="8"/>
  <c r="J948" i="8"/>
  <c r="J1000" i="8"/>
  <c r="J1043" i="8"/>
  <c r="J200" i="8"/>
  <c r="J476" i="8"/>
  <c r="J612" i="8"/>
  <c r="J721" i="8"/>
  <c r="J778" i="8"/>
  <c r="J836" i="8"/>
  <c r="J892" i="8"/>
  <c r="J949" i="8"/>
  <c r="J1002" i="8"/>
  <c r="J1044" i="8"/>
  <c r="J1087" i="8"/>
  <c r="J1130" i="8"/>
  <c r="J1172" i="8"/>
  <c r="J1215" i="8"/>
  <c r="J1248" i="8"/>
  <c r="J1276" i="8"/>
  <c r="J1293" i="8"/>
  <c r="J1308" i="8"/>
  <c r="J1321" i="8"/>
  <c r="J1333" i="8"/>
  <c r="J1347" i="8"/>
  <c r="J1359" i="8"/>
  <c r="J1372" i="8"/>
  <c r="J1385" i="8"/>
  <c r="J1397" i="8"/>
  <c r="J1411" i="8"/>
  <c r="J1423" i="8"/>
  <c r="J1433" i="8"/>
  <c r="J1443" i="8"/>
  <c r="J1452" i="8"/>
  <c r="J1461" i="8"/>
  <c r="J1470" i="8"/>
  <c r="J1479" i="8"/>
  <c r="J1488" i="8"/>
  <c r="J1496" i="8"/>
  <c r="J1504" i="8"/>
  <c r="J1512" i="8"/>
  <c r="J1520" i="8"/>
  <c r="J1528" i="8"/>
  <c r="J1536" i="8"/>
  <c r="J1544" i="8"/>
  <c r="J1552" i="8"/>
  <c r="J1560" i="8"/>
  <c r="J1568" i="8"/>
  <c r="J1576" i="8"/>
  <c r="J1584" i="8"/>
  <c r="J1592" i="8"/>
  <c r="J1600" i="8"/>
  <c r="J1608" i="8"/>
  <c r="J1616" i="8"/>
  <c r="J1624" i="8"/>
  <c r="J1632" i="8"/>
  <c r="J1640" i="8"/>
  <c r="J1648" i="8"/>
  <c r="J1656" i="8"/>
  <c r="J1664" i="8"/>
  <c r="J1672" i="8"/>
  <c r="J1680" i="8"/>
  <c r="J1688" i="8"/>
  <c r="J1696" i="8"/>
  <c r="J1704" i="8"/>
  <c r="J1712" i="8"/>
  <c r="J1720" i="8"/>
  <c r="J1728" i="8"/>
  <c r="J1736" i="8"/>
  <c r="J1744" i="8"/>
  <c r="J1752" i="8"/>
  <c r="J1760" i="8"/>
  <c r="J1768" i="8"/>
  <c r="J1776" i="8"/>
  <c r="J1784" i="8"/>
  <c r="J1792" i="8"/>
  <c r="J1800" i="8"/>
  <c r="J1808" i="8"/>
  <c r="J1816" i="8"/>
  <c r="J1824" i="8"/>
  <c r="J1832" i="8"/>
  <c r="J1840" i="8"/>
  <c r="J1848" i="8"/>
  <c r="J1856" i="8"/>
  <c r="J1864" i="8"/>
  <c r="J1872" i="8"/>
  <c r="J1880" i="8"/>
  <c r="J1888" i="8"/>
  <c r="J1896" i="8"/>
  <c r="J1904" i="8"/>
  <c r="J288" i="8"/>
  <c r="J506" i="8"/>
  <c r="J642" i="8"/>
  <c r="J734" i="8"/>
  <c r="J790" i="8"/>
  <c r="J847" i="8"/>
  <c r="J905" i="8"/>
  <c r="J961" i="8"/>
  <c r="J1011" i="8"/>
  <c r="J1054" i="8"/>
  <c r="J1096" i="8"/>
  <c r="J1139" i="8"/>
  <c r="J1182" i="8"/>
  <c r="J1224" i="8"/>
  <c r="J1256" i="8"/>
  <c r="J1277" i="8"/>
  <c r="J1295" i="8"/>
  <c r="J1309" i="8"/>
  <c r="J1323" i="8"/>
  <c r="J1335" i="8"/>
  <c r="J1348" i="8"/>
  <c r="J1361" i="8"/>
  <c r="J1373" i="8"/>
  <c r="J1387" i="8"/>
  <c r="J1399" i="8"/>
  <c r="J1412" i="8"/>
  <c r="J1425" i="8"/>
  <c r="J1435" i="8"/>
  <c r="J1444" i="8"/>
  <c r="J1453" i="8"/>
  <c r="J1462" i="8"/>
  <c r="J1471" i="8"/>
  <c r="J1480" i="8"/>
  <c r="J1489" i="8"/>
  <c r="J1497" i="8"/>
  <c r="J1505" i="8"/>
  <c r="J1513" i="8"/>
  <c r="J1521" i="8"/>
  <c r="J1529" i="8"/>
  <c r="J1537" i="8"/>
  <c r="J1545" i="8"/>
  <c r="J1553" i="8"/>
  <c r="J1561" i="8"/>
  <c r="J1569" i="8"/>
  <c r="J1577" i="8"/>
  <c r="J1585" i="8"/>
  <c r="J1593" i="8"/>
  <c r="J1601" i="8"/>
  <c r="J1609" i="8"/>
  <c r="J1617" i="8"/>
  <c r="J1625" i="8"/>
  <c r="J1633" i="8"/>
  <c r="J1641" i="8"/>
  <c r="J1649" i="8"/>
  <c r="J1657" i="8"/>
  <c r="J1665" i="8"/>
  <c r="J1673" i="8"/>
  <c r="J1681" i="8"/>
  <c r="J1689" i="8"/>
  <c r="J1697" i="8"/>
  <c r="J1705" i="8"/>
  <c r="J1713" i="8"/>
  <c r="J1721" i="8"/>
  <c r="J1729" i="8"/>
  <c r="J1737" i="8"/>
  <c r="J1745" i="8"/>
  <c r="J1753" i="8"/>
  <c r="J1761" i="8"/>
  <c r="J1769" i="8"/>
  <c r="J1777" i="8"/>
  <c r="J1785" i="8"/>
  <c r="J1793" i="8"/>
  <c r="J1801" i="8"/>
  <c r="J1809" i="8"/>
  <c r="J1817" i="8"/>
  <c r="J303" i="8"/>
  <c r="J511" i="8"/>
  <c r="J648" i="8"/>
  <c r="J735" i="8"/>
  <c r="J793" i="8"/>
  <c r="J849" i="8"/>
  <c r="J906" i="8"/>
  <c r="J964" i="8"/>
  <c r="J1012" i="8"/>
  <c r="J1055" i="8"/>
  <c r="J1098" i="8"/>
  <c r="J1140" i="8"/>
  <c r="J1183" i="8"/>
  <c r="J1226" i="8"/>
  <c r="J1258" i="8"/>
  <c r="J1283" i="8"/>
  <c r="J1299" i="8"/>
  <c r="J1311" i="8"/>
  <c r="J1324" i="8"/>
  <c r="J1337" i="8"/>
  <c r="J1349" i="8"/>
  <c r="J1363" i="8"/>
  <c r="J1375" i="8"/>
  <c r="J1388" i="8"/>
  <c r="J1401" i="8"/>
  <c r="J1413" i="8"/>
  <c r="J1427" i="8"/>
  <c r="J1436" i="8"/>
  <c r="J1445" i="8"/>
  <c r="J1454" i="8"/>
  <c r="J1463" i="8"/>
  <c r="J1472" i="8"/>
  <c r="J1481" i="8"/>
  <c r="J1490" i="8"/>
  <c r="J1498" i="8"/>
  <c r="J1506" i="8"/>
  <c r="J1514" i="8"/>
  <c r="J1522" i="8"/>
  <c r="J1530" i="8"/>
  <c r="J1538" i="8"/>
  <c r="J1546" i="8"/>
  <c r="J1554" i="8"/>
  <c r="J1562" i="8"/>
  <c r="J1570" i="8"/>
  <c r="J1578" i="8"/>
  <c r="J1586" i="8"/>
  <c r="J1594" i="8"/>
  <c r="J1602" i="8"/>
  <c r="J1610" i="8"/>
  <c r="J1618" i="8"/>
  <c r="J1626" i="8"/>
  <c r="J1634" i="8"/>
  <c r="J1642" i="8"/>
  <c r="J1650" i="8"/>
  <c r="J1658" i="8"/>
  <c r="J1666" i="8"/>
  <c r="J1674" i="8"/>
  <c r="J1682" i="8"/>
  <c r="J1690" i="8"/>
  <c r="J1698" i="8"/>
  <c r="J1706" i="8"/>
  <c r="J1714" i="8"/>
  <c r="J1722" i="8"/>
  <c r="J1730" i="8"/>
  <c r="J1738" i="8"/>
  <c r="J1746" i="8"/>
  <c r="J1754" i="8"/>
  <c r="J1762" i="8"/>
  <c r="J1770" i="8"/>
  <c r="J1778" i="8"/>
  <c r="J1786" i="8"/>
  <c r="J1794" i="8"/>
  <c r="J1802" i="8"/>
  <c r="J1810" i="8"/>
  <c r="J1818" i="8"/>
  <c r="J1826" i="8"/>
  <c r="J391" i="8"/>
  <c r="J539" i="8"/>
  <c r="J675" i="8"/>
  <c r="J748" i="8"/>
  <c r="J805" i="8"/>
  <c r="J862" i="8"/>
  <c r="J918" i="8"/>
  <c r="J975" i="8"/>
  <c r="J1022" i="8"/>
  <c r="J1064" i="8"/>
  <c r="J1107" i="8"/>
  <c r="J1150" i="8"/>
  <c r="J1192" i="8"/>
  <c r="J1235" i="8"/>
  <c r="J1259" i="8"/>
  <c r="J1284" i="8"/>
  <c r="J1300" i="8"/>
  <c r="J1313" i="8"/>
  <c r="J1325" i="8"/>
  <c r="J1339" i="8"/>
  <c r="J1351" i="8"/>
  <c r="J1364" i="8"/>
  <c r="J1377" i="8"/>
  <c r="J1389" i="8"/>
  <c r="J1403" i="8"/>
  <c r="J1415" i="8"/>
  <c r="J1428" i="8"/>
  <c r="J1437" i="8"/>
  <c r="J1446" i="8"/>
  <c r="J1455" i="8"/>
  <c r="J1464" i="8"/>
  <c r="J1473" i="8"/>
  <c r="J1483" i="8"/>
  <c r="J1491" i="8"/>
  <c r="J1499" i="8"/>
  <c r="J1507" i="8"/>
  <c r="J1515" i="8"/>
  <c r="J1523" i="8"/>
  <c r="J1531" i="8"/>
  <c r="J1539" i="8"/>
  <c r="J1547" i="8"/>
  <c r="J1555" i="8"/>
  <c r="J1563" i="8"/>
  <c r="J1571" i="8"/>
  <c r="J1579" i="8"/>
  <c r="J1587" i="8"/>
  <c r="J1595" i="8"/>
  <c r="J1603" i="8"/>
  <c r="J1611" i="8"/>
  <c r="J1619" i="8"/>
  <c r="J1627" i="8"/>
  <c r="J1635" i="8"/>
  <c r="J1643" i="8"/>
  <c r="J1651" i="8"/>
  <c r="J1659" i="8"/>
  <c r="J1667" i="8"/>
  <c r="J1675" i="8"/>
  <c r="J1683" i="8"/>
  <c r="J1691" i="8"/>
  <c r="J1699" i="8"/>
  <c r="J1707" i="8"/>
  <c r="J1715" i="8"/>
  <c r="J1723" i="8"/>
  <c r="J1731" i="8"/>
  <c r="J1739" i="8"/>
  <c r="J1747" i="8"/>
  <c r="J1755" i="8"/>
  <c r="J1763" i="8"/>
  <c r="J1771" i="8"/>
  <c r="J1779" i="8"/>
  <c r="J1787" i="8"/>
  <c r="J1795" i="8"/>
  <c r="J1803" i="8"/>
  <c r="J1811" i="8"/>
  <c r="J1819" i="8"/>
  <c r="J1827" i="8"/>
  <c r="J1835" i="8"/>
  <c r="J1843" i="8"/>
  <c r="J1851" i="8"/>
  <c r="J1859" i="8"/>
  <c r="J1867" i="8"/>
  <c r="J1875" i="8"/>
  <c r="J1883" i="8"/>
  <c r="J1891" i="8"/>
  <c r="J1899" i="8"/>
  <c r="J404" i="8"/>
  <c r="J806" i="8"/>
  <c r="J1023" i="8"/>
  <c r="J1119" i="8"/>
  <c r="J1204" i="8"/>
  <c r="J1269" i="8"/>
  <c r="J1305" i="8"/>
  <c r="J1331" i="8"/>
  <c r="J1356" i="8"/>
  <c r="J1381" i="8"/>
  <c r="J1407" i="8"/>
  <c r="J1431" i="8"/>
  <c r="J1449" i="8"/>
  <c r="J1468" i="8"/>
  <c r="J1486" i="8"/>
  <c r="J1502" i="8"/>
  <c r="J1518" i="8"/>
  <c r="J1534" i="8"/>
  <c r="J1550" i="8"/>
  <c r="J1566" i="8"/>
  <c r="J1582" i="8"/>
  <c r="J1598" i="8"/>
  <c r="J1614" i="8"/>
  <c r="J1630" i="8"/>
  <c r="J1646" i="8"/>
  <c r="J1662" i="8"/>
  <c r="J1678" i="8"/>
  <c r="J1694" i="8"/>
  <c r="J1710" i="8"/>
  <c r="J1726" i="8"/>
  <c r="J1742" i="8"/>
  <c r="J1758" i="8"/>
  <c r="J1774" i="8"/>
  <c r="J1790" i="8"/>
  <c r="J1806" i="8"/>
  <c r="J1822" i="8"/>
  <c r="J1834" i="8"/>
  <c r="J1845" i="8"/>
  <c r="J1855" i="8"/>
  <c r="J1866" i="8"/>
  <c r="J1877" i="8"/>
  <c r="J1887" i="8"/>
  <c r="J1898" i="8"/>
  <c r="J1908" i="8"/>
  <c r="J1916" i="8"/>
  <c r="J1924" i="8"/>
  <c r="J1932" i="8"/>
  <c r="J1940" i="8"/>
  <c r="J1948" i="8"/>
  <c r="J1956" i="8"/>
  <c r="J1964" i="8"/>
  <c r="J1972" i="8"/>
  <c r="J1980" i="8"/>
  <c r="J1988" i="8"/>
  <c r="J1996" i="8"/>
  <c r="J2004" i="8"/>
  <c r="J436" i="8"/>
  <c r="J820" i="8"/>
  <c r="J1032" i="8"/>
  <c r="J1128" i="8"/>
  <c r="J1214" i="8"/>
  <c r="J1275" i="8"/>
  <c r="J1307" i="8"/>
  <c r="J1332" i="8"/>
  <c r="J1357" i="8"/>
  <c r="J1383" i="8"/>
  <c r="J1409" i="8"/>
  <c r="J1432" i="8"/>
  <c r="J1451" i="8"/>
  <c r="J1469" i="8"/>
  <c r="J1487" i="8"/>
  <c r="J1503" i="8"/>
  <c r="J1519" i="8"/>
  <c r="J1535" i="8"/>
  <c r="J1551" i="8"/>
  <c r="J1567" i="8"/>
  <c r="J1583" i="8"/>
  <c r="J1599" i="8"/>
  <c r="J1615" i="8"/>
  <c r="J1631" i="8"/>
  <c r="J1647" i="8"/>
  <c r="J1663" i="8"/>
  <c r="J1679" i="8"/>
  <c r="J1695" i="8"/>
  <c r="J1711" i="8"/>
  <c r="J1727" i="8"/>
  <c r="J1743" i="8"/>
  <c r="J1759" i="8"/>
  <c r="J1775" i="8"/>
  <c r="J1791" i="8"/>
  <c r="J1807" i="8"/>
  <c r="J1823" i="8"/>
  <c r="J1836" i="8"/>
  <c r="J1846" i="8"/>
  <c r="J1857" i="8"/>
  <c r="J1868" i="8"/>
  <c r="J1878" i="8"/>
  <c r="J1889" i="8"/>
  <c r="J1900" i="8"/>
  <c r="J1909" i="8"/>
  <c r="J1917" i="8"/>
  <c r="J1925" i="8"/>
  <c r="J1933" i="8"/>
  <c r="J1941" i="8"/>
  <c r="J1949" i="8"/>
  <c r="J1957" i="8"/>
  <c r="J1965" i="8"/>
  <c r="J1973" i="8"/>
  <c r="J1981" i="8"/>
  <c r="J1989" i="8"/>
  <c r="J1997" i="8"/>
  <c r="J2005" i="8"/>
  <c r="J546" i="8"/>
  <c r="J863" i="8"/>
  <c r="J1066" i="8"/>
  <c r="J1151" i="8"/>
  <c r="J1236" i="8"/>
  <c r="J1285" i="8"/>
  <c r="J1315" i="8"/>
  <c r="J1340" i="8"/>
  <c r="J1365" i="8"/>
  <c r="J1391" i="8"/>
  <c r="J1417" i="8"/>
  <c r="J1438" i="8"/>
  <c r="J1456" i="8"/>
  <c r="J1475" i="8"/>
  <c r="J1492" i="8"/>
  <c r="J1508" i="8"/>
  <c r="J1524" i="8"/>
  <c r="J1540" i="8"/>
  <c r="J1556" i="8"/>
  <c r="J1572" i="8"/>
  <c r="J1588" i="8"/>
  <c r="J1604" i="8"/>
  <c r="J1620" i="8"/>
  <c r="J1636" i="8"/>
  <c r="J1652" i="8"/>
  <c r="J1668" i="8"/>
  <c r="J1684" i="8"/>
  <c r="J1700" i="8"/>
  <c r="J1716" i="8"/>
  <c r="J1732" i="8"/>
  <c r="J1748" i="8"/>
  <c r="J1764" i="8"/>
  <c r="J1780" i="8"/>
  <c r="J1796" i="8"/>
  <c r="J1812" i="8"/>
  <c r="J1825" i="8"/>
  <c r="J1837" i="8"/>
  <c r="J1847" i="8"/>
  <c r="J1858" i="8"/>
  <c r="J1869" i="8"/>
  <c r="J1879" i="8"/>
  <c r="J1890" i="8"/>
  <c r="J1901" i="8"/>
  <c r="J1910" i="8"/>
  <c r="J1918" i="8"/>
  <c r="J1926" i="8"/>
  <c r="J1934" i="8"/>
  <c r="J1942" i="8"/>
  <c r="J1950" i="8"/>
  <c r="J1958" i="8"/>
  <c r="J1966" i="8"/>
  <c r="J1974" i="8"/>
  <c r="J1982" i="8"/>
  <c r="J1990" i="8"/>
  <c r="J1998" i="8"/>
  <c r="J2006" i="8"/>
  <c r="J1935" i="8"/>
  <c r="J1951" i="8"/>
  <c r="J1967" i="8"/>
  <c r="J1983" i="8"/>
  <c r="J1999" i="8"/>
  <c r="J1839" i="8"/>
  <c r="J1861" i="8"/>
  <c r="J1871" i="8"/>
  <c r="J1893" i="8"/>
  <c r="J1903" i="8"/>
  <c r="J1920" i="8"/>
  <c r="J1928" i="8"/>
  <c r="J1944" i="8"/>
  <c r="J1952" i="8"/>
  <c r="J1968" i="8"/>
  <c r="J1984" i="8"/>
  <c r="J2008" i="8"/>
  <c r="J1353" i="8"/>
  <c r="J1500" i="8"/>
  <c r="J1548" i="8"/>
  <c r="J1596" i="8"/>
  <c r="J1660" i="8"/>
  <c r="J1692" i="8"/>
  <c r="J1740" i="8"/>
  <c r="J1788" i="8"/>
  <c r="J1820" i="8"/>
  <c r="J1842" i="8"/>
  <c r="J1874" i="8"/>
  <c r="J1895" i="8"/>
  <c r="J1922" i="8"/>
  <c r="J1938" i="8"/>
  <c r="J1954" i="8"/>
  <c r="J1978" i="8"/>
  <c r="J1994" i="8"/>
  <c r="J990" i="8"/>
  <c r="J1203" i="8"/>
  <c r="J1329" i="8"/>
  <c r="J1380" i="8"/>
  <c r="J1448" i="8"/>
  <c r="J1485" i="8"/>
  <c r="J1533" i="8"/>
  <c r="J1565" i="8"/>
  <c r="J1597" i="8"/>
  <c r="J1645" i="8"/>
  <c r="J1677" i="8"/>
  <c r="J1709" i="8"/>
  <c r="J1757" i="8"/>
  <c r="J1805" i="8"/>
  <c r="J1833" i="8"/>
  <c r="J1865" i="8"/>
  <c r="J1886" i="8"/>
  <c r="J1915" i="8"/>
  <c r="J1931" i="8"/>
  <c r="J1955" i="8"/>
  <c r="J1979" i="8"/>
  <c r="J1995" i="8"/>
  <c r="J572" i="8"/>
  <c r="J876" i="8"/>
  <c r="J1075" i="8"/>
  <c r="J1160" i="8"/>
  <c r="J1238" i="8"/>
  <c r="J1287" i="8"/>
  <c r="J1316" i="8"/>
  <c r="J1341" i="8"/>
  <c r="J1367" i="8"/>
  <c r="J1393" i="8"/>
  <c r="J1419" i="8"/>
  <c r="J1439" i="8"/>
  <c r="J1457" i="8"/>
  <c r="J1476" i="8"/>
  <c r="J1493" i="8"/>
  <c r="J1509" i="8"/>
  <c r="J1525" i="8"/>
  <c r="J1541" i="8"/>
  <c r="J1557" i="8"/>
  <c r="J1573" i="8"/>
  <c r="J1589" i="8"/>
  <c r="J1605" i="8"/>
  <c r="J1621" i="8"/>
  <c r="J1637" i="8"/>
  <c r="J1653" i="8"/>
  <c r="J1669" i="8"/>
  <c r="J1685" i="8"/>
  <c r="J1701" i="8"/>
  <c r="J1717" i="8"/>
  <c r="J1733" i="8"/>
  <c r="J1749" i="8"/>
  <c r="J1765" i="8"/>
  <c r="J1781" i="8"/>
  <c r="J1797" i="8"/>
  <c r="J1813" i="8"/>
  <c r="J1828" i="8"/>
  <c r="J1838" i="8"/>
  <c r="J1849" i="8"/>
  <c r="J1860" i="8"/>
  <c r="J1870" i="8"/>
  <c r="J1881" i="8"/>
  <c r="J1892" i="8"/>
  <c r="J1902" i="8"/>
  <c r="J1911" i="8"/>
  <c r="J1919" i="8"/>
  <c r="J1927" i="8"/>
  <c r="J1943" i="8"/>
  <c r="J1959" i="8"/>
  <c r="J1975" i="8"/>
  <c r="J1991" i="8"/>
  <c r="J2007" i="8"/>
  <c r="J1850" i="8"/>
  <c r="J1882" i="8"/>
  <c r="J1912" i="8"/>
  <c r="J1936" i="8"/>
  <c r="J1960" i="8"/>
  <c r="J1976" i="8"/>
  <c r="J1992" i="8"/>
  <c r="J2000" i="8"/>
  <c r="J1379" i="8"/>
  <c r="J1564" i="8"/>
  <c r="J1628" i="8"/>
  <c r="J1708" i="8"/>
  <c r="J682" i="8"/>
  <c r="J921" i="8"/>
  <c r="J1076" i="8"/>
  <c r="J1162" i="8"/>
  <c r="J1246" i="8"/>
  <c r="J1291" i="8"/>
  <c r="J1317" i="8"/>
  <c r="J1343" i="8"/>
  <c r="J1369" i="8"/>
  <c r="J1395" i="8"/>
  <c r="J1420" i="8"/>
  <c r="J1440" i="8"/>
  <c r="J1459" i="8"/>
  <c r="J1477" i="8"/>
  <c r="J1494" i="8"/>
  <c r="J1510" i="8"/>
  <c r="J1526" i="8"/>
  <c r="J1542" i="8"/>
  <c r="J1558" i="8"/>
  <c r="J1574" i="8"/>
  <c r="J1590" i="8"/>
  <c r="J1606" i="8"/>
  <c r="J1622" i="8"/>
  <c r="J1638" i="8"/>
  <c r="J1654" i="8"/>
  <c r="J1670" i="8"/>
  <c r="J1686" i="8"/>
  <c r="J1702" i="8"/>
  <c r="J1718" i="8"/>
  <c r="J1734" i="8"/>
  <c r="J1750" i="8"/>
  <c r="J1766" i="8"/>
  <c r="J1782" i="8"/>
  <c r="J1798" i="8"/>
  <c r="J1814" i="8"/>
  <c r="J1829" i="8"/>
  <c r="J1532" i="8"/>
  <c r="J1756" i="8"/>
  <c r="J1853" i="8"/>
  <c r="J1906" i="8"/>
  <c r="J1930" i="8"/>
  <c r="J1962" i="8"/>
  <c r="J1986" i="8"/>
  <c r="J1118" i="8"/>
  <c r="J1405" i="8"/>
  <c r="J1517" i="8"/>
  <c r="J1613" i="8"/>
  <c r="J1725" i="8"/>
  <c r="J1789" i="8"/>
  <c r="J1854" i="8"/>
  <c r="J1907" i="8"/>
  <c r="J1939" i="8"/>
  <c r="J1971" i="8"/>
  <c r="J2003" i="8"/>
  <c r="J700" i="8"/>
  <c r="J933" i="8"/>
  <c r="J1086" i="8"/>
  <c r="J1171" i="8"/>
  <c r="J1247" i="8"/>
  <c r="J1292" i="8"/>
  <c r="J1319" i="8"/>
  <c r="J1345" i="8"/>
  <c r="J1371" i="8"/>
  <c r="J1396" i="8"/>
  <c r="J1421" i="8"/>
  <c r="J1441" i="8"/>
  <c r="J1460" i="8"/>
  <c r="J1478" i="8"/>
  <c r="J1495" i="8"/>
  <c r="J1511" i="8"/>
  <c r="J1527" i="8"/>
  <c r="J1543" i="8"/>
  <c r="J1559" i="8"/>
  <c r="J1575" i="8"/>
  <c r="J1591" i="8"/>
  <c r="J1607" i="8"/>
  <c r="J1623" i="8"/>
  <c r="J1639" i="8"/>
  <c r="J1655" i="8"/>
  <c r="J1671" i="8"/>
  <c r="J1687" i="8"/>
  <c r="J1703" i="8"/>
  <c r="J1719" i="8"/>
  <c r="J1735" i="8"/>
  <c r="J1751" i="8"/>
  <c r="J1767" i="8"/>
  <c r="J1783" i="8"/>
  <c r="J1799" i="8"/>
  <c r="J1815" i="8"/>
  <c r="J1830" i="8"/>
  <c r="J1841" i="8"/>
  <c r="J1852" i="8"/>
  <c r="J1862" i="8"/>
  <c r="J1873" i="8"/>
  <c r="J1884" i="8"/>
  <c r="J1894" i="8"/>
  <c r="J1905" i="8"/>
  <c r="J1913" i="8"/>
  <c r="J1921" i="8"/>
  <c r="J1929" i="8"/>
  <c r="J1937" i="8"/>
  <c r="J1945" i="8"/>
  <c r="J1953" i="8"/>
  <c r="J1961" i="8"/>
  <c r="J1969" i="8"/>
  <c r="J1977" i="8"/>
  <c r="J1985" i="8"/>
  <c r="J1993" i="8"/>
  <c r="J2001" i="8"/>
  <c r="J2009" i="8"/>
  <c r="J750" i="8"/>
  <c r="J977" i="8"/>
  <c r="J1108" i="8"/>
  <c r="J1194" i="8"/>
  <c r="J1267" i="8"/>
  <c r="J1301" i="8"/>
  <c r="J1327" i="8"/>
  <c r="J1404" i="8"/>
  <c r="J1429" i="8"/>
  <c r="J1447" i="8"/>
  <c r="J1465" i="8"/>
  <c r="J1484" i="8"/>
  <c r="J1516" i="8"/>
  <c r="J1580" i="8"/>
  <c r="J1612" i="8"/>
  <c r="J1644" i="8"/>
  <c r="J1676" i="8"/>
  <c r="J1724" i="8"/>
  <c r="J1772" i="8"/>
  <c r="J1804" i="8"/>
  <c r="J1831" i="8"/>
  <c r="J1863" i="8"/>
  <c r="J1885" i="8"/>
  <c r="J1914" i="8"/>
  <c r="J1946" i="8"/>
  <c r="J1970" i="8"/>
  <c r="J2002" i="8"/>
  <c r="J762" i="8"/>
  <c r="J1268" i="8"/>
  <c r="J1303" i="8"/>
  <c r="J1355" i="8"/>
  <c r="J1430" i="8"/>
  <c r="J1467" i="8"/>
  <c r="J1501" i="8"/>
  <c r="J1549" i="8"/>
  <c r="J1581" i="8"/>
  <c r="J1629" i="8"/>
  <c r="J1661" i="8"/>
  <c r="J1693" i="8"/>
  <c r="J1741" i="8"/>
  <c r="J1773" i="8"/>
  <c r="J1821" i="8"/>
  <c r="J1844" i="8"/>
  <c r="J1876" i="8"/>
  <c r="J1897" i="8"/>
  <c r="J1923" i="8"/>
  <c r="J1947" i="8"/>
  <c r="J1963" i="8"/>
  <c r="J1987" i="8"/>
  <c r="V23" i="9"/>
  <c r="U23" i="9"/>
  <c r="T23" i="9"/>
  <c r="T20" i="9"/>
  <c r="U20" i="9"/>
  <c r="V20" i="9"/>
  <c r="V17" i="9"/>
  <c r="U17" i="9"/>
  <c r="T17" i="9"/>
  <c r="S23" i="9"/>
  <c r="R23" i="9"/>
  <c r="Q23" i="9"/>
  <c r="Q20" i="9"/>
  <c r="R20" i="9"/>
  <c r="S20" i="9"/>
  <c r="S17" i="9"/>
  <c r="R17" i="9"/>
  <c r="Q17" i="9"/>
  <c r="N23" i="9"/>
  <c r="O23" i="9"/>
  <c r="P23" i="9"/>
  <c r="P20" i="9"/>
  <c r="O20" i="9"/>
  <c r="N20" i="9"/>
  <c r="N17" i="9"/>
  <c r="O17" i="9"/>
  <c r="P17" i="9"/>
  <c r="S21" i="9" l="1"/>
  <c r="S22" i="9" s="1"/>
  <c r="S18" i="9"/>
  <c r="S19" i="9" s="1"/>
  <c r="V18" i="9"/>
  <c r="V19" i="9" s="1"/>
  <c r="R21" i="9"/>
  <c r="R22" i="9" s="1"/>
  <c r="U21" i="9"/>
  <c r="U22" i="9" s="1"/>
  <c r="R24" i="9"/>
  <c r="R25" i="9" s="1"/>
  <c r="U18" i="9"/>
  <c r="U19" i="9" s="1"/>
  <c r="U24" i="9"/>
  <c r="U25" i="9" s="1"/>
  <c r="V24" i="9"/>
  <c r="V25" i="9" s="1"/>
  <c r="R18" i="9"/>
  <c r="R19" i="9" s="1"/>
  <c r="V21" i="9"/>
  <c r="V22" i="9" s="1"/>
  <c r="S24" i="9"/>
  <c r="S25" i="9" s="1"/>
  <c r="P18" i="9"/>
  <c r="P19" i="9" s="1"/>
  <c r="O24" i="9"/>
  <c r="O25" i="9" s="1"/>
  <c r="P24" i="9"/>
  <c r="P25" i="9" s="1"/>
  <c r="O18" i="9"/>
  <c r="O19" i="9" s="1"/>
  <c r="O21" i="9"/>
  <c r="O22" i="9" s="1"/>
  <c r="P21" i="9"/>
  <c r="P22" i="9" s="1"/>
  <c r="M23" i="9"/>
  <c r="L23" i="9"/>
  <c r="K23" i="9"/>
  <c r="K20" i="9"/>
  <c r="L20" i="9"/>
  <c r="M20" i="9"/>
  <c r="M17" i="9"/>
  <c r="L17" i="9"/>
  <c r="K17" i="9"/>
  <c r="B7" i="9"/>
  <c r="B8" i="9"/>
  <c r="B10" i="9"/>
  <c r="B11" i="9"/>
  <c r="J23" i="9"/>
  <c r="D9" i="9" s="1"/>
  <c r="I23" i="9"/>
  <c r="C9" i="9" s="1"/>
  <c r="H23" i="9"/>
  <c r="B9" i="9" s="1"/>
  <c r="M21" i="9" l="1"/>
  <c r="M22" i="9" s="1"/>
  <c r="L21" i="9"/>
  <c r="L22" i="9" s="1"/>
  <c r="M18" i="9"/>
  <c r="M19" i="9" s="1"/>
  <c r="L24" i="9"/>
  <c r="L25" i="9" s="1"/>
  <c r="L18" i="9"/>
  <c r="L19" i="9" s="1"/>
  <c r="M24" i="9"/>
  <c r="M25" i="9" s="1"/>
  <c r="J24" i="9"/>
  <c r="I24" i="9"/>
  <c r="H20" i="9"/>
  <c r="B6" i="9" s="1"/>
  <c r="I20" i="9"/>
  <c r="C6" i="9" s="1"/>
  <c r="J20" i="9"/>
  <c r="D6" i="9" s="1"/>
  <c r="J17" i="9"/>
  <c r="J21" i="9" l="1"/>
  <c r="I21" i="9"/>
  <c r="I25" i="9"/>
  <c r="C11" i="9" s="1"/>
  <c r="C10" i="9"/>
  <c r="J25" i="9"/>
  <c r="D11" i="9" s="1"/>
  <c r="D10" i="9"/>
  <c r="D3" i="9"/>
  <c r="B4" i="9"/>
  <c r="B5" i="9"/>
  <c r="H17" i="9"/>
  <c r="B3" i="9" s="1"/>
  <c r="G23" i="9"/>
  <c r="F23" i="9"/>
  <c r="E23" i="9"/>
  <c r="E20" i="9"/>
  <c r="F20" i="9"/>
  <c r="G20" i="9"/>
  <c r="G17" i="9"/>
  <c r="F17" i="9"/>
  <c r="E17" i="9"/>
  <c r="D23" i="9"/>
  <c r="C23" i="9"/>
  <c r="B23" i="9"/>
  <c r="B20" i="9"/>
  <c r="C20" i="9"/>
  <c r="D20" i="9"/>
  <c r="B17" i="9"/>
  <c r="C17" i="9"/>
  <c r="D17" i="9"/>
  <c r="I18" i="9" l="1"/>
  <c r="I19" i="9" s="1"/>
  <c r="C5" i="9" s="1"/>
  <c r="J18" i="9"/>
  <c r="J19" i="9" s="1"/>
  <c r="D5" i="9" s="1"/>
  <c r="C3" i="9"/>
  <c r="C7" i="9"/>
  <c r="I22" i="9"/>
  <c r="C8" i="9" s="1"/>
  <c r="D7" i="9"/>
  <c r="J22" i="9"/>
  <c r="D8" i="9" s="1"/>
  <c r="F24" i="9"/>
  <c r="F25" i="9" s="1"/>
  <c r="C4" i="9" l="1"/>
  <c r="D4" i="9"/>
  <c r="F21" i="9"/>
  <c r="F22" i="9" s="1"/>
  <c r="G18" i="9"/>
  <c r="G19" i="9" s="1"/>
  <c r="C21" i="9"/>
  <c r="C22" i="9" s="1"/>
  <c r="G24" i="9"/>
  <c r="G25" i="9" s="1"/>
  <c r="F18" i="9"/>
  <c r="F19" i="9" s="1"/>
  <c r="G21" i="9"/>
  <c r="G22" i="9" s="1"/>
  <c r="C24" i="9"/>
  <c r="C25" i="9" s="1"/>
  <c r="D24" i="9"/>
  <c r="D25" i="9" s="1"/>
  <c r="D21" i="9"/>
  <c r="D22" i="9" s="1"/>
  <c r="C18" i="9"/>
  <c r="C19" i="9" s="1"/>
  <c r="D18" i="9"/>
  <c r="D1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40F7D-9C73-4C53-A217-8503B9B0F388}" keepAlive="1" name="Запрос — 2021" description="Соединение с запросом &quot;2021&quot; в книге." type="5" refreshedVersion="6" background="1" saveData="1">
    <dbPr connection="Provider=Microsoft.Mashup.OleDb.1;Data Source=$Workbook$;Location=2021;Extended Properties=&quot;&quot;" command="SELECT * FROM [2021]"/>
  </connection>
  <connection id="2" xr16:uid="{29F45713-FCAE-4FD8-9C62-7DFEFEB3F172}" keepAlive="1" name="Запрос — Sheet1" description="Соединение с запросом &quot;Sheet1&quot; в книге." type="5" refreshedVersion="6" background="1" saveData="1">
    <dbPr connection="Provider=Microsoft.Mashup.OleDb.1;Data Source=$Workbook$;Location=Sheet1;Extended Properties=&quot;&quot;" command="SELECT * FROM [Sheet1]"/>
  </connection>
  <connection id="3" xr16:uid="{B99D6F12-9E50-4462-89DF-CC144EBFBB5D}" keepAlive="1" name="Запрос — Копия 2020" description="Соединение с запросом &quot;Копия 2020&quot; в книге." type="5" refreshedVersion="6" background="1" saveData="1">
    <dbPr connection="Provider=Microsoft.Mashup.OleDb.1;Data Source=$Workbook$;Location=Копия 2020;Extended Properties=&quot;&quot;" command="SELECT * FROM [Копия 2020]"/>
  </connection>
  <connection id="4" xr16:uid="{F1D55A84-B621-41C7-8EDB-9E34618904B7}" keepAlive="1" name="Запрос — Копия 2020 (2)" description="Соединение с запросом &quot;Копия 2020 (2)&quot; в книге." type="5" refreshedVersion="6" background="1" saveData="1">
    <dbPr connection="Provider=Microsoft.Mashup.OleDb.1;Data Source=$Workbook$;Location=&quot;Копия 2020 (2)&quot;;Extended Properties=&quot;&quot;" command="SELECT * FROM [Копия 2020 (2)]"/>
  </connection>
  <connection id="5" xr16:uid="{F2F46EDF-3724-4890-A01E-41B94BB27120}" keepAlive="1" name="Запрос — Копия 2022" description="Соединение с запросом &quot;Копия 2022&quot; в книге." type="5" refreshedVersion="6" background="1" saveData="1">
    <dbPr connection="Provider=Microsoft.Mashup.OleDb.1;Data Source=$Workbook$;Location=Копия 2022;Extended Properties=&quot;&quot;" command="SELECT * FROM [Копия 2022]"/>
  </connection>
</connections>
</file>

<file path=xl/sharedStrings.xml><?xml version="1.0" encoding="utf-8"?>
<sst xmlns="http://schemas.openxmlformats.org/spreadsheetml/2006/main" count="6646" uniqueCount="207">
  <si>
    <t>Year</t>
  </si>
  <si>
    <t>Month</t>
  </si>
  <si>
    <t>Channel</t>
  </si>
  <si>
    <t>Brand</t>
  </si>
  <si>
    <t>Weight range</t>
  </si>
  <si>
    <t>Units (in 1000)</t>
  </si>
  <si>
    <t>Volume (in 1000 kg)</t>
  </si>
  <si>
    <t>Number of stores</t>
  </si>
  <si>
    <t>Hypermarkets</t>
  </si>
  <si>
    <t>Green</t>
  </si>
  <si>
    <t>200-249G</t>
  </si>
  <si>
    <t>350-399G</t>
  </si>
  <si>
    <t>400-599G</t>
  </si>
  <si>
    <t>600-899G</t>
  </si>
  <si>
    <t>Blue</t>
  </si>
  <si>
    <t>Black</t>
  </si>
  <si>
    <t>Yellow</t>
  </si>
  <si>
    <t>White</t>
  </si>
  <si>
    <t>&lt;200G</t>
  </si>
  <si>
    <t>Red</t>
  </si>
  <si>
    <t>Orange</t>
  </si>
  <si>
    <t>250-299G</t>
  </si>
  <si>
    <t>Purple</t>
  </si>
  <si>
    <t>Brown</t>
  </si>
  <si>
    <t>Pink</t>
  </si>
  <si>
    <t>Minimarkets</t>
  </si>
  <si>
    <t>Golden</t>
  </si>
  <si>
    <t>Grey</t>
  </si>
  <si>
    <t>Vivid</t>
  </si>
  <si>
    <t>Supermarkets</t>
  </si>
  <si>
    <t>Deep</t>
  </si>
  <si>
    <t>Moderate</t>
  </si>
  <si>
    <t>Pale</t>
  </si>
  <si>
    <t>Dim</t>
  </si>
  <si>
    <t>Lime</t>
  </si>
  <si>
    <t>300-349G</t>
  </si>
  <si>
    <t>Virulent</t>
  </si>
  <si>
    <t>Magenta</t>
  </si>
  <si>
    <t>Rosy</t>
  </si>
  <si>
    <t>Beige</t>
  </si>
  <si>
    <t>Lilac</t>
  </si>
  <si>
    <t>Cream</t>
  </si>
  <si>
    <t>Cotton</t>
  </si>
  <si>
    <t>Silver</t>
  </si>
  <si>
    <t>Snow</t>
  </si>
  <si>
    <t>100-199G</t>
  </si>
  <si>
    <t>Value (in 1000 rub)</t>
  </si>
  <si>
    <t>Pearl</t>
  </si>
  <si>
    <t>Macaroon</t>
  </si>
  <si>
    <t>Rice</t>
  </si>
  <si>
    <t>Linen</t>
  </si>
  <si>
    <t>Bone</t>
  </si>
  <si>
    <t>Daisy</t>
  </si>
  <si>
    <t>Powder</t>
  </si>
  <si>
    <t>Pastel</t>
  </si>
  <si>
    <t>Mat</t>
  </si>
  <si>
    <t>Glossy</t>
  </si>
  <si>
    <t>Delicate</t>
  </si>
  <si>
    <t>0</t>
  </si>
  <si>
    <t>Teal</t>
  </si>
  <si>
    <t>Khaki</t>
  </si>
  <si>
    <t>Salmon</t>
  </si>
  <si>
    <t>FY</t>
  </si>
  <si>
    <t>abs</t>
  </si>
  <si>
    <t>%</t>
  </si>
  <si>
    <t>L3M</t>
  </si>
  <si>
    <t>M2M</t>
  </si>
  <si>
    <t>Динамика роста  продаж в деньгах бренда Green за 2021 и 2022 года</t>
  </si>
  <si>
    <t>Динамика роста продаж в деньгах для всего рынка за 2021 и 2022 года</t>
  </si>
  <si>
    <t>бренд Blue</t>
  </si>
  <si>
    <t>бренд Deep</t>
  </si>
  <si>
    <t>бренд Green</t>
  </si>
  <si>
    <t>бренд Orange</t>
  </si>
  <si>
    <t>бренд Red</t>
  </si>
  <si>
    <t>бренд White</t>
  </si>
  <si>
    <t>бренд Yellow</t>
  </si>
  <si>
    <t>год</t>
  </si>
  <si>
    <t>Вывод: бренд Green занимает лидирующую позицию по объему продаж в деньгах. Но по относительным показателям рост продаж замедляется (FY &gt; L3M &gt; M2M)</t>
  </si>
  <si>
    <t>проверка пустот в данных</t>
  </si>
  <si>
    <t>market:</t>
  </si>
  <si>
    <t>brand:</t>
  </si>
  <si>
    <t>Weight range:</t>
  </si>
  <si>
    <t>Проверка качества данных показала отсутствие дубликатов, некорректно введенных данных, пропущенных значений. Размерности соответствуют содержимому.</t>
  </si>
  <si>
    <t>В столбце Value (in 1000 rub) в некоторых ячейках присутствовал знак "+", что мешало дальнейшим вычислениям метрик и могло привести к неверным данным по продажам</t>
  </si>
  <si>
    <t>Сумма по полю Value (in 1000 rub)</t>
  </si>
  <si>
    <t>Названия строк</t>
  </si>
  <si>
    <t>Общий итог</t>
  </si>
  <si>
    <t>(несколько элементов)</t>
  </si>
  <si>
    <t>Сумма по полю Units (in 1000)</t>
  </si>
  <si>
    <t>Сумма по полю Number of stores</t>
  </si>
  <si>
    <t>Сумма по полю off-take</t>
  </si>
  <si>
    <t>Сумма по полю Avg month</t>
  </si>
  <si>
    <t>Расчет выбросов для числовых столбцов</t>
  </si>
  <si>
    <t>IQR</t>
  </si>
  <si>
    <t>lower_limit</t>
  </si>
  <si>
    <t>upper_limit</t>
  </si>
  <si>
    <t>Units_outlier</t>
  </si>
  <si>
    <t>Q_1</t>
  </si>
  <si>
    <t>Units_out</t>
  </si>
  <si>
    <t>Q_3</t>
  </si>
  <si>
    <t>Value_out</t>
  </si>
  <si>
    <t>Volume_out</t>
  </si>
  <si>
    <t>Numb_stores_out</t>
  </si>
  <si>
    <t>Value_outlier</t>
  </si>
  <si>
    <t>Volume_outlier</t>
  </si>
  <si>
    <t>Numb_stores_outlier</t>
  </si>
  <si>
    <t>Метрики получились такими же, но это при наличии выбросов.</t>
  </si>
  <si>
    <t>Очистка данных мною была проведена ранее. Был убран знак # у бренда Green, что могло существенно изменить результаты общих продаж в денежном выражении. В частности были бы искажены результаты за 2021 год</t>
  </si>
  <si>
    <t>Названия столбцов</t>
  </si>
  <si>
    <t>Supermarket</t>
  </si>
  <si>
    <t>1.  Отобразить топ-5 брендов в каждом канале продаж (ГМ, СМ, ММ) в денежном выражении в 2022 году.</t>
  </si>
  <si>
    <t>2. Годовая доля рынка в денежном выражении в 2022 году среди брендов объединённых групп weight ranges 350-599G в канале СМ</t>
  </si>
  <si>
    <t>Годовая доля рынка среди брендов</t>
  </si>
  <si>
    <t>Вывод: В каждом из каналов первые 2 лидирующих места занимают бренды Green и Blue. При этом в канале Hypermarket цифры продаж довольно близки по значению</t>
  </si>
  <si>
    <t>Вывод: Половину рынка в денежном выражении в 2022году среди брендов объединённых групп weight ranges 350-599G в канале СМ занимает бренд Green</t>
  </si>
  <si>
    <t>3. Доля рынка в денежном выражении на каждый месяц за последние два года каждого из топ-5 брендов объединённых групп weight ranges 350-599G в канале СМ</t>
  </si>
  <si>
    <t>month</t>
  </si>
  <si>
    <t>Вывод: за последние 2 года (2021-2022) в каждом месяце доля рынка в денежном выражении  объединённых групп weight ranges 350-599G в канале СМ бренда Green составляла не менее 50%. У бренда Blue доля рынка по каждому месяцу составляет около 30%</t>
  </si>
  <si>
    <t>Наименьшая разница между брендами Green и Blue в доле рынка наблюдается в 3 и 11 месяцах, когда доли практически равны.</t>
  </si>
  <si>
    <t>Доля остальных брендов из топ-5 не превышает 10% от общего объема рынка</t>
  </si>
  <si>
    <t>4. Годовой рост продаж для 2021 и 2022 годов в денежном выражении для каждого канала (ГМ, СМ, ММ) и годовую долю рынка</t>
  </si>
  <si>
    <t>Доля рынка на 2 последних года</t>
  </si>
  <si>
    <t>Год</t>
  </si>
  <si>
    <t>годовой рост продаж(abs)</t>
  </si>
  <si>
    <t>годовой рост продаж(%)</t>
  </si>
  <si>
    <t>доля продаж</t>
  </si>
  <si>
    <t>Доля канала Hypermarcets не изменилась.</t>
  </si>
  <si>
    <t>Вывод: рост продаж по всем каналам замедлился, что видно по уменьшению годового роста в % соотношении. В канале Minimarkets доля продаж уменьшилась на 2%, но при этом увеличилась доля Supermarkets на те же 2%</t>
  </si>
  <si>
    <t>5. Офтейк (средние продажи на одну точку) в штуках для брендов «Green» 350-399G и «Blue» 400-599G по месяцам 2022 года в ГМ, СМ и ММ</t>
  </si>
  <si>
    <t>Итог Сумма по полю Units (in 1000)</t>
  </si>
  <si>
    <t>Итог Сумма по полю Number of stores</t>
  </si>
  <si>
    <t>Итог Сумма по полю off-take</t>
  </si>
  <si>
    <t>Для Minimarkets таким месяцем был 4(апрель), но в целом за год разница между месяцами небольшая</t>
  </si>
  <si>
    <t>В случае с Supermarkets больше всего товара было продано в 3(марте) и 10(октябре)</t>
  </si>
  <si>
    <t>оффтейк в штуках для бренда «Blue» 400-599G по месяцам 2022 года</t>
  </si>
  <si>
    <t>Вывод для бренда Blue: для Hypermarkets месяцем с самым большим количеством продаванного товара был 11(ноябрь), а с самым маленьким 6(июнь)</t>
  </si>
  <si>
    <t>оффтейк в штуках для бренда «Green» 350-399G по месяцам 2022 года</t>
  </si>
  <si>
    <r>
      <t>Вывод для бренда Green: для Hypermarkets</t>
    </r>
    <r>
      <rPr>
        <sz val="11"/>
        <color theme="1"/>
        <rFont val="Calibri"/>
        <family val="2"/>
        <charset val="204"/>
        <scheme val="minor"/>
      </rPr>
      <t xml:space="preserve"> наибольший оффтейк в 3(март) и 10(октябрь) месяцах</t>
    </r>
    <r>
      <rPr>
        <sz val="11"/>
        <color theme="1"/>
        <rFont val="Calibri"/>
        <family val="2"/>
        <charset val="204"/>
        <scheme val="minor"/>
      </rPr>
      <t>, а наименьший 12(декабрь)</t>
    </r>
  </si>
  <si>
    <t>Для Minimarkets лучшим можно считать 5(май) месяц, но а худшим 11(ноябрь)</t>
  </si>
  <si>
    <t>В канале Supermarkets месяц с наивысшим показателем это 10(октябрь)</t>
  </si>
  <si>
    <t>6.Среднемесячная цена для брендов «Green» 350-399G и «Blue» 400-599G по месяцам 2022 года в ГМ</t>
  </si>
  <si>
    <t>Значения</t>
  </si>
  <si>
    <t>средняя цена для бренда  Blue 400-599 по месяцам 2022г в ГМ</t>
  </si>
  <si>
    <t>Вывод: Наибольшая среднемесячная цена у бренда Blue 400-599 по месяцам за 2022г в канале Hypermarkets наблюдается в 4 месяце</t>
  </si>
  <si>
    <t>средняя цена для бренда  Green 350-399 по месяцам 2022г в ГМ</t>
  </si>
  <si>
    <t>Вывод: самая высокая средняя цена для бренда Green 350-399 в 2022г в канале Hypermarkets в декабре(12)</t>
  </si>
  <si>
    <t>Различается ли распределение продаж по брендам в разрезе каналов?</t>
  </si>
  <si>
    <t>Почему офтейк на точку в штуках различается по каналам?</t>
  </si>
  <si>
    <t>Как различаются цены по каналам?</t>
  </si>
  <si>
    <t>Гипотеза: офтейк в штуках различается по каналам</t>
  </si>
  <si>
    <t>Н0: офтейк не различается по каналам</t>
  </si>
  <si>
    <t>Поскольку распределение и по количеству проданных единиц товара, и по количеству магазинов в разрезе каналов не одинаковое, то и оффтейк на точку получается разным для разных каналов продаж</t>
  </si>
  <si>
    <t>Гипотеза: цены по каналам различаются.</t>
  </si>
  <si>
    <t>Н0: цены по каналам не различаются</t>
  </si>
  <si>
    <t>Правда ли, что стоимость одного грамма у группы большего веса дешевле, чем у меньшего?</t>
  </si>
  <si>
    <t>Гипотеза: стоимость одного грамма у группы большего веса дешевле, чем у меньшего</t>
  </si>
  <si>
    <t>Н0: стоимость одного грамма у разных весов не различаются</t>
  </si>
  <si>
    <t>цены за 1г по весам</t>
  </si>
  <si>
    <t>весовые группы</t>
  </si>
  <si>
    <t>Гипотеза: Распределение продаж по брендам в разрезе каналов различается</t>
  </si>
  <si>
    <t>Н0: Распределение продаж по брендам в разрезе каналов не отличается</t>
  </si>
  <si>
    <t>Наглядно видно, что у всех брендов продажи распределены неравномерно. Т.е. гипотеза о различии распределения продаж по брендам в разрезе каналов подтвердилась.</t>
  </si>
  <si>
    <t>Глядя на график, заметна тенденция к снижению стоимости 1г по  мере увеличения веса группы</t>
  </si>
  <si>
    <t>Цены по каналам различаются. Самая больша средняя цена у Hypermarkets.</t>
  </si>
  <si>
    <t>Сумма по полю Units</t>
  </si>
  <si>
    <t>Н0: все весовые группы продаются одинаково</t>
  </si>
  <si>
    <t>Гипотеза: объем продаж зависит от весовой группы</t>
  </si>
  <si>
    <t>Наглядно видно, что продажи разных весовых групп отличаются</t>
  </si>
  <si>
    <t>Гипотеза: динамика продаж по каналам по годам различается</t>
  </si>
  <si>
    <t>Н0: динамика продаж одинаковая для всех каналов продаж</t>
  </si>
  <si>
    <t>В период с 2020 по 2022гг Supermarkets демонстрирует уверенный рост продаж. Продажи канала Hypermarkets растут незначительно, в то время как Minimarkets демонстрирует явную динамику к снижению роста продаж.</t>
  </si>
  <si>
    <t>Есть ли предпочтительные весовые группы с точки зрения продаж в разрезе каналов?</t>
  </si>
  <si>
    <t>Гипотеза: Весовые группы с точки зрения продаж различаются по каналам</t>
  </si>
  <si>
    <t>Н0: продажы разных весовых групп не отличаются</t>
  </si>
  <si>
    <t>Объем продаж весовой группы 350-399G наибольший в каналах Supermarkets и Minimarkets. В канале Hypermarkets по объему продаж лидирует весовая группа 400-599G</t>
  </si>
  <si>
    <t>Какова динамика продаж за последние 3 года в разрезе каналов?</t>
  </si>
  <si>
    <t>Есть ли зависимость объема продаж от весовой группы?</t>
  </si>
  <si>
    <t>Объем продаж</t>
  </si>
  <si>
    <t>Other</t>
  </si>
  <si>
    <t>Green_avg</t>
  </si>
  <si>
    <t>Blue_avg</t>
  </si>
  <si>
    <t>Green_offtake</t>
  </si>
  <si>
    <t>Blue_offtake</t>
  </si>
  <si>
    <t>Green_sales</t>
  </si>
  <si>
    <t>Blue_sales</t>
  </si>
  <si>
    <t xml:space="preserve"> Avg</t>
  </si>
  <si>
    <t>off-take</t>
  </si>
  <si>
    <t>sales</t>
  </si>
  <si>
    <t>Из графика наглядно видно, что и оффтейк в штуках на точку, и общие продажи падают с начала 2021 года, был скачок продаж в марте 2022 года, но он ситуацию не изменил. Тенденция на замедление динамики продолжается.</t>
  </si>
  <si>
    <t>Соответственно падению продаж растет средняя цена</t>
  </si>
  <si>
    <t>Доля продаж</t>
  </si>
  <si>
    <t>Покажите динамику объёма продаж в деньгах во всей категории по месяцам за три года.</t>
  </si>
  <si>
    <t>месяц</t>
  </si>
  <si>
    <t>Визуализируйте годовую долю рынка в денежном выражении за 2022 год среди брендов объединённых весовых групп 350-599G в канале СМ.</t>
  </si>
  <si>
    <t xml:space="preserve">Отобразите на одном графике динамику доли рынка в денежном выражении на каждый месяц за последние два года каждого топ-5 брендов объединённых групп weight ranges 350-599G в канале СМ. </t>
  </si>
  <si>
    <t>Долю остальных брендов сгруппируйте, назовите Others и также разместите на графике. Топ-5 брендов определите по совокупной доле за 2021 и 2022 годы.</t>
  </si>
  <si>
    <t>Покажите на одном графике долю продаж (ось Х) и рост продаж (ось Y) каждого канала ГМ, СМ и ММ за 2022 год.</t>
  </si>
  <si>
    <t>Покажите динамику оффтейка на точку в штуках для брендов Green 350-399G и Blue 400-599G по месяцам 2022 в ГМ.</t>
  </si>
  <si>
    <t>На трёх отдельных графиках попарно отобразите динамику цен, оффтейков и продаж для брендов Green 350-399G и Blue 400-599G по месяцам 2022 в ГМ.</t>
  </si>
  <si>
    <t>На одном графике визуализируйте динамику цены, оффтейка в штуках и продаж в деньгах для бренда Green 100-199G для любого из трёх каналов за все три года. Какие предположения вы можете сделать на основе этого графика?</t>
  </si>
  <si>
    <t>продажи Hypermarkets</t>
  </si>
  <si>
    <t>доля продаж Hypermarkets</t>
  </si>
  <si>
    <t>Продажи</t>
  </si>
  <si>
    <t>продажи Minimarkets</t>
  </si>
  <si>
    <t>доля продаж Minimarkets</t>
  </si>
  <si>
    <t>продажи Supermarkets</t>
  </si>
  <si>
    <t>доля продаж Supermarkets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</si>
</sst>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₽_-;\-* #,##0.00\ _₽_-;_-* &quot;-&quot;??\ _₽_-;_-@_-"/>
    <numFmt numFmtId="164" formatCode="0.0000"/>
    <numFmt numFmtId="165" formatCode="_-* #,##0.000\ _₽_-;\-* #,##0.000\ _₽_-;_-* &quot;-&quot;??\ _₽_-;_-@_-"/>
    <numFmt numFmtId="167" formatCode="_-* #,##0.00000\ _₽_-;\-* #,##0.00000\ _₽_-;_-* &quot;-&quot;??\ _₽_-;_-@_-"/>
    <numFmt numFmtId="168" formatCode="_-* #,##0.0\ _₽_-;\-* #,##0.0\ _₽_-;_-* &quot;-&quot;??\ _₽_-;_-@_-"/>
    <numFmt numFmtId="169" formatCode="_-* #,##0\ _₽_-;\-* #,##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NumberFormat="1"/>
    <xf numFmtId="9" fontId="0" fillId="0" borderId="0" xfId="1" applyFont="1"/>
    <xf numFmtId="0" fontId="0" fillId="2" borderId="0" xfId="0" applyFill="1"/>
    <xf numFmtId="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3" borderId="0" xfId="0" applyFill="1"/>
    <xf numFmtId="2" fontId="0" fillId="0" borderId="0" xfId="0" applyNumberFormat="1"/>
    <xf numFmtId="0" fontId="0" fillId="0" borderId="0" xfId="0" applyAlignment="1">
      <alignment horizontal="center" shrinkToFit="1"/>
    </xf>
    <xf numFmtId="0" fontId="0" fillId="0" borderId="0" xfId="0" applyFill="1" applyAlignment="1">
      <alignment horizontal="center" shrinkToFit="1"/>
    </xf>
    <xf numFmtId="9" fontId="0" fillId="4" borderId="0" xfId="1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4" fillId="2" borderId="2" xfId="0" applyFont="1" applyFill="1" applyBorder="1"/>
    <xf numFmtId="9" fontId="0" fillId="6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0" borderId="2" xfId="0" applyFont="1" applyFill="1" applyBorder="1"/>
    <xf numFmtId="0" fontId="3" fillId="0" borderId="3" xfId="0" applyFont="1" applyFill="1" applyBorder="1"/>
    <xf numFmtId="2" fontId="0" fillId="0" borderId="2" xfId="0" applyNumberFormat="1" applyFont="1" applyFill="1" applyBorder="1" applyAlignment="1">
      <alignment horizontal="right"/>
    </xf>
    <xf numFmtId="0" fontId="0" fillId="0" borderId="3" xfId="0" applyFont="1" applyFill="1" applyBorder="1"/>
    <xf numFmtId="0" fontId="0" fillId="0" borderId="2" xfId="0" applyNumberFormat="1" applyFont="1" applyFill="1" applyBorder="1" applyAlignment="1">
      <alignment horizontal="right"/>
    </xf>
    <xf numFmtId="0" fontId="0" fillId="0" borderId="2" xfId="0" applyFont="1" applyFill="1" applyBorder="1"/>
    <xf numFmtId="43" fontId="0" fillId="0" borderId="0" xfId="2" applyFont="1"/>
    <xf numFmtId="0" fontId="2" fillId="0" borderId="4" xfId="0" applyFont="1" applyFill="1" applyBorder="1"/>
    <xf numFmtId="9" fontId="0" fillId="0" borderId="0" xfId="0" applyNumberFormat="1"/>
    <xf numFmtId="165" fontId="0" fillId="0" borderId="0" xfId="0" applyNumberFormat="1"/>
    <xf numFmtId="167" fontId="0" fillId="0" borderId="0" xfId="2" applyNumberFormat="1" applyFont="1"/>
    <xf numFmtId="0" fontId="0" fillId="0" borderId="4" xfId="0" applyFont="1" applyFill="1" applyBorder="1"/>
    <xf numFmtId="43" fontId="0" fillId="0" borderId="0" xfId="0" applyNumberForma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7" borderId="4" xfId="0" applyFont="1" applyFill="1" applyBorder="1"/>
    <xf numFmtId="0" fontId="2" fillId="0" borderId="4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0" fontId="0" fillId="0" borderId="0" xfId="0" applyFill="1" applyAlignment="1">
      <alignment horizontal="left"/>
    </xf>
    <xf numFmtId="43" fontId="0" fillId="0" borderId="0" xfId="0" applyNumberFormat="1" applyFill="1"/>
    <xf numFmtId="168" fontId="0" fillId="0" borderId="0" xfId="2" applyNumberFormat="1" applyFont="1"/>
    <xf numFmtId="0" fontId="0" fillId="0" borderId="0" xfId="0" applyAlignment="1"/>
    <xf numFmtId="0" fontId="0" fillId="9" borderId="0" xfId="0" applyFill="1" applyAlignment="1"/>
    <xf numFmtId="0" fontId="0" fillId="9" borderId="0" xfId="0" applyFill="1" applyAlignment="1">
      <alignment horizontal="left"/>
    </xf>
    <xf numFmtId="0" fontId="0" fillId="9" borderId="0" xfId="0" applyFill="1"/>
    <xf numFmtId="164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6" fillId="0" borderId="0" xfId="0" applyFont="1"/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43" fontId="2" fillId="0" borderId="4" xfId="0" applyNumberFormat="1" applyFont="1" applyBorder="1"/>
    <xf numFmtId="169" fontId="0" fillId="0" borderId="0" xfId="2" applyNumberFormat="1" applyFont="1"/>
    <xf numFmtId="0" fontId="2" fillId="9" borderId="4" xfId="0" applyFont="1" applyFill="1" applyBorder="1"/>
    <xf numFmtId="0" fontId="2" fillId="9" borderId="4" xfId="0" applyFont="1" applyFill="1" applyBorder="1" applyAlignment="1">
      <alignment horizontal="left"/>
    </xf>
    <xf numFmtId="169" fontId="0" fillId="0" borderId="0" xfId="2" applyNumberFormat="1" applyFont="1" applyAlignment="1">
      <alignment horizontal="left"/>
    </xf>
    <xf numFmtId="0" fontId="6" fillId="0" borderId="0" xfId="0" applyFont="1" applyAlignment="1"/>
    <xf numFmtId="0" fontId="0" fillId="8" borderId="0" xfId="0" applyFill="1" applyAlignment="1">
      <alignment horizontal="left"/>
    </xf>
    <xf numFmtId="169" fontId="0" fillId="0" borderId="5" xfId="2" applyNumberFormat="1" applyFont="1" applyFill="1" applyBorder="1"/>
    <xf numFmtId="0" fontId="0" fillId="8" borderId="0" xfId="0" applyFill="1"/>
    <xf numFmtId="0" fontId="0" fillId="8" borderId="4" xfId="0" applyFont="1" applyFill="1" applyBorder="1"/>
    <xf numFmtId="0" fontId="0" fillId="8" borderId="5" xfId="0" applyFont="1" applyFill="1" applyBorder="1"/>
    <xf numFmtId="0" fontId="2" fillId="8" borderId="4" xfId="0" applyFont="1" applyFill="1" applyBorder="1" applyAlignment="1">
      <alignment horizontal="right"/>
    </xf>
    <xf numFmtId="169" fontId="0" fillId="8" borderId="0" xfId="0" applyNumberFormat="1" applyFill="1"/>
    <xf numFmtId="0" fontId="0" fillId="8" borderId="0" xfId="0" applyFill="1" applyAlignment="1">
      <alignment horizontal="center" vertical="top"/>
    </xf>
    <xf numFmtId="0" fontId="0" fillId="8" borderId="0" xfId="0" applyFill="1" applyAlignment="1">
      <alignment horizontal="left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8" borderId="5" xfId="0" applyFont="1" applyFill="1" applyBorder="1" applyAlignment="1">
      <alignment horizontal="center"/>
    </xf>
    <xf numFmtId="0" fontId="0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2" applyNumberFormat="1" applyFont="1" applyFill="1" applyAlignment="1">
      <alignment horizontal="center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\ _₽_-;\-* #,##0.00\ _₽_-;_-* &quot;-&quot;??\ _₽_-;_-@_-"/>
    </dxf>
    <dxf>
      <numFmt numFmtId="170" formatCode="0.000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164" formatCode="0.0000"/>
    </dxf>
    <dxf>
      <numFmt numFmtId="35" formatCode="_-* #,##0.00\ _₽_-;\-* #,##0.00\ _₽_-;_-* &quot;-&quot;??\ _₽_-;_-@_-"/>
    </dxf>
    <dxf>
      <numFmt numFmtId="164" formatCode="0.0000"/>
    </dxf>
    <dxf>
      <numFmt numFmtId="35" formatCode="_-* #,##0.00\ _₽_-;\-* #,##0.00\ _₽_-;_-* &quot;-&quot;??\ _₽_-;_-@_-"/>
    </dxf>
    <dxf>
      <numFmt numFmtId="164" formatCode="0.0000"/>
    </dxf>
    <dxf>
      <numFmt numFmtId="35" formatCode="_-* #,##0.00\ _₽_-;\-* #,##0.00\ _₽_-;_-* &quot;-&quot;??\ _₽_-;_-@_-"/>
    </dxf>
    <dxf>
      <numFmt numFmtId="164" formatCode="0.0000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35" formatCode="_-* #,##0.00\ _₽_-;\-* #,##0.00\ _₽_-;_-* &quot;-&quot;??\ _₽_-;_-@_-"/>
    </dxf>
    <dxf>
      <numFmt numFmtId="170" formatCode="0.00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EE2B7"/>
      <color rgb="FF1AAC86"/>
      <color rgb="FF9B84B2"/>
      <color rgb="FFF004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рейтинг топ-5 брендов категории на основе данных продаж в рублях за все три года</a:t>
            </a:r>
            <a:endParaRPr lang="ru-RU"/>
          </a:p>
        </c:rich>
      </c:tx>
      <c:layout>
        <c:manualLayout>
          <c:xMode val="edge"/>
          <c:yMode val="edge"/>
          <c:x val="0.1634026684164479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'Расчет метрик'!$B$29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'Расчет метрик'!$A$30:$A$36</c:f>
              <c:strCache>
                <c:ptCount val="7"/>
                <c:pt idx="0">
                  <c:v>Green</c:v>
                </c:pt>
                <c:pt idx="1">
                  <c:v>Blue</c:v>
                </c:pt>
                <c:pt idx="2">
                  <c:v>Yellow</c:v>
                </c:pt>
                <c:pt idx="3">
                  <c:v>Red</c:v>
                </c:pt>
                <c:pt idx="4">
                  <c:v>White</c:v>
                </c:pt>
                <c:pt idx="5">
                  <c:v>Deep</c:v>
                </c:pt>
                <c:pt idx="6">
                  <c:v>Orange</c:v>
                </c:pt>
              </c:strCache>
            </c:strRef>
          </c:cat>
          <c:val>
            <c:numRef>
              <c:f>'Расчет метрик'!$B$30:$B$36</c:f>
              <c:numCache>
                <c:formatCode>General</c:formatCode>
                <c:ptCount val="7"/>
                <c:pt idx="0">
                  <c:v>496393.3974640001</c:v>
                </c:pt>
                <c:pt idx="1">
                  <c:v>137428.51044599997</c:v>
                </c:pt>
                <c:pt idx="2">
                  <c:v>37160.190295999993</c:v>
                </c:pt>
                <c:pt idx="3">
                  <c:v>14288.243952999999</c:v>
                </c:pt>
                <c:pt idx="4">
                  <c:v>5797.2830030000005</c:v>
                </c:pt>
                <c:pt idx="5">
                  <c:v>5688.7062909999995</c:v>
                </c:pt>
                <c:pt idx="6">
                  <c:v>1878.9583240000004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2-46C4-AB03-943A81512CEA}"/>
            </c:ext>
          </c:extLst>
        </c:ser>
        <c:ser>
          <c:idx val="1"/>
          <c:order val="1"/>
          <c:tx>
            <c:strRef>
              <c:f>'Расчет метрик'!$C$29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'Расчет метрик'!$A$30:$A$36</c:f>
              <c:strCache>
                <c:ptCount val="7"/>
                <c:pt idx="0">
                  <c:v>Green</c:v>
                </c:pt>
                <c:pt idx="1">
                  <c:v>Blue</c:v>
                </c:pt>
                <c:pt idx="2">
                  <c:v>Yellow</c:v>
                </c:pt>
                <c:pt idx="3">
                  <c:v>Red</c:v>
                </c:pt>
                <c:pt idx="4">
                  <c:v>White</c:v>
                </c:pt>
                <c:pt idx="5">
                  <c:v>Deep</c:v>
                </c:pt>
                <c:pt idx="6">
                  <c:v>Orange</c:v>
                </c:pt>
              </c:strCache>
            </c:strRef>
          </c:cat>
          <c:val>
            <c:numRef>
              <c:f>'Расчет метрик'!$C$30:$C$36</c:f>
              <c:numCache>
                <c:formatCode>General</c:formatCode>
                <c:ptCount val="7"/>
                <c:pt idx="0">
                  <c:v>471523.69426499977</c:v>
                </c:pt>
                <c:pt idx="1">
                  <c:v>163431.95243300006</c:v>
                </c:pt>
                <c:pt idx="2">
                  <c:v>31878.142958000008</c:v>
                </c:pt>
                <c:pt idx="3">
                  <c:v>6131.2491629999986</c:v>
                </c:pt>
                <c:pt idx="4">
                  <c:v>14061.567713000002</c:v>
                </c:pt>
                <c:pt idx="5">
                  <c:v>5259.9316069999995</c:v>
                </c:pt>
                <c:pt idx="6">
                  <c:v>2601.1356250000003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2-46C4-AB03-943A81512CEA}"/>
            </c:ext>
          </c:extLst>
        </c:ser>
        <c:ser>
          <c:idx val="2"/>
          <c:order val="2"/>
          <c:tx>
            <c:strRef>
              <c:f>'Расчет метрик'!$D$29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'Расчет метрик'!$A$30:$A$36</c:f>
              <c:strCache>
                <c:ptCount val="7"/>
                <c:pt idx="0">
                  <c:v>Green</c:v>
                </c:pt>
                <c:pt idx="1">
                  <c:v>Blue</c:v>
                </c:pt>
                <c:pt idx="2">
                  <c:v>Yellow</c:v>
                </c:pt>
                <c:pt idx="3">
                  <c:v>Red</c:v>
                </c:pt>
                <c:pt idx="4">
                  <c:v>White</c:v>
                </c:pt>
                <c:pt idx="5">
                  <c:v>Deep</c:v>
                </c:pt>
                <c:pt idx="6">
                  <c:v>Orange</c:v>
                </c:pt>
              </c:strCache>
            </c:strRef>
          </c:cat>
          <c:val>
            <c:numRef>
              <c:f>'Расчет метрик'!$D$30:$D$36</c:f>
              <c:numCache>
                <c:formatCode>General</c:formatCode>
                <c:ptCount val="7"/>
                <c:pt idx="0">
                  <c:v>500728.41384900024</c:v>
                </c:pt>
                <c:pt idx="1">
                  <c:v>221366.50213900005</c:v>
                </c:pt>
                <c:pt idx="2">
                  <c:v>31060.392490000006</c:v>
                </c:pt>
                <c:pt idx="3">
                  <c:v>4388.8159610000002</c:v>
                </c:pt>
                <c:pt idx="4">
                  <c:v>15712.971506999997</c:v>
                </c:pt>
                <c:pt idx="5">
                  <c:v>5900.4470929999989</c:v>
                </c:pt>
                <c:pt idx="6">
                  <c:v>15480.621319999997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2-46C4-AB03-943A8151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672304"/>
        <c:axId val="1517623136"/>
      </c:barChart>
      <c:catAx>
        <c:axId val="20796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7623136"/>
        <c:crosses val="autoZero"/>
        <c:auto val="1"/>
        <c:lblAlgn val="ctr"/>
        <c:lblOffset val="100"/>
        <c:noMultiLvlLbl val="0"/>
      </c:catAx>
      <c:valAx>
        <c:axId val="15176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6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[join_files.xlsx]Гипотезы!Сводная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продаж по брендам в разрезе каналов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Гипотезы!$B$4:$B$5</c:f>
              <c:strCache>
                <c:ptCount val="1"/>
                <c:pt idx="0">
                  <c:v>Hypermarkets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Гипотезы!$A$6:$A$47</c:f>
              <c:strCache>
                <c:ptCount val="41"/>
                <c:pt idx="0">
                  <c:v>Beige</c:v>
                </c:pt>
                <c:pt idx="1">
                  <c:v>Black</c:v>
                </c:pt>
                <c:pt idx="2">
                  <c:v>Blue</c:v>
                </c:pt>
                <c:pt idx="3">
                  <c:v>Bone</c:v>
                </c:pt>
                <c:pt idx="4">
                  <c:v>Brown</c:v>
                </c:pt>
                <c:pt idx="5">
                  <c:v>Cotton</c:v>
                </c:pt>
                <c:pt idx="6">
                  <c:v>Cream</c:v>
                </c:pt>
                <c:pt idx="7">
                  <c:v>Daisy</c:v>
                </c:pt>
                <c:pt idx="8">
                  <c:v>Deep</c:v>
                </c:pt>
                <c:pt idx="9">
                  <c:v>Delicate</c:v>
                </c:pt>
                <c:pt idx="10">
                  <c:v>Dim</c:v>
                </c:pt>
                <c:pt idx="11">
                  <c:v>Glossy</c:v>
                </c:pt>
                <c:pt idx="12">
                  <c:v>Golden</c:v>
                </c:pt>
                <c:pt idx="13">
                  <c:v>Green</c:v>
                </c:pt>
                <c:pt idx="14">
                  <c:v>Grey</c:v>
                </c:pt>
                <c:pt idx="15">
                  <c:v>Khaki</c:v>
                </c:pt>
                <c:pt idx="16">
                  <c:v>Lilac</c:v>
                </c:pt>
                <c:pt idx="17">
                  <c:v>Lime</c:v>
                </c:pt>
                <c:pt idx="18">
                  <c:v>Linen</c:v>
                </c:pt>
                <c:pt idx="19">
                  <c:v>Macaroon</c:v>
                </c:pt>
                <c:pt idx="20">
                  <c:v>Magenta</c:v>
                </c:pt>
                <c:pt idx="21">
                  <c:v>Mat</c:v>
                </c:pt>
                <c:pt idx="22">
                  <c:v>Moderate</c:v>
                </c:pt>
                <c:pt idx="23">
                  <c:v>Orange</c:v>
                </c:pt>
                <c:pt idx="24">
                  <c:v>Pale</c:v>
                </c:pt>
                <c:pt idx="25">
                  <c:v>Pastel</c:v>
                </c:pt>
                <c:pt idx="26">
                  <c:v>Pearl</c:v>
                </c:pt>
                <c:pt idx="27">
                  <c:v>Pink</c:v>
                </c:pt>
                <c:pt idx="28">
                  <c:v>Powder</c:v>
                </c:pt>
                <c:pt idx="29">
                  <c:v>Purple</c:v>
                </c:pt>
                <c:pt idx="30">
                  <c:v>Red</c:v>
                </c:pt>
                <c:pt idx="31">
                  <c:v>Rice</c:v>
                </c:pt>
                <c:pt idx="32">
                  <c:v>Rosy</c:v>
                </c:pt>
                <c:pt idx="33">
                  <c:v>Salmon</c:v>
                </c:pt>
                <c:pt idx="34">
                  <c:v>Silver</c:v>
                </c:pt>
                <c:pt idx="35">
                  <c:v>Snow</c:v>
                </c:pt>
                <c:pt idx="36">
                  <c:v>Teal</c:v>
                </c:pt>
                <c:pt idx="37">
                  <c:v>Virulent</c:v>
                </c:pt>
                <c:pt idx="38">
                  <c:v>Vivid</c:v>
                </c:pt>
                <c:pt idx="39">
                  <c:v>White</c:v>
                </c:pt>
                <c:pt idx="40">
                  <c:v>Yellow</c:v>
                </c:pt>
              </c:strCache>
            </c:strRef>
          </c:cat>
          <c:val>
            <c:numRef>
              <c:f>Гипотезы!$B$6:$B$47</c:f>
              <c:numCache>
                <c:formatCode>0.00%</c:formatCode>
                <c:ptCount val="41"/>
                <c:pt idx="0">
                  <c:v>0</c:v>
                </c:pt>
                <c:pt idx="1">
                  <c:v>0.29762933530188801</c:v>
                </c:pt>
                <c:pt idx="2">
                  <c:v>0.37816630976761806</c:v>
                </c:pt>
                <c:pt idx="3">
                  <c:v>0.51158259038875553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3.3176753532823343E-3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2.9169437003065894E-2</c:v>
                </c:pt>
                <c:pt idx="13">
                  <c:v>0.25716408301835547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0.45748127667001415</c:v>
                </c:pt>
                <c:pt idx="20">
                  <c:v>0.11673568558405946</c:v>
                </c:pt>
                <c:pt idx="21">
                  <c:v>0</c:v>
                </c:pt>
                <c:pt idx="22">
                  <c:v>0</c:v>
                </c:pt>
                <c:pt idx="23">
                  <c:v>0.40553478434570817</c:v>
                </c:pt>
                <c:pt idx="24">
                  <c:v>0</c:v>
                </c:pt>
                <c:pt idx="25">
                  <c:v>0</c:v>
                </c:pt>
                <c:pt idx="26">
                  <c:v>6.1206530260160825E-2</c:v>
                </c:pt>
                <c:pt idx="27">
                  <c:v>1</c:v>
                </c:pt>
                <c:pt idx="28">
                  <c:v>1</c:v>
                </c:pt>
                <c:pt idx="29">
                  <c:v>0.95455346891244419</c:v>
                </c:pt>
                <c:pt idx="30">
                  <c:v>0.23841180532064035</c:v>
                </c:pt>
                <c:pt idx="31">
                  <c:v>0.27372143449882186</c:v>
                </c:pt>
                <c:pt idx="32">
                  <c:v>1.4767068035427267E-2</c:v>
                </c:pt>
                <c:pt idx="33">
                  <c:v>0</c:v>
                </c:pt>
                <c:pt idx="34">
                  <c:v>0.52939689146088331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0.30474334466315034</c:v>
                </c:pt>
                <c:pt idx="40">
                  <c:v>7.9514002659290428E-2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A-4C8D-9FF9-CA1A06A348D9}"/>
            </c:ext>
          </c:extLst>
        </c:ser>
        <c:ser>
          <c:idx val="1"/>
          <c:order val="1"/>
          <c:tx>
            <c:strRef>
              <c:f>Гипотезы!$C$4:$C$5</c:f>
              <c:strCache>
                <c:ptCount val="1"/>
                <c:pt idx="0">
                  <c:v>Minimarkets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Гипотезы!$A$6:$A$47</c:f>
              <c:strCache>
                <c:ptCount val="41"/>
                <c:pt idx="0">
                  <c:v>Beige</c:v>
                </c:pt>
                <c:pt idx="1">
                  <c:v>Black</c:v>
                </c:pt>
                <c:pt idx="2">
                  <c:v>Blue</c:v>
                </c:pt>
                <c:pt idx="3">
                  <c:v>Bone</c:v>
                </c:pt>
                <c:pt idx="4">
                  <c:v>Brown</c:v>
                </c:pt>
                <c:pt idx="5">
                  <c:v>Cotton</c:v>
                </c:pt>
                <c:pt idx="6">
                  <c:v>Cream</c:v>
                </c:pt>
                <c:pt idx="7">
                  <c:v>Daisy</c:v>
                </c:pt>
                <c:pt idx="8">
                  <c:v>Deep</c:v>
                </c:pt>
                <c:pt idx="9">
                  <c:v>Delicate</c:v>
                </c:pt>
                <c:pt idx="10">
                  <c:v>Dim</c:v>
                </c:pt>
                <c:pt idx="11">
                  <c:v>Glossy</c:v>
                </c:pt>
                <c:pt idx="12">
                  <c:v>Golden</c:v>
                </c:pt>
                <c:pt idx="13">
                  <c:v>Green</c:v>
                </c:pt>
                <c:pt idx="14">
                  <c:v>Grey</c:v>
                </c:pt>
                <c:pt idx="15">
                  <c:v>Khaki</c:v>
                </c:pt>
                <c:pt idx="16">
                  <c:v>Lilac</c:v>
                </c:pt>
                <c:pt idx="17">
                  <c:v>Lime</c:v>
                </c:pt>
                <c:pt idx="18">
                  <c:v>Linen</c:v>
                </c:pt>
                <c:pt idx="19">
                  <c:v>Macaroon</c:v>
                </c:pt>
                <c:pt idx="20">
                  <c:v>Magenta</c:v>
                </c:pt>
                <c:pt idx="21">
                  <c:v>Mat</c:v>
                </c:pt>
                <c:pt idx="22">
                  <c:v>Moderate</c:v>
                </c:pt>
                <c:pt idx="23">
                  <c:v>Orange</c:v>
                </c:pt>
                <c:pt idx="24">
                  <c:v>Pale</c:v>
                </c:pt>
                <c:pt idx="25">
                  <c:v>Pastel</c:v>
                </c:pt>
                <c:pt idx="26">
                  <c:v>Pearl</c:v>
                </c:pt>
                <c:pt idx="27">
                  <c:v>Pink</c:v>
                </c:pt>
                <c:pt idx="28">
                  <c:v>Powder</c:v>
                </c:pt>
                <c:pt idx="29">
                  <c:v>Purple</c:v>
                </c:pt>
                <c:pt idx="30">
                  <c:v>Red</c:v>
                </c:pt>
                <c:pt idx="31">
                  <c:v>Rice</c:v>
                </c:pt>
                <c:pt idx="32">
                  <c:v>Rosy</c:v>
                </c:pt>
                <c:pt idx="33">
                  <c:v>Salmon</c:v>
                </c:pt>
                <c:pt idx="34">
                  <c:v>Silver</c:v>
                </c:pt>
                <c:pt idx="35">
                  <c:v>Snow</c:v>
                </c:pt>
                <c:pt idx="36">
                  <c:v>Teal</c:v>
                </c:pt>
                <c:pt idx="37">
                  <c:v>Virulent</c:v>
                </c:pt>
                <c:pt idx="38">
                  <c:v>Vivid</c:v>
                </c:pt>
                <c:pt idx="39">
                  <c:v>White</c:v>
                </c:pt>
                <c:pt idx="40">
                  <c:v>Yellow</c:v>
                </c:pt>
              </c:strCache>
            </c:strRef>
          </c:cat>
          <c:val>
            <c:numRef>
              <c:f>Гипотезы!$C$6:$C$47</c:f>
              <c:numCache>
                <c:formatCode>0.00%</c:formatCode>
                <c:ptCount val="41"/>
                <c:pt idx="0">
                  <c:v>0</c:v>
                </c:pt>
                <c:pt idx="1">
                  <c:v>0.23912803919750486</c:v>
                </c:pt>
                <c:pt idx="2">
                  <c:v>0.12336974288522108</c:v>
                </c:pt>
                <c:pt idx="3">
                  <c:v>0.48841740961124452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0.29676962680492036</c:v>
                </c:pt>
                <c:pt idx="10">
                  <c:v>0</c:v>
                </c:pt>
                <c:pt idx="11">
                  <c:v>0</c:v>
                </c:pt>
                <c:pt idx="12">
                  <c:v>0.45524555234602176</c:v>
                </c:pt>
                <c:pt idx="13">
                  <c:v>0.23981129254799419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0.17305356014773293</c:v>
                </c:pt>
                <c:pt idx="19">
                  <c:v>0.37106444947540662</c:v>
                </c:pt>
                <c:pt idx="20">
                  <c:v>0.38390929322576534</c:v>
                </c:pt>
                <c:pt idx="21">
                  <c:v>1</c:v>
                </c:pt>
                <c:pt idx="22">
                  <c:v>3.7882106256125439E-2</c:v>
                </c:pt>
                <c:pt idx="23">
                  <c:v>0.13354152038528336</c:v>
                </c:pt>
                <c:pt idx="24">
                  <c:v>0.13523247277375045</c:v>
                </c:pt>
                <c:pt idx="25">
                  <c:v>1</c:v>
                </c:pt>
                <c:pt idx="26">
                  <c:v>0.12161245432688055</c:v>
                </c:pt>
                <c:pt idx="27">
                  <c:v>0</c:v>
                </c:pt>
                <c:pt idx="28">
                  <c:v>0</c:v>
                </c:pt>
                <c:pt idx="29">
                  <c:v>4.5446531087555773E-2</c:v>
                </c:pt>
                <c:pt idx="30">
                  <c:v>0.16805632919437039</c:v>
                </c:pt>
                <c:pt idx="31">
                  <c:v>0</c:v>
                </c:pt>
                <c:pt idx="32">
                  <c:v>0.29394245260780488</c:v>
                </c:pt>
                <c:pt idx="33">
                  <c:v>1</c:v>
                </c:pt>
                <c:pt idx="34">
                  <c:v>0.47060310853911663</c:v>
                </c:pt>
                <c:pt idx="35">
                  <c:v>0.7768761731949082</c:v>
                </c:pt>
                <c:pt idx="36">
                  <c:v>1</c:v>
                </c:pt>
                <c:pt idx="37">
                  <c:v>1</c:v>
                </c:pt>
                <c:pt idx="38">
                  <c:v>7.1440037792426594E-2</c:v>
                </c:pt>
                <c:pt idx="39">
                  <c:v>0.29672714489659391</c:v>
                </c:pt>
                <c:pt idx="40">
                  <c:v>0.29932054963043248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A-4C8D-9FF9-CA1A06A348D9}"/>
            </c:ext>
          </c:extLst>
        </c:ser>
        <c:ser>
          <c:idx val="2"/>
          <c:order val="2"/>
          <c:tx>
            <c:strRef>
              <c:f>Гипотезы!$D$4:$D$5</c:f>
              <c:strCache>
                <c:ptCount val="1"/>
                <c:pt idx="0">
                  <c:v>Supermarkets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Гипотезы!$A$6:$A$47</c:f>
              <c:strCache>
                <c:ptCount val="41"/>
                <c:pt idx="0">
                  <c:v>Beige</c:v>
                </c:pt>
                <c:pt idx="1">
                  <c:v>Black</c:v>
                </c:pt>
                <c:pt idx="2">
                  <c:v>Blue</c:v>
                </c:pt>
                <c:pt idx="3">
                  <c:v>Bone</c:v>
                </c:pt>
                <c:pt idx="4">
                  <c:v>Brown</c:v>
                </c:pt>
                <c:pt idx="5">
                  <c:v>Cotton</c:v>
                </c:pt>
                <c:pt idx="6">
                  <c:v>Cream</c:v>
                </c:pt>
                <c:pt idx="7">
                  <c:v>Daisy</c:v>
                </c:pt>
                <c:pt idx="8">
                  <c:v>Deep</c:v>
                </c:pt>
                <c:pt idx="9">
                  <c:v>Delicate</c:v>
                </c:pt>
                <c:pt idx="10">
                  <c:v>Dim</c:v>
                </c:pt>
                <c:pt idx="11">
                  <c:v>Glossy</c:v>
                </c:pt>
                <c:pt idx="12">
                  <c:v>Golden</c:v>
                </c:pt>
                <c:pt idx="13">
                  <c:v>Green</c:v>
                </c:pt>
                <c:pt idx="14">
                  <c:v>Grey</c:v>
                </c:pt>
                <c:pt idx="15">
                  <c:v>Khaki</c:v>
                </c:pt>
                <c:pt idx="16">
                  <c:v>Lilac</c:v>
                </c:pt>
                <c:pt idx="17">
                  <c:v>Lime</c:v>
                </c:pt>
                <c:pt idx="18">
                  <c:v>Linen</c:v>
                </c:pt>
                <c:pt idx="19">
                  <c:v>Macaroon</c:v>
                </c:pt>
                <c:pt idx="20">
                  <c:v>Magenta</c:v>
                </c:pt>
                <c:pt idx="21">
                  <c:v>Mat</c:v>
                </c:pt>
                <c:pt idx="22">
                  <c:v>Moderate</c:v>
                </c:pt>
                <c:pt idx="23">
                  <c:v>Orange</c:v>
                </c:pt>
                <c:pt idx="24">
                  <c:v>Pale</c:v>
                </c:pt>
                <c:pt idx="25">
                  <c:v>Pastel</c:v>
                </c:pt>
                <c:pt idx="26">
                  <c:v>Pearl</c:v>
                </c:pt>
                <c:pt idx="27">
                  <c:v>Pink</c:v>
                </c:pt>
                <c:pt idx="28">
                  <c:v>Powder</c:v>
                </c:pt>
                <c:pt idx="29">
                  <c:v>Purple</c:v>
                </c:pt>
                <c:pt idx="30">
                  <c:v>Red</c:v>
                </c:pt>
                <c:pt idx="31">
                  <c:v>Rice</c:v>
                </c:pt>
                <c:pt idx="32">
                  <c:v>Rosy</c:v>
                </c:pt>
                <c:pt idx="33">
                  <c:v>Salmon</c:v>
                </c:pt>
                <c:pt idx="34">
                  <c:v>Silver</c:v>
                </c:pt>
                <c:pt idx="35">
                  <c:v>Snow</c:v>
                </c:pt>
                <c:pt idx="36">
                  <c:v>Teal</c:v>
                </c:pt>
                <c:pt idx="37">
                  <c:v>Virulent</c:v>
                </c:pt>
                <c:pt idx="38">
                  <c:v>Vivid</c:v>
                </c:pt>
                <c:pt idx="39">
                  <c:v>White</c:v>
                </c:pt>
                <c:pt idx="40">
                  <c:v>Yellow</c:v>
                </c:pt>
              </c:strCache>
            </c:strRef>
          </c:cat>
          <c:val>
            <c:numRef>
              <c:f>Гипотезы!$D$6:$D$47</c:f>
              <c:numCache>
                <c:formatCode>0.00%</c:formatCode>
                <c:ptCount val="41"/>
                <c:pt idx="0">
                  <c:v>1</c:v>
                </c:pt>
                <c:pt idx="1">
                  <c:v>0.46324262550060719</c:v>
                </c:pt>
                <c:pt idx="2">
                  <c:v>0.49846394734716093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0.99668232464671758</c:v>
                </c:pt>
                <c:pt idx="9">
                  <c:v>0.70323037319507964</c:v>
                </c:pt>
                <c:pt idx="10">
                  <c:v>1</c:v>
                </c:pt>
                <c:pt idx="11">
                  <c:v>1</c:v>
                </c:pt>
                <c:pt idx="12">
                  <c:v>0.51558501065091233</c:v>
                </c:pt>
                <c:pt idx="13">
                  <c:v>0.50302462443365037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0.82694643985226712</c:v>
                </c:pt>
                <c:pt idx="19">
                  <c:v>0.17145427385457929</c:v>
                </c:pt>
                <c:pt idx="20">
                  <c:v>0.49935502119017516</c:v>
                </c:pt>
                <c:pt idx="21">
                  <c:v>0</c:v>
                </c:pt>
                <c:pt idx="22">
                  <c:v>0.96211789374387457</c:v>
                </c:pt>
                <c:pt idx="23">
                  <c:v>0.4609236952690085</c:v>
                </c:pt>
                <c:pt idx="24">
                  <c:v>0.86476752722624961</c:v>
                </c:pt>
                <c:pt idx="25">
                  <c:v>0</c:v>
                </c:pt>
                <c:pt idx="26">
                  <c:v>0.81718101541295862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0.59353186548498915</c:v>
                </c:pt>
                <c:pt idx="31">
                  <c:v>0.7262785655011782</c:v>
                </c:pt>
                <c:pt idx="32">
                  <c:v>0.6912904793567678</c:v>
                </c:pt>
                <c:pt idx="33">
                  <c:v>0</c:v>
                </c:pt>
                <c:pt idx="34">
                  <c:v>0</c:v>
                </c:pt>
                <c:pt idx="35">
                  <c:v>0.22312382680509182</c:v>
                </c:pt>
                <c:pt idx="36">
                  <c:v>0</c:v>
                </c:pt>
                <c:pt idx="37">
                  <c:v>0</c:v>
                </c:pt>
                <c:pt idx="38">
                  <c:v>0.92855996220757342</c:v>
                </c:pt>
                <c:pt idx="39">
                  <c:v>0.39852951044025575</c:v>
                </c:pt>
                <c:pt idx="40">
                  <c:v>0.62116544771027715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A-4C8D-9FF9-CA1A06A34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485104"/>
        <c:axId val="347771840"/>
      </c:barChart>
      <c:catAx>
        <c:axId val="8648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771840"/>
        <c:crosses val="autoZero"/>
        <c:auto val="1"/>
        <c:lblAlgn val="ctr"/>
        <c:lblOffset val="100"/>
        <c:noMultiLvlLbl val="0"/>
      </c:catAx>
      <c:valAx>
        <c:axId val="3477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48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Гипотезы!$B$176</c:f>
              <c:strCache>
                <c:ptCount val="1"/>
                <c:pt idx="0">
                  <c:v>цены за 1г по весам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Гипотезы!$A$177:$A$183</c:f>
              <c:strCache>
                <c:ptCount val="7"/>
                <c:pt idx="0">
                  <c:v>&lt;200G</c:v>
                </c:pt>
                <c:pt idx="1">
                  <c:v>200-249G</c:v>
                </c:pt>
                <c:pt idx="2">
                  <c:v>250-299G</c:v>
                </c:pt>
                <c:pt idx="3">
                  <c:v>300-349G</c:v>
                </c:pt>
                <c:pt idx="4">
                  <c:v>350-399G</c:v>
                </c:pt>
                <c:pt idx="5">
                  <c:v>400-599G</c:v>
                </c:pt>
                <c:pt idx="6">
                  <c:v>600-899G</c:v>
                </c:pt>
              </c:strCache>
            </c:strRef>
          </c:cat>
          <c:val>
            <c:numRef>
              <c:f>Гипотезы!$B$177:$B$183</c:f>
              <c:numCache>
                <c:formatCode>_(* #,##0.00_);_(* \(#,##0.00\);_(* "-"??_);_(@_)</c:formatCode>
                <c:ptCount val="7"/>
                <c:pt idx="0">
                  <c:v>0.45559585227487209</c:v>
                </c:pt>
                <c:pt idx="1">
                  <c:v>0.25699555258501372</c:v>
                </c:pt>
                <c:pt idx="2">
                  <c:v>0.20929376017954504</c:v>
                </c:pt>
                <c:pt idx="3">
                  <c:v>0.24182641003521532</c:v>
                </c:pt>
                <c:pt idx="4">
                  <c:v>0.24916619022247469</c:v>
                </c:pt>
                <c:pt idx="5">
                  <c:v>0.2860695169414128</c:v>
                </c:pt>
                <c:pt idx="6">
                  <c:v>0.18308283977385167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8-4975-9413-C7E0BDBF8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258128"/>
        <c:axId val="1938422160"/>
      </c:lineChart>
      <c:catAx>
        <c:axId val="20702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8422160"/>
        <c:crosses val="autoZero"/>
        <c:auto val="1"/>
        <c:lblAlgn val="ctr"/>
        <c:lblOffset val="100"/>
        <c:noMultiLvlLbl val="0"/>
      </c:catAx>
      <c:valAx>
        <c:axId val="19384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02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[join_files.xlsx]Гипотезы!Сводная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Различие</a:t>
            </a:r>
            <a:r>
              <a:rPr lang="ru-RU" baseline="0"/>
              <a:t> средних цен по каналам за 2022г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Гипотезы!$B$130:$B$131</c:f>
              <c:strCache>
                <c:ptCount val="1"/>
                <c:pt idx="0">
                  <c:v>Hypermarkets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Гипотезы!$A$132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Гипотезы!$B$132</c:f>
              <c:numCache>
                <c:formatCode>_(* #,##0.00_);_(* \(#,##0.00\);_(* "-"??_);_(@_)</c:formatCode>
                <c:ptCount val="1"/>
                <c:pt idx="0">
                  <c:v>127.14101807206764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F-4B7E-A919-5F456D2ACFA5}"/>
            </c:ext>
          </c:extLst>
        </c:ser>
        <c:ser>
          <c:idx val="1"/>
          <c:order val="1"/>
          <c:tx>
            <c:strRef>
              <c:f>Гипотезы!$C$130:$C$131</c:f>
              <c:strCache>
                <c:ptCount val="1"/>
                <c:pt idx="0">
                  <c:v>Minimarkets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Гипотезы!$A$132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Гипотезы!$C$132</c:f>
              <c:numCache>
                <c:formatCode>_(* #,##0.00_);_(* \(#,##0.00\);_(* "-"??_);_(@_)</c:formatCode>
                <c:ptCount val="1"/>
                <c:pt idx="0">
                  <c:v>99.789291509289782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F-4B7E-A919-5F456D2ACFA5}"/>
            </c:ext>
          </c:extLst>
        </c:ser>
        <c:ser>
          <c:idx val="2"/>
          <c:order val="2"/>
          <c:tx>
            <c:strRef>
              <c:f>Гипотезы!$D$130:$D$131</c:f>
              <c:strCache>
                <c:ptCount val="1"/>
                <c:pt idx="0">
                  <c:v>Supermarkets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Гипотезы!$A$132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Гипотезы!$D$132</c:f>
              <c:numCache>
                <c:formatCode>_(* #,##0.00_);_(* \(#,##0.00\);_(* "-"??_);_(@_)</c:formatCode>
                <c:ptCount val="1"/>
                <c:pt idx="0">
                  <c:v>104.4902976908367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5F-4B7E-A919-5F456D2ACF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075905696"/>
        <c:axId val="2066795280"/>
      </c:barChart>
      <c:catAx>
        <c:axId val="2075905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цена по каналам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2066795280"/>
        <c:crosses val="autoZero"/>
        <c:auto val="1"/>
        <c:lblAlgn val="ctr"/>
        <c:lblOffset val="100"/>
        <c:noMultiLvlLbl val="0"/>
      </c:catAx>
      <c:valAx>
        <c:axId val="20667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5905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Гипотезы!$B$95</c:f>
              <c:strCache>
                <c:ptCount val="1"/>
                <c:pt idx="0">
                  <c:v>Сумма по полю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Гипотезы!$A$96:$A$98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Гипотезы!$B$96:$B$98</c:f>
              <c:numCache>
                <c:formatCode>General</c:formatCode>
                <c:ptCount val="3"/>
                <c:pt idx="0">
                  <c:v>1734710.2</c:v>
                </c:pt>
                <c:pt idx="1">
                  <c:v>1607394.4</c:v>
                </c:pt>
                <c:pt idx="2">
                  <c:v>4249556.4000000004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F-4C85-9423-C69516419861}"/>
            </c:ext>
          </c:extLst>
        </c:ser>
        <c:ser>
          <c:idx val="1"/>
          <c:order val="1"/>
          <c:tx>
            <c:strRef>
              <c:f>Гипотезы!$C$95</c:f>
              <c:strCache>
                <c:ptCount val="1"/>
                <c:pt idx="0">
                  <c:v>Сумма по полю Number of stores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Гипотезы!$A$96:$A$98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Гипотезы!$C$96:$C$98</c:f>
              <c:numCache>
                <c:formatCode>General</c:formatCode>
                <c:ptCount val="3"/>
                <c:pt idx="0">
                  <c:v>41990</c:v>
                </c:pt>
                <c:pt idx="1">
                  <c:v>298436</c:v>
                </c:pt>
                <c:pt idx="2">
                  <c:v>568684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F-4C85-9423-C6951641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640304"/>
        <c:axId val="577643616"/>
      </c:barChart>
      <c:catAx>
        <c:axId val="5706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7643616"/>
        <c:crosses val="autoZero"/>
        <c:auto val="1"/>
        <c:lblAlgn val="ctr"/>
        <c:lblOffset val="100"/>
        <c:noMultiLvlLbl val="0"/>
      </c:catAx>
      <c:valAx>
        <c:axId val="5776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64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[join_files.xlsx]Гипотезы!Сводная таблица4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Гипотезы!$B$214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Гипотезы!$A$215:$A$222</c:f>
              <c:strCache>
                <c:ptCount val="7"/>
                <c:pt idx="0">
                  <c:v>&lt;200G</c:v>
                </c:pt>
                <c:pt idx="1">
                  <c:v>200-249G</c:v>
                </c:pt>
                <c:pt idx="2">
                  <c:v>250-299G</c:v>
                </c:pt>
                <c:pt idx="3">
                  <c:v>300-349G</c:v>
                </c:pt>
                <c:pt idx="4">
                  <c:v>350-399G</c:v>
                </c:pt>
                <c:pt idx="5">
                  <c:v>400-599G</c:v>
                </c:pt>
                <c:pt idx="6">
                  <c:v>600-899G</c:v>
                </c:pt>
              </c:strCache>
            </c:strRef>
          </c:cat>
          <c:val>
            <c:numRef>
              <c:f>Гипотезы!$B$215:$B$222</c:f>
              <c:numCache>
                <c:formatCode>General</c:formatCode>
                <c:ptCount val="7"/>
                <c:pt idx="0">
                  <c:v>5.5809541023659337</c:v>
                </c:pt>
                <c:pt idx="1">
                  <c:v>7.9593083061189844</c:v>
                </c:pt>
                <c:pt idx="2">
                  <c:v>6.4838500183801031</c:v>
                </c:pt>
                <c:pt idx="3">
                  <c:v>1.6196220598310118</c:v>
                </c:pt>
                <c:pt idx="4">
                  <c:v>8.100015205758508</c:v>
                </c:pt>
                <c:pt idx="5">
                  <c:v>11.970501746957442</c:v>
                </c:pt>
                <c:pt idx="6">
                  <c:v>1.7840497737556564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C-4DD0-B7F1-31274B52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228720"/>
        <c:axId val="1142211504"/>
      </c:barChart>
      <c:catAx>
        <c:axId val="17452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211504"/>
        <c:crosses val="autoZero"/>
        <c:auto val="1"/>
        <c:lblAlgn val="ctr"/>
        <c:lblOffset val="100"/>
        <c:noMultiLvlLbl val="0"/>
      </c:catAx>
      <c:valAx>
        <c:axId val="11422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522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[join_files.xlsx]Гипотезы!Сводная таблица6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 за период 2020-2022гг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Гипотезы!$B$256:$B$257</c:f>
              <c:strCache>
                <c:ptCount val="1"/>
                <c:pt idx="0">
                  <c:v>Hypermarkets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Гипотезы!$A$258:$A$261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Гипотезы!$B$258:$B$261</c:f>
              <c:numCache>
                <c:formatCode>_(* #,##0.00_);_(* \(#,##0.00\);_(* "-"??_);_(@_)</c:formatCode>
                <c:ptCount val="3"/>
                <c:pt idx="0">
                  <c:v>203529.63592100007</c:v>
                </c:pt>
                <c:pt idx="1">
                  <c:v>216284.90285900023</c:v>
                </c:pt>
                <c:pt idx="2">
                  <c:v>220552.82088799993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D0-40FA-BA95-93F55DD5F4BE}"/>
            </c:ext>
          </c:extLst>
        </c:ser>
        <c:ser>
          <c:idx val="1"/>
          <c:order val="1"/>
          <c:tx>
            <c:strRef>
              <c:f>Гипотезы!$C$256:$C$257</c:f>
              <c:strCache>
                <c:ptCount val="1"/>
                <c:pt idx="0">
                  <c:v>Minimarkets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Гипотезы!$A$258:$A$261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Гипотезы!$C$258:$C$261</c:f>
              <c:numCache>
                <c:formatCode>_(* #,##0.00_);_(* \(#,##0.00\);_(* "-"??_);_(@_)</c:formatCode>
                <c:ptCount val="3"/>
                <c:pt idx="0">
                  <c:v>183036.71761399996</c:v>
                </c:pt>
                <c:pt idx="1">
                  <c:v>163229.10698899996</c:v>
                </c:pt>
                <c:pt idx="2">
                  <c:v>160400.74835199991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0D0-40FA-BA95-93F55DD5F4BE}"/>
            </c:ext>
          </c:extLst>
        </c:ser>
        <c:ser>
          <c:idx val="2"/>
          <c:order val="2"/>
          <c:tx>
            <c:strRef>
              <c:f>Гипотезы!$D$256:$D$257</c:f>
              <c:strCache>
                <c:ptCount val="1"/>
                <c:pt idx="0">
                  <c:v>Supermarkets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Гипотезы!$A$258:$A$261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Гипотезы!$D$258:$D$261</c:f>
              <c:numCache>
                <c:formatCode>_(* #,##0.00_);_(* \(#,##0.00\);_(* "-"??_);_(@_)</c:formatCode>
                <c:ptCount val="3"/>
                <c:pt idx="0">
                  <c:v>358254.20792200009</c:v>
                </c:pt>
                <c:pt idx="1">
                  <c:v>413444.29033600021</c:v>
                </c:pt>
                <c:pt idx="2">
                  <c:v>444037.41329000005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0D0-40FA-BA95-93F55DD5F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639376"/>
        <c:axId val="1736361344"/>
      </c:lineChart>
      <c:catAx>
        <c:axId val="18426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6361344"/>
        <c:crosses val="autoZero"/>
        <c:auto val="1"/>
        <c:lblAlgn val="ctr"/>
        <c:lblOffset val="100"/>
        <c:noMultiLvlLbl val="0"/>
      </c:catAx>
      <c:valAx>
        <c:axId val="17363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263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[join_files.xlsx]Гипотезы!Сводная таблица7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Гипотезы!$B$296:$B$297</c:f>
              <c:strCache>
                <c:ptCount val="1"/>
                <c:pt idx="0">
                  <c:v>&lt;200G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Гипотезы!$B$298:$B$301</c:f>
              <c:numCache>
                <c:formatCode>_(* #,##0.00_);_(* \(#,##0.00\);_(* "-"??_);_(@_)</c:formatCode>
                <c:ptCount val="3"/>
                <c:pt idx="0">
                  <c:v>8667.8889620000009</c:v>
                </c:pt>
                <c:pt idx="1">
                  <c:v>7931.6782099999991</c:v>
                </c:pt>
                <c:pt idx="2">
                  <c:v>24195.879564000006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E-4AD9-9362-D5DA60815DF3}"/>
            </c:ext>
          </c:extLst>
        </c:ser>
        <c:ser>
          <c:idx val="1"/>
          <c:order val="1"/>
          <c:tx>
            <c:strRef>
              <c:f>Гипотезы!$C$296:$C$297</c:f>
              <c:strCache>
                <c:ptCount val="1"/>
                <c:pt idx="0">
                  <c:v>200-249G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Гипотезы!$C$298:$C$301</c:f>
              <c:numCache>
                <c:formatCode>_(* #,##0.00_);_(* \(#,##0.00\);_(* "-"??_);_(@_)</c:formatCode>
                <c:ptCount val="3"/>
                <c:pt idx="0">
                  <c:v>9113.3627420000012</c:v>
                </c:pt>
                <c:pt idx="1">
                  <c:v>28024.517481999999</c:v>
                </c:pt>
                <c:pt idx="2">
                  <c:v>64861.805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E-4AD9-9362-D5DA60815DF3}"/>
            </c:ext>
          </c:extLst>
        </c:ser>
        <c:ser>
          <c:idx val="2"/>
          <c:order val="2"/>
          <c:tx>
            <c:strRef>
              <c:f>Гипотезы!$D$296:$D$297</c:f>
              <c:strCache>
                <c:ptCount val="1"/>
                <c:pt idx="0">
                  <c:v>250-299G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Гипотезы!$D$298:$D$301</c:f>
              <c:numCache>
                <c:formatCode>_(* #,##0.00_);_(* \(#,##0.00\);_(* "-"??_);_(@_)</c:formatCode>
                <c:ptCount val="3"/>
                <c:pt idx="0">
                  <c:v>381.09253000000001</c:v>
                </c:pt>
                <c:pt idx="1">
                  <c:v>1016.6622420000001</c:v>
                </c:pt>
                <c:pt idx="2">
                  <c:v>1913.5854710000001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DE-4AD9-9362-D5DA60815DF3}"/>
            </c:ext>
          </c:extLst>
        </c:ser>
        <c:ser>
          <c:idx val="3"/>
          <c:order val="3"/>
          <c:tx>
            <c:strRef>
              <c:f>Гипотезы!$E$296:$E$297</c:f>
              <c:strCache>
                <c:ptCount val="1"/>
                <c:pt idx="0">
                  <c:v>300-349G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Гипотезы!$E$298:$E$301</c:f>
              <c:numCache>
                <c:formatCode>_(* #,##0.00_);_(* \(#,##0.00\);_(* "-"??_);_(@_)</c:formatCode>
                <c:ptCount val="3"/>
                <c:pt idx="0">
                  <c:v>395.233228</c:v>
                </c:pt>
                <c:pt idx="1">
                  <c:v>791.26743399999987</c:v>
                </c:pt>
                <c:pt idx="2">
                  <c:v>1207.794983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DE-4AD9-9362-D5DA60815DF3}"/>
            </c:ext>
          </c:extLst>
        </c:ser>
        <c:ser>
          <c:idx val="4"/>
          <c:order val="4"/>
          <c:tx>
            <c:strRef>
              <c:f>Гипотезы!$F$296:$F$297</c:f>
              <c:strCache>
                <c:ptCount val="1"/>
                <c:pt idx="0">
                  <c:v>350-399G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Гипотезы!$F$298:$F$301</c:f>
              <c:numCache>
                <c:formatCode>_(* #,##0.00_);_(* \(#,##0.00\);_(* "-"??_);_(@_)</c:formatCode>
                <c:ptCount val="3"/>
                <c:pt idx="0">
                  <c:v>63459.464822999995</c:v>
                </c:pt>
                <c:pt idx="1">
                  <c:v>84378.443734000015</c:v>
                </c:pt>
                <c:pt idx="2">
                  <c:v>212283.27219299998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DE-4AD9-9362-D5DA60815DF3}"/>
            </c:ext>
          </c:extLst>
        </c:ser>
        <c:ser>
          <c:idx val="5"/>
          <c:order val="5"/>
          <c:tx>
            <c:strRef>
              <c:f>Гипотезы!$G$296:$G$297</c:f>
              <c:strCache>
                <c:ptCount val="1"/>
                <c:pt idx="0">
                  <c:v>400-599G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Гипотезы!$G$298:$G$301</c:f>
              <c:numCache>
                <c:formatCode>_(* #,##0.00_);_(* \(#,##0.00\);_(* "-"??_);_(@_)</c:formatCode>
                <c:ptCount val="3"/>
                <c:pt idx="0">
                  <c:v>138535.77860300004</c:v>
                </c:pt>
                <c:pt idx="1">
                  <c:v>37783.527931999997</c:v>
                </c:pt>
                <c:pt idx="2">
                  <c:v>139530.57297299997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DE-4AD9-9362-D5DA60815DF3}"/>
            </c:ext>
          </c:extLst>
        </c:ser>
        <c:ser>
          <c:idx val="6"/>
          <c:order val="6"/>
          <c:tx>
            <c:strRef>
              <c:f>Гипотезы!$H$296:$H$297</c:f>
              <c:strCache>
                <c:ptCount val="1"/>
                <c:pt idx="0">
                  <c:v>600-899G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Гипотезы!$A$298:$A$301</c:f>
              <c:strCache>
                <c:ptCount val="3"/>
                <c:pt idx="0">
                  <c:v>Hypermarkets</c:v>
                </c:pt>
                <c:pt idx="1">
                  <c:v>Minimarkets</c:v>
                </c:pt>
                <c:pt idx="2">
                  <c:v>Supermarkets</c:v>
                </c:pt>
              </c:strCache>
            </c:strRef>
          </c:cat>
          <c:val>
            <c:numRef>
              <c:f>Гипотезы!$H$298:$H$301</c:f>
              <c:numCache>
                <c:formatCode>_(* #,##0.00_);_(* \(#,##0.00\);_(* "-"??_);_(@_)</c:formatCode>
                <c:ptCount val="3"/>
                <c:pt idx="1">
                  <c:v>474.65131800000006</c:v>
                </c:pt>
                <c:pt idx="2">
                  <c:v>44.503105999999995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E-4AD9-9362-D5DA60815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9325919"/>
        <c:axId val="1043217887"/>
      </c:barChart>
      <c:catAx>
        <c:axId val="15993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3217887"/>
        <c:crosses val="autoZero"/>
        <c:auto val="1"/>
        <c:lblAlgn val="ctr"/>
        <c:lblOffset val="100"/>
        <c:noMultiLvlLbl val="0"/>
      </c:catAx>
      <c:valAx>
        <c:axId val="104321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32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Объем продаж на всем рынке в денежном выражении за</a:t>
            </a:r>
            <a:r>
              <a:rPr lang="ru-RU" baseline="0"/>
              <a:t> три года (тыс.руб.)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Визуализация!$A$4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Визуализация!$B$2:$AK$3</c:f>
              <c:multiLvlStrCache>
                <c:ptCount val="36"/>
                <c:lvl>
                  <c:pt idx="0">
                    <c:v> 1   </c:v>
                  </c:pt>
                  <c:pt idx="1">
                    <c:v> 2   </c:v>
                  </c:pt>
                  <c:pt idx="2">
                    <c:v> 3   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Визуализация!$B$4:$AK$4</c:f>
              <c:numCache>
                <c:formatCode>_-* #\ ##0\ _₽_-;\-* #\ ##0\ _₽_-;_-* "-"??\ _₽_-;_-@_-</c:formatCode>
                <c:ptCount val="36"/>
                <c:pt idx="0">
                  <c:v>76736.703168999986</c:v>
                </c:pt>
                <c:pt idx="1">
                  <c:v>66754.411026999966</c:v>
                </c:pt>
                <c:pt idx="2">
                  <c:v>68140.291771000004</c:v>
                </c:pt>
                <c:pt idx="3">
                  <c:v>62152.610894000005</c:v>
                </c:pt>
                <c:pt idx="4">
                  <c:v>56780.285265999984</c:v>
                </c:pt>
                <c:pt idx="5">
                  <c:v>53331.76181199999</c:v>
                </c:pt>
                <c:pt idx="6">
                  <c:v>52147.320354999996</c:v>
                </c:pt>
                <c:pt idx="7">
                  <c:v>53673.440489999986</c:v>
                </c:pt>
                <c:pt idx="8">
                  <c:v>59271.082094000012</c:v>
                </c:pt>
                <c:pt idx="9">
                  <c:v>64614.677414999998</c:v>
                </c:pt>
                <c:pt idx="10">
                  <c:v>66150.41066899999</c:v>
                </c:pt>
                <c:pt idx="11">
                  <c:v>65067.566494999977</c:v>
                </c:pt>
                <c:pt idx="12">
                  <c:v>69190.692838999967</c:v>
                </c:pt>
                <c:pt idx="13">
                  <c:v>59878.986010000001</c:v>
                </c:pt>
                <c:pt idx="14">
                  <c:v>68476.051979999989</c:v>
                </c:pt>
                <c:pt idx="15">
                  <c:v>61190.150160999998</c:v>
                </c:pt>
                <c:pt idx="16">
                  <c:v>65412.255943000004</c:v>
                </c:pt>
                <c:pt idx="17">
                  <c:v>59387.810074000001</c:v>
                </c:pt>
                <c:pt idx="18">
                  <c:v>67089.521093999996</c:v>
                </c:pt>
                <c:pt idx="19">
                  <c:v>62303.908474000011</c:v>
                </c:pt>
                <c:pt idx="20">
                  <c:v>65116.915502999997</c:v>
                </c:pt>
                <c:pt idx="21">
                  <c:v>75724.564212000027</c:v>
                </c:pt>
                <c:pt idx="22">
                  <c:v>70662.722645000002</c:v>
                </c:pt>
                <c:pt idx="23">
                  <c:v>68524.721248999966</c:v>
                </c:pt>
                <c:pt idx="24">
                  <c:v>77745.386758999957</c:v>
                </c:pt>
                <c:pt idx="25">
                  <c:v>69359.301929999958</c:v>
                </c:pt>
                <c:pt idx="26">
                  <c:v>97898.929907999991</c:v>
                </c:pt>
                <c:pt idx="27">
                  <c:v>76312.470276000022</c:v>
                </c:pt>
                <c:pt idx="28">
                  <c:v>68963.913113000017</c:v>
                </c:pt>
                <c:pt idx="29">
                  <c:v>56583.197765999976</c:v>
                </c:pt>
                <c:pt idx="30">
                  <c:v>62134.867870000002</c:v>
                </c:pt>
                <c:pt idx="31">
                  <c:v>57345.907239</c:v>
                </c:pt>
                <c:pt idx="32">
                  <c:v>57412.958545000001</c:v>
                </c:pt>
                <c:pt idx="33">
                  <c:v>71325.112869999939</c:v>
                </c:pt>
                <c:pt idx="34">
                  <c:v>66521.686812</c:v>
                </c:pt>
                <c:pt idx="35">
                  <c:v>63387.249442000008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3-4692-85B1-D8ECF409E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816204576"/>
        <c:axId val="823645536"/>
      </c:barChart>
      <c:catAx>
        <c:axId val="8162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645536"/>
        <c:crosses val="autoZero"/>
        <c:auto val="1"/>
        <c:lblAlgn val="ctr"/>
        <c:lblOffset val="100"/>
        <c:noMultiLvlLbl val="0"/>
      </c:catAx>
      <c:valAx>
        <c:axId val="823645536"/>
        <c:scaling>
          <c:orientation val="minMax"/>
          <c:max val="110000"/>
          <c:min val="40000"/>
        </c:scaling>
        <c:delete val="0"/>
        <c:axPos val="l"/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62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Годовая</a:t>
            </a:r>
            <a:r>
              <a:rPr lang="ru-RU" baseline="0"/>
              <a:t> доля рынка </a:t>
            </a:r>
            <a:r>
              <a:rPr lang="ru-RU" sz="1440" b="0" i="0" u="none" strike="noStrike" baseline="0"/>
              <a:t>в денежном выражении за 2022 год среди брендов объединённых весовых групп 350-599</a:t>
            </a:r>
            <a:r>
              <a:rPr lang="en-US" sz="1440" b="0" i="0" u="none" strike="noStrike" baseline="0"/>
              <a:t>G </a:t>
            </a:r>
            <a:r>
              <a:rPr lang="ru-RU" sz="1440" b="0" i="0" u="none" strike="noStrike" baseline="0"/>
              <a:t>в канале СМ</a:t>
            </a:r>
            <a:r>
              <a:rPr lang="ru-RU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16798625978204337"/>
          <c:y val="2.0295275741456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32526579338873E-2"/>
          <c:y val="0.22862844547106562"/>
          <c:w val="0.84120589764989051"/>
          <c:h val="0.68349672203577627"/>
        </c:manualLayout>
      </c:layout>
      <c:ofPieChart>
        <c:ofPieType val="bar"/>
        <c:varyColors val="1"/>
        <c:ser>
          <c:idx val="0"/>
          <c:order val="0"/>
          <c:tx>
            <c:strRef>
              <c:f>Визуализация!$B$38</c:f>
              <c:strCache>
                <c:ptCount val="1"/>
                <c:pt idx="0">
                  <c:v>Доля продаж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8C-47DC-9D3E-D49ACC2DE5F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8C-47DC-9D3E-D49ACC2DE5F3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8C-47DC-9D3E-D49ACC2DE5F3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8C-47DC-9D3E-D49ACC2DE5F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8C-47DC-9D3E-D49ACC2DE5F3}"/>
              </c:ext>
            </c:extLst>
          </c:dPt>
          <c:dPt>
            <c:idx val="5"/>
            <c:bubble3D val="0"/>
            <c:spPr>
              <a:solidFill>
                <a:srgbClr val="F004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8C-47DC-9D3E-D49ACC2DE5F3}"/>
              </c:ext>
            </c:extLst>
          </c:dPt>
          <c:dPt>
            <c:idx val="6"/>
            <c:bubble3D val="0"/>
            <c:spPr>
              <a:solidFill>
                <a:srgbClr val="9B84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8C-47DC-9D3E-D49ACC2DE5F3}"/>
              </c:ext>
            </c:extLst>
          </c:dPt>
          <c:dPt>
            <c:idx val="7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8C-47DC-9D3E-D49ACC2DE5F3}"/>
              </c:ext>
            </c:extLst>
          </c:dPt>
          <c:dPt>
            <c:idx val="8"/>
            <c:bubble3D val="0"/>
            <c:spPr>
              <a:solidFill>
                <a:srgbClr val="3EE2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8C-47DC-9D3E-D49ACC2DE5F3}"/>
              </c:ext>
            </c:extLst>
          </c:dPt>
          <c:dPt>
            <c:idx val="9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48C-47DC-9D3E-D49ACC2DE5F3}"/>
              </c:ext>
            </c:extLst>
          </c:dPt>
          <c:dPt>
            <c:idx val="1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8C-47DC-9D3E-D49ACC2DE5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FD-4E3A-8C6D-963D7A987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Визуализация!$A$39:$A$49</c:f>
              <c:strCache>
                <c:ptCount val="11"/>
                <c:pt idx="0">
                  <c:v>Green</c:v>
                </c:pt>
                <c:pt idx="1">
                  <c:v>Yellow</c:v>
                </c:pt>
                <c:pt idx="2">
                  <c:v>Pearl</c:v>
                </c:pt>
                <c:pt idx="3">
                  <c:v>Rosy</c:v>
                </c:pt>
                <c:pt idx="4">
                  <c:v>Red</c:v>
                </c:pt>
                <c:pt idx="5">
                  <c:v>Vivid</c:v>
                </c:pt>
                <c:pt idx="6">
                  <c:v>Dim</c:v>
                </c:pt>
                <c:pt idx="7">
                  <c:v>Rice</c:v>
                </c:pt>
                <c:pt idx="8">
                  <c:v>Macaroon</c:v>
                </c:pt>
                <c:pt idx="9">
                  <c:v>Snow</c:v>
                </c:pt>
                <c:pt idx="10">
                  <c:v>Deep</c:v>
                </c:pt>
              </c:strCache>
            </c:strRef>
          </c:cat>
          <c:val>
            <c:numRef>
              <c:f>Визуализация!$B$39:$B$49</c:f>
              <c:numCache>
                <c:formatCode>0.00%</c:formatCode>
                <c:ptCount val="11"/>
                <c:pt idx="0">
                  <c:v>0.81689901896433226</c:v>
                </c:pt>
                <c:pt idx="1">
                  <c:v>9.111891800600308E-2</c:v>
                </c:pt>
                <c:pt idx="2">
                  <c:v>5.1699754086237885E-2</c:v>
                </c:pt>
                <c:pt idx="3">
                  <c:v>1.6505776087785123E-2</c:v>
                </c:pt>
                <c:pt idx="4">
                  <c:v>1.0576039830207745E-2</c:v>
                </c:pt>
                <c:pt idx="5">
                  <c:v>3.7913504662217068E-3</c:v>
                </c:pt>
                <c:pt idx="6">
                  <c:v>3.3064293891317976E-3</c:v>
                </c:pt>
                <c:pt idx="7">
                  <c:v>2.535611998248392E-3</c:v>
                </c:pt>
                <c:pt idx="8">
                  <c:v>1.6211402360856769E-3</c:v>
                </c:pt>
                <c:pt idx="9">
                  <c:v>1.4551486737926121E-3</c:v>
                </c:pt>
                <c:pt idx="10">
                  <c:v>4.908122619537975E-4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C-47DC-9D3E-D49ACC2DE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798033310352336"/>
          <c:y val="0.15494207586762795"/>
          <c:w val="0.60867822973741181"/>
          <c:h val="4.007150698101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доли рынка топ-5 брендов в канале супермаркет</a:t>
            </a:r>
            <a:r>
              <a:rPr lang="ru-RU" baseline="0"/>
              <a:t> в весовой группе </a:t>
            </a:r>
            <a:r>
              <a:rPr lang="en-US" sz="1400" b="0" i="0" u="none" strike="noStrike" baseline="0"/>
              <a:t>350-599G</a:t>
            </a:r>
            <a:r>
              <a:rPr lang="ru-RU" sz="1400" b="0" i="0" u="none" strike="noStrike" baseline="0"/>
              <a:t> </a:t>
            </a:r>
            <a:r>
              <a:rPr lang="ru-RU" sz="1400" b="0" i="0" u="none" strike="noStrike" baseline="0">
                <a:effectLst/>
              </a:rPr>
              <a:t>за 2021-2022гг 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6319504876590504E-2"/>
          <c:y val="0.12795822183946068"/>
          <c:w val="0.95483745833018707"/>
          <c:h val="0.8072264532915046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Визуализация!$A$84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Визуализация!$B$84:$M$84</c:f>
              <c:numCache>
                <c:formatCode>0.00%</c:formatCode>
                <c:ptCount val="12"/>
                <c:pt idx="0">
                  <c:v>0.54932163008193258</c:v>
                </c:pt>
                <c:pt idx="1">
                  <c:v>0.59246929039589125</c:v>
                </c:pt>
                <c:pt idx="2">
                  <c:v>0.52687777780484624</c:v>
                </c:pt>
                <c:pt idx="3">
                  <c:v>0.58638202459037014</c:v>
                </c:pt>
                <c:pt idx="4">
                  <c:v>0.5189862198414702</c:v>
                </c:pt>
                <c:pt idx="5">
                  <c:v>0.55378387927937922</c:v>
                </c:pt>
                <c:pt idx="6">
                  <c:v>0.53675920270189426</c:v>
                </c:pt>
                <c:pt idx="7">
                  <c:v>0.58775512072024449</c:v>
                </c:pt>
                <c:pt idx="8">
                  <c:v>0.5840552324869871</c:v>
                </c:pt>
                <c:pt idx="9">
                  <c:v>0.59779890234838617</c:v>
                </c:pt>
                <c:pt idx="10">
                  <c:v>0.53315577510022749</c:v>
                </c:pt>
                <c:pt idx="11">
                  <c:v>0.58599130804816568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A-433A-B9DB-5466147E8FD2}"/>
            </c:ext>
          </c:extLst>
        </c:ser>
        <c:ser>
          <c:idx val="1"/>
          <c:order val="1"/>
          <c:tx>
            <c:strRef>
              <c:f>Визуализация!$A$85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Визуализация!$B$85:$M$85</c:f>
              <c:numCache>
                <c:formatCode>0.00%</c:formatCode>
                <c:ptCount val="12"/>
                <c:pt idx="0">
                  <c:v>0.3290907900792</c:v>
                </c:pt>
                <c:pt idx="1">
                  <c:v>0.25133373013119614</c:v>
                </c:pt>
                <c:pt idx="2">
                  <c:v>0.33270344121504464</c:v>
                </c:pt>
                <c:pt idx="3">
                  <c:v>0.2479109964380031</c:v>
                </c:pt>
                <c:pt idx="4">
                  <c:v>0.27765036125761322</c:v>
                </c:pt>
                <c:pt idx="5">
                  <c:v>0.25126398467855571</c:v>
                </c:pt>
                <c:pt idx="6">
                  <c:v>0.28070584317253233</c:v>
                </c:pt>
                <c:pt idx="7">
                  <c:v>0.26175198720586274</c:v>
                </c:pt>
                <c:pt idx="8">
                  <c:v>0.25620819187851379</c:v>
                </c:pt>
                <c:pt idx="9">
                  <c:v>0.29411428321334521</c:v>
                </c:pt>
                <c:pt idx="10">
                  <c:v>0.34056286313256101</c:v>
                </c:pt>
                <c:pt idx="11">
                  <c:v>0.29127500834591263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A-433A-B9DB-5466147E8FD2}"/>
            </c:ext>
          </c:extLst>
        </c:ser>
        <c:ser>
          <c:idx val="2"/>
          <c:order val="2"/>
          <c:tx>
            <c:strRef>
              <c:f>Визуализация!$A$86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Визуализация!$B$86:$M$86</c:f>
              <c:numCache>
                <c:formatCode>0.00%</c:formatCode>
                <c:ptCount val="12"/>
                <c:pt idx="0">
                  <c:v>6.2188845326087282E-2</c:v>
                </c:pt>
                <c:pt idx="1">
                  <c:v>7.5293034174729767E-2</c:v>
                </c:pt>
                <c:pt idx="2">
                  <c:v>6.3605604440503088E-2</c:v>
                </c:pt>
                <c:pt idx="3">
                  <c:v>7.7644648924856896E-2</c:v>
                </c:pt>
                <c:pt idx="4">
                  <c:v>6.2093307795214131E-2</c:v>
                </c:pt>
                <c:pt idx="5">
                  <c:v>5.1291020149819115E-2</c:v>
                </c:pt>
                <c:pt idx="6">
                  <c:v>6.5230713768737097E-2</c:v>
                </c:pt>
                <c:pt idx="7">
                  <c:v>4.625887747504627E-2</c:v>
                </c:pt>
                <c:pt idx="8">
                  <c:v>7.9649390247259422E-2</c:v>
                </c:pt>
                <c:pt idx="9">
                  <c:v>3.6880666707525489E-2</c:v>
                </c:pt>
                <c:pt idx="10">
                  <c:v>6.017042954266065E-2</c:v>
                </c:pt>
                <c:pt idx="11">
                  <c:v>5.5592149205460281E-2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8A-433A-B9DB-5466147E8FD2}"/>
            </c:ext>
          </c:extLst>
        </c:ser>
        <c:ser>
          <c:idx val="3"/>
          <c:order val="3"/>
          <c:tx>
            <c:strRef>
              <c:f>Визуализация!$A$87</c:f>
              <c:strCache>
                <c:ptCount val="1"/>
                <c:pt idx="0">
                  <c:v>Rosy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Визуализация!$B$87:$M$87</c:f>
              <c:numCache>
                <c:formatCode>0.00%</c:formatCode>
                <c:ptCount val="12"/>
                <c:pt idx="0">
                  <c:v>7.9968651558955141E-3</c:v>
                </c:pt>
                <c:pt idx="1">
                  <c:v>8.7120995996551633E-3</c:v>
                </c:pt>
                <c:pt idx="2">
                  <c:v>6.5959601287970317E-3</c:v>
                </c:pt>
                <c:pt idx="3">
                  <c:v>7.4066170319048276E-3</c:v>
                </c:pt>
                <c:pt idx="4">
                  <c:v>5.2117956294701874E-2</c:v>
                </c:pt>
                <c:pt idx="5">
                  <c:v>6.1394330645205289E-2</c:v>
                </c:pt>
                <c:pt idx="6">
                  <c:v>4.7377896318542133E-2</c:v>
                </c:pt>
                <c:pt idx="7">
                  <c:v>3.9581880422394231E-2</c:v>
                </c:pt>
                <c:pt idx="8">
                  <c:v>2.4873131681211861E-2</c:v>
                </c:pt>
                <c:pt idx="9">
                  <c:v>1.7829466523574047E-2</c:v>
                </c:pt>
                <c:pt idx="10">
                  <c:v>1.3352105185043541E-2</c:v>
                </c:pt>
                <c:pt idx="11">
                  <c:v>6.1231512756659782E-3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8A-433A-B9DB-5466147E8FD2}"/>
            </c:ext>
          </c:extLst>
        </c:ser>
        <c:ser>
          <c:idx val="4"/>
          <c:order val="4"/>
          <c:tx>
            <c:strRef>
              <c:f>Визуализация!$A$88</c:f>
              <c:strCache>
                <c:ptCount val="1"/>
                <c:pt idx="0">
                  <c:v>Pearl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Визуализация!$B$88:$M$88</c:f>
              <c:numCache>
                <c:formatCode>0.00%</c:formatCode>
                <c:ptCount val="12"/>
                <c:pt idx="0">
                  <c:v>0</c:v>
                </c:pt>
                <c:pt idx="1">
                  <c:v>9.6498081604517328E-3</c:v>
                </c:pt>
                <c:pt idx="2">
                  <c:v>1.538895727900655E-2</c:v>
                </c:pt>
                <c:pt idx="3">
                  <c:v>1.7468374211330892E-2</c:v>
                </c:pt>
                <c:pt idx="4">
                  <c:v>1.8211219198276951E-2</c:v>
                </c:pt>
                <c:pt idx="5">
                  <c:v>1.7865345281524045E-2</c:v>
                </c:pt>
                <c:pt idx="6">
                  <c:v>1.6231749567212825E-2</c:v>
                </c:pt>
                <c:pt idx="7">
                  <c:v>2.1276892531625454E-2</c:v>
                </c:pt>
                <c:pt idx="8">
                  <c:v>2.0392219604071914E-2</c:v>
                </c:pt>
                <c:pt idx="9">
                  <c:v>2.0044379232354533E-2</c:v>
                </c:pt>
                <c:pt idx="10">
                  <c:v>2.3187687436989349E-2</c:v>
                </c:pt>
                <c:pt idx="11">
                  <c:v>2.2132810600493352E-2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8A-433A-B9DB-5466147E8FD2}"/>
            </c:ext>
          </c:extLst>
        </c:ser>
        <c:ser>
          <c:idx val="5"/>
          <c:order val="5"/>
          <c:tx>
            <c:strRef>
              <c:f>Визуализация!$A$89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Визуализация!$B$83:$M$83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Визуализация!$B$89:$M$89</c:f>
              <c:numCache>
                <c:formatCode>0.00%</c:formatCode>
                <c:ptCount val="12"/>
                <c:pt idx="0">
                  <c:v>5.1401869356884629E-2</c:v>
                </c:pt>
                <c:pt idx="1">
                  <c:v>6.2542037538076092E-2</c:v>
                </c:pt>
                <c:pt idx="2">
                  <c:v>5.4828259131802323E-2</c:v>
                </c:pt>
                <c:pt idx="3">
                  <c:v>6.3187338803534041E-2</c:v>
                </c:pt>
                <c:pt idx="4">
                  <c:v>7.0940935612723383E-2</c:v>
                </c:pt>
                <c:pt idx="5">
                  <c:v>6.4401439965516782E-2</c:v>
                </c:pt>
                <c:pt idx="6">
                  <c:v>5.3694594471081568E-2</c:v>
                </c:pt>
                <c:pt idx="7">
                  <c:v>4.337524164482693E-2</c:v>
                </c:pt>
                <c:pt idx="8">
                  <c:v>3.4821834101955815E-2</c:v>
                </c:pt>
                <c:pt idx="9">
                  <c:v>3.3332301974814627E-2</c:v>
                </c:pt>
                <c:pt idx="10">
                  <c:v>2.9571139602518066E-2</c:v>
                </c:pt>
                <c:pt idx="11">
                  <c:v>3.8885572524302053E-2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8A-433A-B9DB-5466147E8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843344784"/>
        <c:axId val="821796000"/>
      </c:barChart>
      <c:catAx>
        <c:axId val="184334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796000"/>
        <c:crosses val="autoZero"/>
        <c:auto val="1"/>
        <c:lblAlgn val="ctr"/>
        <c:lblOffset val="100"/>
        <c:noMultiLvlLbl val="0"/>
      </c:catAx>
      <c:valAx>
        <c:axId val="821796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34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оффтейка в штуках на точку </a:t>
            </a:r>
            <a:r>
              <a:rPr lang="ru-RU" sz="1400" b="0" i="0" u="none" strike="noStrike" baseline="0"/>
              <a:t>для брендов </a:t>
            </a:r>
            <a:r>
              <a:rPr lang="en-US" sz="1400" b="0" i="0" u="none" strike="noStrike" baseline="0"/>
              <a:t>Green 350-399G </a:t>
            </a:r>
            <a:r>
              <a:rPr lang="ru-RU" sz="1400" b="0" i="0" u="none" strike="noStrike" baseline="0"/>
              <a:t>и </a:t>
            </a:r>
            <a:r>
              <a:rPr lang="en-US" sz="1400" b="0" i="0" u="none" strike="noStrike" baseline="0"/>
              <a:t>Blue 400-599G </a:t>
            </a:r>
            <a:r>
              <a:rPr lang="ru-RU" sz="1400" b="0" i="0" u="none" strike="noStrike" baseline="0"/>
              <a:t>по месяцам 2022 в ГМ (руб.)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Визуализация!$A$215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Визуализация!$B$215:$M$215</c:f>
              <c:numCache>
                <c:formatCode>_(* #,##0.00_);_(* \(#,##0.00\);_(* "-"??_);_(@_)</c:formatCode>
                <c:ptCount val="12"/>
                <c:pt idx="0">
                  <c:v>76.839445910290237</c:v>
                </c:pt>
                <c:pt idx="1">
                  <c:v>63.321102150537634</c:v>
                </c:pt>
                <c:pt idx="2">
                  <c:v>103.86774647887323</c:v>
                </c:pt>
                <c:pt idx="3">
                  <c:v>79.89057437407952</c:v>
                </c:pt>
                <c:pt idx="4">
                  <c:v>63.113737075332345</c:v>
                </c:pt>
                <c:pt idx="5">
                  <c:v>83.502496328928046</c:v>
                </c:pt>
                <c:pt idx="6">
                  <c:v>58.117584097859321</c:v>
                </c:pt>
                <c:pt idx="7">
                  <c:v>48.147169811320758</c:v>
                </c:pt>
                <c:pt idx="8">
                  <c:v>65.685204991087346</c:v>
                </c:pt>
                <c:pt idx="9">
                  <c:v>104.26282051282051</c:v>
                </c:pt>
                <c:pt idx="10">
                  <c:v>79.666452648475115</c:v>
                </c:pt>
                <c:pt idx="11">
                  <c:v>44.291946308724832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0-4A78-9203-DBA305AEAD83}"/>
            </c:ext>
          </c:extLst>
        </c:ser>
        <c:ser>
          <c:idx val="2"/>
          <c:order val="1"/>
          <c:tx>
            <c:strRef>
              <c:f>Визуализация!$A$216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Визуализация!$B$216:$M$216</c:f>
              <c:numCache>
                <c:formatCode>_(* #,##0.00_);_(* \(#,##0.00\);_(* "-"??_);_(@_)</c:formatCode>
                <c:ptCount val="12"/>
                <c:pt idx="0">
                  <c:v>61.715247252747247</c:v>
                </c:pt>
                <c:pt idx="1">
                  <c:v>51.656772334293954</c:v>
                </c:pt>
                <c:pt idx="2">
                  <c:v>66.973333333333329</c:v>
                </c:pt>
                <c:pt idx="3">
                  <c:v>46.028909952606632</c:v>
                </c:pt>
                <c:pt idx="4">
                  <c:v>52.668412942989221</c:v>
                </c:pt>
                <c:pt idx="5">
                  <c:v>42.811949685534593</c:v>
                </c:pt>
                <c:pt idx="6">
                  <c:v>64.644019138755979</c:v>
                </c:pt>
                <c:pt idx="7">
                  <c:v>45.285161290322577</c:v>
                </c:pt>
                <c:pt idx="8">
                  <c:v>62.648392282958206</c:v>
                </c:pt>
                <c:pt idx="9">
                  <c:v>52.512559618441976</c:v>
                </c:pt>
                <c:pt idx="10">
                  <c:v>82.431825273010915</c:v>
                </c:pt>
                <c:pt idx="11">
                  <c:v>67.817235772357719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B0-4A78-9203-DBA305AE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062500176"/>
        <c:axId val="823654688"/>
      </c:barChart>
      <c:catAx>
        <c:axId val="106250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654688"/>
        <c:crosses val="autoZero"/>
        <c:auto val="1"/>
        <c:lblAlgn val="ctr"/>
        <c:lblOffset val="100"/>
        <c:noMultiLvlLbl val="0"/>
      </c:catAx>
      <c:valAx>
        <c:axId val="82365468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250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цен </a:t>
            </a:r>
            <a:r>
              <a:rPr lang="ru-RU" sz="1400" b="0" i="0" u="none" strike="noStrike" baseline="0"/>
              <a:t>для брендов </a:t>
            </a:r>
            <a:r>
              <a:rPr lang="en-US" sz="1400" b="0" i="0" u="none" strike="noStrike" baseline="0"/>
              <a:t>Green 350-399G </a:t>
            </a:r>
            <a:r>
              <a:rPr lang="ru-RU" sz="1400" b="0" i="0" u="none" strike="noStrike" baseline="0"/>
              <a:t>и </a:t>
            </a:r>
            <a:r>
              <a:rPr lang="en-US" sz="1400" b="0" i="0" u="none" strike="noStrike" baseline="0"/>
              <a:t>Blue 400-599G </a:t>
            </a:r>
            <a:r>
              <a:rPr lang="ru-RU" sz="1400" b="0" i="0" u="none" strike="noStrike" baseline="0"/>
              <a:t>по месяцам 2022 в ГМ.</a:t>
            </a:r>
            <a:endParaRPr lang="ru-RU"/>
          </a:p>
        </c:rich>
      </c:tx>
      <c:layout>
        <c:manualLayout>
          <c:xMode val="edge"/>
          <c:yMode val="edge"/>
          <c:x val="0.22172828561992663"/>
          <c:y val="3.321886402216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Визуализация!$A$247</c:f>
              <c:strCache>
                <c:ptCount val="1"/>
                <c:pt idx="0">
                  <c:v>Green_avg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Визуализация!$B$247:$M$247</c:f>
              <c:numCache>
                <c:formatCode>_-* #\ ##0\ _₽_-;\-* #\ ##0\ _₽_-;_-* "-"??\ _₽_-;_-@_-</c:formatCode>
                <c:ptCount val="12"/>
                <c:pt idx="0">
                  <c:v>96.534432416562652</c:v>
                </c:pt>
                <c:pt idx="1">
                  <c:v>99.807138326799105</c:v>
                </c:pt>
                <c:pt idx="2">
                  <c:v>99.757969465503933</c:v>
                </c:pt>
                <c:pt idx="3">
                  <c:v>104.78584350464645</c:v>
                </c:pt>
                <c:pt idx="4">
                  <c:v>106.91605661392997</c:v>
                </c:pt>
                <c:pt idx="5">
                  <c:v>99.911649005015363</c:v>
                </c:pt>
                <c:pt idx="6">
                  <c:v>105.32925028085529</c:v>
                </c:pt>
                <c:pt idx="7">
                  <c:v>110.01598864853567</c:v>
                </c:pt>
                <c:pt idx="8">
                  <c:v>99.956758834607882</c:v>
                </c:pt>
                <c:pt idx="9">
                  <c:v>92.156632984936977</c:v>
                </c:pt>
                <c:pt idx="10">
                  <c:v>91.484283952756485</c:v>
                </c:pt>
                <c:pt idx="11">
                  <c:v>117.36778225623154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8-4D8C-B96F-5690EC1EB751}"/>
            </c:ext>
          </c:extLst>
        </c:ser>
        <c:ser>
          <c:idx val="1"/>
          <c:order val="1"/>
          <c:tx>
            <c:strRef>
              <c:f>Визуализация!$A$248</c:f>
              <c:strCache>
                <c:ptCount val="1"/>
                <c:pt idx="0">
                  <c:v>Blue_avg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Визуализация!$B$248:$M$248</c:f>
              <c:numCache>
                <c:formatCode>_-* #\ ##0\ _₽_-;\-* #\ ##0\ _₽_-;_-* "-"??\ _₽_-;_-@_-</c:formatCode>
                <c:ptCount val="12"/>
                <c:pt idx="0">
                  <c:v>169.41427657599706</c:v>
                </c:pt>
                <c:pt idx="1">
                  <c:v>166.32290955598077</c:v>
                </c:pt>
                <c:pt idx="2">
                  <c:v>199.54631607936821</c:v>
                </c:pt>
                <c:pt idx="3">
                  <c:v>216.37316450613156</c:v>
                </c:pt>
                <c:pt idx="4">
                  <c:v>199.79739732840281</c:v>
                </c:pt>
                <c:pt idx="5">
                  <c:v>206.03666741343596</c:v>
                </c:pt>
                <c:pt idx="6">
                  <c:v>178.55070675370945</c:v>
                </c:pt>
                <c:pt idx="7">
                  <c:v>205.40587734357194</c:v>
                </c:pt>
                <c:pt idx="8">
                  <c:v>191.90380970711337</c:v>
                </c:pt>
                <c:pt idx="9">
                  <c:v>205.8006276944875</c:v>
                </c:pt>
                <c:pt idx="10">
                  <c:v>178.0593398601028</c:v>
                </c:pt>
                <c:pt idx="11">
                  <c:v>191.52493416068054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8-4D8C-B96F-5690EC1EB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963363583"/>
        <c:axId val="96099046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Визуализация!$A$249</c15:sqref>
                        </c15:formulaRef>
                      </c:ext>
                    </c:extLst>
                    <c:strCache>
                      <c:ptCount val="1"/>
                      <c:pt idx="0">
                        <c:v>Green_offtake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Визуализация!$B$249:$M$249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76.839445910290237</c:v>
                      </c:pt>
                      <c:pt idx="1">
                        <c:v>63.321102150537634</c:v>
                      </c:pt>
                      <c:pt idx="2">
                        <c:v>103.86774647887323</c:v>
                      </c:pt>
                      <c:pt idx="3">
                        <c:v>79.89057437407952</c:v>
                      </c:pt>
                      <c:pt idx="4">
                        <c:v>63.113737075332345</c:v>
                      </c:pt>
                      <c:pt idx="5">
                        <c:v>83.502496328928046</c:v>
                      </c:pt>
                      <c:pt idx="6">
                        <c:v>58.117584097859321</c:v>
                      </c:pt>
                      <c:pt idx="7">
                        <c:v>48.147169811320758</c:v>
                      </c:pt>
                      <c:pt idx="8">
                        <c:v>65.685204991087346</c:v>
                      </c:pt>
                      <c:pt idx="9">
                        <c:v>104.26282051282051</c:v>
                      </c:pt>
                      <c:pt idx="10">
                        <c:v>79.666452648475115</c:v>
                      </c:pt>
                      <c:pt idx="11">
                        <c:v>44.291946308724832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B3C-4067-836A-A53919F3DBA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Визуализация!$A$250</c15:sqref>
                        </c15:formulaRef>
                      </c:ext>
                    </c:extLst>
                    <c:strCache>
                      <c:ptCount val="1"/>
                      <c:pt idx="0">
                        <c:v>Blue_offtake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Визуализация!$B$250:$M$250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61.715247252747247</c:v>
                      </c:pt>
                      <c:pt idx="1">
                        <c:v>51.656772334293954</c:v>
                      </c:pt>
                      <c:pt idx="2">
                        <c:v>66.973333333333329</c:v>
                      </c:pt>
                      <c:pt idx="3">
                        <c:v>46.028909952606632</c:v>
                      </c:pt>
                      <c:pt idx="4">
                        <c:v>52.668412942989221</c:v>
                      </c:pt>
                      <c:pt idx="5">
                        <c:v>42.811949685534593</c:v>
                      </c:pt>
                      <c:pt idx="6">
                        <c:v>64.644019138755979</c:v>
                      </c:pt>
                      <c:pt idx="7">
                        <c:v>45.285161290322577</c:v>
                      </c:pt>
                      <c:pt idx="8">
                        <c:v>62.648392282958206</c:v>
                      </c:pt>
                      <c:pt idx="9">
                        <c:v>52.512559618441976</c:v>
                      </c:pt>
                      <c:pt idx="10">
                        <c:v>82.431825273010915</c:v>
                      </c:pt>
                      <c:pt idx="11">
                        <c:v>67.817235772357719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3C-4067-836A-A53919F3DBA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Визуализация!$A$251</c15:sqref>
                        </c15:formulaRef>
                      </c:ext>
                    </c:extLst>
                    <c:strCache>
                      <c:ptCount val="1"/>
                      <c:pt idx="0">
                        <c:v>Green_sales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Визуализация!$B$251:$M$251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5622.5804420000004</c:v>
                      </c:pt>
                      <c:pt idx="1">
                        <c:v>4702.004113</c:v>
                      </c:pt>
                      <c:pt idx="2">
                        <c:v>7356.7611919999999</c:v>
                      </c:pt>
                      <c:pt idx="3">
                        <c:v>5684.181431</c:v>
                      </c:pt>
                      <c:pt idx="4">
                        <c:v>4568.3092669999996</c:v>
                      </c:pt>
                      <c:pt idx="5">
                        <c:v>5681.495903</c:v>
                      </c:pt>
                      <c:pt idx="6">
                        <c:v>4003.4489410000001</c:v>
                      </c:pt>
                      <c:pt idx="7">
                        <c:v>3368.8655979999999</c:v>
                      </c:pt>
                      <c:pt idx="8">
                        <c:v>3683.3465890000002</c:v>
                      </c:pt>
                      <c:pt idx="9">
                        <c:v>5995.7105419999998</c:v>
                      </c:pt>
                      <c:pt idx="10">
                        <c:v>4540.5662780000002</c:v>
                      </c:pt>
                      <c:pt idx="11">
                        <c:v>3098.2747159999999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3C-4067-836A-A53919F3DBA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Визуализация!$A$252</c15:sqref>
                        </c15:formulaRef>
                      </c:ext>
                    </c:extLst>
                    <c:strCache>
                      <c:ptCount val="1"/>
                      <c:pt idx="0">
                        <c:v>Blue_sales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Визуализация!$B$252:$M$252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7611.5632079999996</c:v>
                      </c:pt>
                      <c:pt idx="1">
                        <c:v>5962.643043</c:v>
                      </c:pt>
                      <c:pt idx="2">
                        <c:v>9020.8903109999992</c:v>
                      </c:pt>
                      <c:pt idx="3">
                        <c:v>6304.3134330000003</c:v>
                      </c:pt>
                      <c:pt idx="4">
                        <c:v>6829.4346759999999</c:v>
                      </c:pt>
                      <c:pt idx="5">
                        <c:v>5610.0487949999997</c:v>
                      </c:pt>
                      <c:pt idx="6">
                        <c:v>7236.9815360000002</c:v>
                      </c:pt>
                      <c:pt idx="7">
                        <c:v>5767.1397370000004</c:v>
                      </c:pt>
                      <c:pt idx="8">
                        <c:v>7477.9733239999996</c:v>
                      </c:pt>
                      <c:pt idx="9">
                        <c:v>6797.6770530000003</c:v>
                      </c:pt>
                      <c:pt idx="10">
                        <c:v>9408.4418470000001</c:v>
                      </c:pt>
                      <c:pt idx="11">
                        <c:v>7988.0453440000001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3C-4067-836A-A53919F3DBA7}"/>
                  </c:ext>
                </c:extLst>
              </c15:ser>
            </c15:filteredBarSeries>
          </c:ext>
        </c:extLst>
      </c:barChart>
      <c:catAx>
        <c:axId val="963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0990463"/>
        <c:crosses val="autoZero"/>
        <c:auto val="1"/>
        <c:lblAlgn val="ctr"/>
        <c:lblOffset val="100"/>
        <c:noMultiLvlLbl val="0"/>
      </c:catAx>
      <c:valAx>
        <c:axId val="960990463"/>
        <c:scaling>
          <c:orientation val="minMax"/>
          <c:max val="230"/>
          <c:min val="60"/>
        </c:scaling>
        <c:delete val="0"/>
        <c:axPos val="l"/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3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оффтейков на точку в штуках </a:t>
            </a:r>
            <a:r>
              <a:rPr lang="ru-RU" sz="1400" b="0" i="0" u="none" strike="noStrike" baseline="0"/>
              <a:t>для брендов </a:t>
            </a:r>
            <a:r>
              <a:rPr lang="en-US" sz="1400" b="0" i="0" u="none" strike="noStrike" baseline="0"/>
              <a:t>Green 350-399G </a:t>
            </a:r>
            <a:r>
              <a:rPr lang="ru-RU" sz="1400" b="0" i="0" u="none" strike="noStrike" baseline="0"/>
              <a:t>и </a:t>
            </a:r>
            <a:r>
              <a:rPr lang="en-US" sz="1400" b="0" i="0" u="none" strike="noStrike" baseline="0"/>
              <a:t>Blue 400-599G </a:t>
            </a:r>
            <a:r>
              <a:rPr lang="ru-RU" sz="1400" b="0" i="0" u="none" strike="noStrike" baseline="0"/>
              <a:t>по месяцам 2022 в ГМ.</a:t>
            </a:r>
            <a:endParaRPr lang="ru-RU"/>
          </a:p>
        </c:rich>
      </c:tx>
      <c:layout>
        <c:manualLayout>
          <c:xMode val="edge"/>
          <c:yMode val="edge"/>
          <c:x val="0.22172828561992663"/>
          <c:y val="3.321886402216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Визуализация!$A$249</c:f>
              <c:strCache>
                <c:ptCount val="1"/>
                <c:pt idx="0">
                  <c:v>Green_offtake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  <c:extLst xmlns:c15="http://schemas.microsoft.com/office/drawing/2012/chart"/>
            </c:numRef>
          </c:cat>
          <c:val>
            <c:numRef>
              <c:f>Визуализация!$B$249:$M$249</c:f>
              <c:numCache>
                <c:formatCode>_-* #\ ##0\ _₽_-;\-* #\ ##0\ _₽_-;_-* "-"??\ _₽_-;_-@_-</c:formatCode>
                <c:ptCount val="12"/>
                <c:pt idx="0">
                  <c:v>76.839445910290237</c:v>
                </c:pt>
                <c:pt idx="1">
                  <c:v>63.321102150537634</c:v>
                </c:pt>
                <c:pt idx="2">
                  <c:v>103.86774647887323</c:v>
                </c:pt>
                <c:pt idx="3">
                  <c:v>79.89057437407952</c:v>
                </c:pt>
                <c:pt idx="4">
                  <c:v>63.113737075332345</c:v>
                </c:pt>
                <c:pt idx="5">
                  <c:v>83.502496328928046</c:v>
                </c:pt>
                <c:pt idx="6">
                  <c:v>58.117584097859321</c:v>
                </c:pt>
                <c:pt idx="7">
                  <c:v>48.147169811320758</c:v>
                </c:pt>
                <c:pt idx="8">
                  <c:v>65.685204991087346</c:v>
                </c:pt>
                <c:pt idx="9">
                  <c:v>104.26282051282051</c:v>
                </c:pt>
                <c:pt idx="10">
                  <c:v>79.666452648475115</c:v>
                </c:pt>
                <c:pt idx="11">
                  <c:v>44.291946308724832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59C6-4303-90D7-4E8B890AD817}"/>
            </c:ext>
          </c:extLst>
        </c:ser>
        <c:ser>
          <c:idx val="3"/>
          <c:order val="3"/>
          <c:tx>
            <c:strRef>
              <c:f>Визуализация!$A$250</c:f>
              <c:strCache>
                <c:ptCount val="1"/>
                <c:pt idx="0">
                  <c:v>Blue_offtake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  <c:extLst xmlns:c15="http://schemas.microsoft.com/office/drawing/2012/chart"/>
            </c:numRef>
          </c:cat>
          <c:val>
            <c:numRef>
              <c:f>Визуализация!$B$250:$M$250</c:f>
              <c:numCache>
                <c:formatCode>_-* #\ ##0\ _₽_-;\-* #\ ##0\ _₽_-;_-* "-"??\ _₽_-;_-@_-</c:formatCode>
                <c:ptCount val="12"/>
                <c:pt idx="0">
                  <c:v>61.715247252747247</c:v>
                </c:pt>
                <c:pt idx="1">
                  <c:v>51.656772334293954</c:v>
                </c:pt>
                <c:pt idx="2">
                  <c:v>66.973333333333329</c:v>
                </c:pt>
                <c:pt idx="3">
                  <c:v>46.028909952606632</c:v>
                </c:pt>
                <c:pt idx="4">
                  <c:v>52.668412942989221</c:v>
                </c:pt>
                <c:pt idx="5">
                  <c:v>42.811949685534593</c:v>
                </c:pt>
                <c:pt idx="6">
                  <c:v>64.644019138755979</c:v>
                </c:pt>
                <c:pt idx="7">
                  <c:v>45.285161290322577</c:v>
                </c:pt>
                <c:pt idx="8">
                  <c:v>62.648392282958206</c:v>
                </c:pt>
                <c:pt idx="9">
                  <c:v>52.512559618441976</c:v>
                </c:pt>
                <c:pt idx="10">
                  <c:v>82.431825273010915</c:v>
                </c:pt>
                <c:pt idx="11">
                  <c:v>67.817235772357719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59C6-4303-90D7-4E8B890AD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963363583"/>
        <c:axId val="960990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Визуализация!$A$247</c15:sqref>
                        </c15:formulaRef>
                      </c:ext>
                    </c:extLst>
                    <c:strCache>
                      <c:ptCount val="1"/>
                      <c:pt idx="0">
                        <c:v>Green_avg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solidFill>
                      <a:schemeClr val="accent6"/>
                    </a:solidFill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Визуализация!$B$247:$M$247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96.534432416562652</c:v>
                      </c:pt>
                      <c:pt idx="1">
                        <c:v>99.807138326799105</c:v>
                      </c:pt>
                      <c:pt idx="2">
                        <c:v>99.757969465503933</c:v>
                      </c:pt>
                      <c:pt idx="3">
                        <c:v>104.78584350464645</c:v>
                      </c:pt>
                      <c:pt idx="4">
                        <c:v>106.91605661392997</c:v>
                      </c:pt>
                      <c:pt idx="5">
                        <c:v>99.911649005015363</c:v>
                      </c:pt>
                      <c:pt idx="6">
                        <c:v>105.32925028085529</c:v>
                      </c:pt>
                      <c:pt idx="7">
                        <c:v>110.01598864853567</c:v>
                      </c:pt>
                      <c:pt idx="8">
                        <c:v>99.956758834607882</c:v>
                      </c:pt>
                      <c:pt idx="9">
                        <c:v>92.156632984936977</c:v>
                      </c:pt>
                      <c:pt idx="10">
                        <c:v>91.484283952756485</c:v>
                      </c:pt>
                      <c:pt idx="11">
                        <c:v>117.36778225623154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9C6-4303-90D7-4E8B890AD81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Визуализация!$A$248</c15:sqref>
                        </c15:formulaRef>
                      </c:ext>
                    </c:extLst>
                    <c:strCache>
                      <c:ptCount val="1"/>
                      <c:pt idx="0">
                        <c:v>Blue_avg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solidFill>
                      <a:schemeClr val="accent5"/>
                    </a:solidFill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Визуализация!$B$248:$M$248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169.41427657599706</c:v>
                      </c:pt>
                      <c:pt idx="1">
                        <c:v>166.32290955598077</c:v>
                      </c:pt>
                      <c:pt idx="2">
                        <c:v>199.54631607936821</c:v>
                      </c:pt>
                      <c:pt idx="3">
                        <c:v>216.37316450613156</c:v>
                      </c:pt>
                      <c:pt idx="4">
                        <c:v>199.79739732840281</c:v>
                      </c:pt>
                      <c:pt idx="5">
                        <c:v>206.03666741343596</c:v>
                      </c:pt>
                      <c:pt idx="6">
                        <c:v>178.55070675370945</c:v>
                      </c:pt>
                      <c:pt idx="7">
                        <c:v>205.40587734357194</c:v>
                      </c:pt>
                      <c:pt idx="8">
                        <c:v>191.90380970711337</c:v>
                      </c:pt>
                      <c:pt idx="9">
                        <c:v>205.8006276944875</c:v>
                      </c:pt>
                      <c:pt idx="10">
                        <c:v>178.0593398601028</c:v>
                      </c:pt>
                      <c:pt idx="11">
                        <c:v>191.52493416068054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9C6-4303-90D7-4E8B890AD81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Визуализация!$A$251</c15:sqref>
                        </c15:formulaRef>
                      </c:ext>
                    </c:extLst>
                    <c:strCache>
                      <c:ptCount val="1"/>
                      <c:pt idx="0">
                        <c:v>Green_sales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Визуализация!$B$251:$M$251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5622.5804420000004</c:v>
                      </c:pt>
                      <c:pt idx="1">
                        <c:v>4702.004113</c:v>
                      </c:pt>
                      <c:pt idx="2">
                        <c:v>7356.7611919999999</c:v>
                      </c:pt>
                      <c:pt idx="3">
                        <c:v>5684.181431</c:v>
                      </c:pt>
                      <c:pt idx="4">
                        <c:v>4568.3092669999996</c:v>
                      </c:pt>
                      <c:pt idx="5">
                        <c:v>5681.495903</c:v>
                      </c:pt>
                      <c:pt idx="6">
                        <c:v>4003.4489410000001</c:v>
                      </c:pt>
                      <c:pt idx="7">
                        <c:v>3368.8655979999999</c:v>
                      </c:pt>
                      <c:pt idx="8">
                        <c:v>3683.3465890000002</c:v>
                      </c:pt>
                      <c:pt idx="9">
                        <c:v>5995.7105419999998</c:v>
                      </c:pt>
                      <c:pt idx="10">
                        <c:v>4540.5662780000002</c:v>
                      </c:pt>
                      <c:pt idx="11">
                        <c:v>3098.2747159999999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9C6-4303-90D7-4E8B890AD81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Визуализация!$A$252</c15:sqref>
                        </c15:formulaRef>
                      </c:ext>
                    </c:extLst>
                    <c:strCache>
                      <c:ptCount val="1"/>
                      <c:pt idx="0">
                        <c:v>Blue_sales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Визуализация!$B$252:$M$252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7611.5632079999996</c:v>
                      </c:pt>
                      <c:pt idx="1">
                        <c:v>5962.643043</c:v>
                      </c:pt>
                      <c:pt idx="2">
                        <c:v>9020.8903109999992</c:v>
                      </c:pt>
                      <c:pt idx="3">
                        <c:v>6304.3134330000003</c:v>
                      </c:pt>
                      <c:pt idx="4">
                        <c:v>6829.4346759999999</c:v>
                      </c:pt>
                      <c:pt idx="5">
                        <c:v>5610.0487949999997</c:v>
                      </c:pt>
                      <c:pt idx="6">
                        <c:v>7236.9815360000002</c:v>
                      </c:pt>
                      <c:pt idx="7">
                        <c:v>5767.1397370000004</c:v>
                      </c:pt>
                      <c:pt idx="8">
                        <c:v>7477.9733239999996</c:v>
                      </c:pt>
                      <c:pt idx="9">
                        <c:v>6797.6770530000003</c:v>
                      </c:pt>
                      <c:pt idx="10">
                        <c:v>9408.4418470000001</c:v>
                      </c:pt>
                      <c:pt idx="11">
                        <c:v>7988.0453440000001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9C6-4303-90D7-4E8B890AD817}"/>
                  </c:ext>
                </c:extLst>
              </c15:ser>
            </c15:filteredBarSeries>
          </c:ext>
        </c:extLst>
      </c:barChart>
      <c:catAx>
        <c:axId val="96336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0990463"/>
        <c:crosses val="autoZero"/>
        <c:auto val="1"/>
        <c:lblAlgn val="ctr"/>
        <c:lblOffset val="100"/>
        <c:noMultiLvlLbl val="0"/>
      </c:catAx>
      <c:valAx>
        <c:axId val="960990463"/>
        <c:scaling>
          <c:orientation val="minMax"/>
          <c:max val="120"/>
          <c:min val="30"/>
        </c:scaling>
        <c:delete val="0"/>
        <c:axPos val="l"/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3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 </a:t>
            </a:r>
            <a:r>
              <a:rPr lang="ru-RU" sz="1400" b="0" i="0" u="none" strike="noStrike" baseline="0"/>
              <a:t>для брендов </a:t>
            </a:r>
            <a:r>
              <a:rPr lang="en-US" sz="1400" b="0" i="0" u="none" strike="noStrike" baseline="0"/>
              <a:t>Green 350-399G </a:t>
            </a:r>
            <a:r>
              <a:rPr lang="ru-RU" sz="1400" b="0" i="0" u="none" strike="noStrike" baseline="0"/>
              <a:t>и </a:t>
            </a:r>
            <a:r>
              <a:rPr lang="en-US" sz="1400" b="0" i="0" u="none" strike="noStrike" baseline="0"/>
              <a:t>Blue 400-599G </a:t>
            </a:r>
            <a:r>
              <a:rPr lang="ru-RU" sz="1400" b="0" i="0" u="none" strike="noStrike" baseline="0"/>
              <a:t>по месяцам 2022 в ГМ.</a:t>
            </a:r>
            <a:endParaRPr lang="ru-RU"/>
          </a:p>
        </c:rich>
      </c:tx>
      <c:layout>
        <c:manualLayout>
          <c:xMode val="edge"/>
          <c:yMode val="edge"/>
          <c:x val="0.22172828561992663"/>
          <c:y val="3.321886402216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Визуализация!$A$251</c:f>
              <c:strCache>
                <c:ptCount val="1"/>
                <c:pt idx="0">
                  <c:v>Green_sales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numFmt formatCode="#\ ##0&quot;тыс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  <c:extLst xmlns:c15="http://schemas.microsoft.com/office/drawing/2012/chart"/>
            </c:numRef>
          </c:cat>
          <c:val>
            <c:numRef>
              <c:f>Визуализация!$B$251:$M$251</c:f>
              <c:numCache>
                <c:formatCode>_-* #\ ##0\ _₽_-;\-* #\ ##0\ _₽_-;_-* "-"??\ _₽_-;_-@_-</c:formatCode>
                <c:ptCount val="12"/>
                <c:pt idx="0">
                  <c:v>5622.5804420000004</c:v>
                </c:pt>
                <c:pt idx="1">
                  <c:v>4702.004113</c:v>
                </c:pt>
                <c:pt idx="2">
                  <c:v>7356.7611919999999</c:v>
                </c:pt>
                <c:pt idx="3">
                  <c:v>5684.181431</c:v>
                </c:pt>
                <c:pt idx="4">
                  <c:v>4568.3092669999996</c:v>
                </c:pt>
                <c:pt idx="5">
                  <c:v>5681.495903</c:v>
                </c:pt>
                <c:pt idx="6">
                  <c:v>4003.4489410000001</c:v>
                </c:pt>
                <c:pt idx="7">
                  <c:v>3368.8655979999999</c:v>
                </c:pt>
                <c:pt idx="8">
                  <c:v>3683.3465890000002</c:v>
                </c:pt>
                <c:pt idx="9">
                  <c:v>5995.7105419999998</c:v>
                </c:pt>
                <c:pt idx="10">
                  <c:v>4540.5662780000002</c:v>
                </c:pt>
                <c:pt idx="11">
                  <c:v>3098.2747159999999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872B-4FE8-87D7-822B89534047}"/>
            </c:ext>
          </c:extLst>
        </c:ser>
        <c:ser>
          <c:idx val="5"/>
          <c:order val="5"/>
          <c:tx>
            <c:strRef>
              <c:f>Визуализация!$A$252</c:f>
              <c:strCache>
                <c:ptCount val="1"/>
                <c:pt idx="0">
                  <c:v>Blue_sales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numFmt formatCode="#\ ##0&quot;тыс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Визуализация!$B$246:$M$246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  <c:extLst xmlns:c15="http://schemas.microsoft.com/office/drawing/2012/chart"/>
            </c:numRef>
          </c:cat>
          <c:val>
            <c:numRef>
              <c:f>Визуализация!$B$252:$M$252</c:f>
              <c:numCache>
                <c:formatCode>_-* #\ ##0\ _₽_-;\-* #\ ##0\ _₽_-;_-* "-"??\ _₽_-;_-@_-</c:formatCode>
                <c:ptCount val="12"/>
                <c:pt idx="0">
                  <c:v>7611.5632079999996</c:v>
                </c:pt>
                <c:pt idx="1">
                  <c:v>5962.643043</c:v>
                </c:pt>
                <c:pt idx="2">
                  <c:v>9020.8903109999992</c:v>
                </c:pt>
                <c:pt idx="3">
                  <c:v>6304.3134330000003</c:v>
                </c:pt>
                <c:pt idx="4">
                  <c:v>6829.4346759999999</c:v>
                </c:pt>
                <c:pt idx="5">
                  <c:v>5610.0487949999997</c:v>
                </c:pt>
                <c:pt idx="6">
                  <c:v>7236.9815360000002</c:v>
                </c:pt>
                <c:pt idx="7">
                  <c:v>5767.1397370000004</c:v>
                </c:pt>
                <c:pt idx="8">
                  <c:v>7477.9733239999996</c:v>
                </c:pt>
                <c:pt idx="9">
                  <c:v>6797.6770530000003</c:v>
                </c:pt>
                <c:pt idx="10">
                  <c:v>9408.4418470000001</c:v>
                </c:pt>
                <c:pt idx="11">
                  <c:v>7988.0453440000001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72B-4FE8-87D7-822B89534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963363583"/>
        <c:axId val="960990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Визуализация!$A$247</c15:sqref>
                        </c15:formulaRef>
                      </c:ext>
                    </c:extLst>
                    <c:strCache>
                      <c:ptCount val="1"/>
                      <c:pt idx="0">
                        <c:v>Green_avg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solidFill>
                      <a:schemeClr val="accent6"/>
                    </a:solidFill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Визуализация!$B$247:$M$247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96.534432416562652</c:v>
                      </c:pt>
                      <c:pt idx="1">
                        <c:v>99.807138326799105</c:v>
                      </c:pt>
                      <c:pt idx="2">
                        <c:v>99.757969465503933</c:v>
                      </c:pt>
                      <c:pt idx="3">
                        <c:v>104.78584350464645</c:v>
                      </c:pt>
                      <c:pt idx="4">
                        <c:v>106.91605661392997</c:v>
                      </c:pt>
                      <c:pt idx="5">
                        <c:v>99.911649005015363</c:v>
                      </c:pt>
                      <c:pt idx="6">
                        <c:v>105.32925028085529</c:v>
                      </c:pt>
                      <c:pt idx="7">
                        <c:v>110.01598864853567</c:v>
                      </c:pt>
                      <c:pt idx="8">
                        <c:v>99.956758834607882</c:v>
                      </c:pt>
                      <c:pt idx="9">
                        <c:v>92.156632984936977</c:v>
                      </c:pt>
                      <c:pt idx="10">
                        <c:v>91.484283952756485</c:v>
                      </c:pt>
                      <c:pt idx="11">
                        <c:v>117.36778225623154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72B-4FE8-87D7-822B895340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Визуализация!$A$248</c15:sqref>
                        </c15:formulaRef>
                      </c:ext>
                    </c:extLst>
                    <c:strCache>
                      <c:ptCount val="1"/>
                      <c:pt idx="0">
                        <c:v>Blue_avg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solidFill>
                      <a:schemeClr val="accent5"/>
                    </a:solidFill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Визуализация!$B$248:$M$248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169.41427657599706</c:v>
                      </c:pt>
                      <c:pt idx="1">
                        <c:v>166.32290955598077</c:v>
                      </c:pt>
                      <c:pt idx="2">
                        <c:v>199.54631607936821</c:v>
                      </c:pt>
                      <c:pt idx="3">
                        <c:v>216.37316450613156</c:v>
                      </c:pt>
                      <c:pt idx="4">
                        <c:v>199.79739732840281</c:v>
                      </c:pt>
                      <c:pt idx="5">
                        <c:v>206.03666741343596</c:v>
                      </c:pt>
                      <c:pt idx="6">
                        <c:v>178.55070675370945</c:v>
                      </c:pt>
                      <c:pt idx="7">
                        <c:v>205.40587734357194</c:v>
                      </c:pt>
                      <c:pt idx="8">
                        <c:v>191.90380970711337</c:v>
                      </c:pt>
                      <c:pt idx="9">
                        <c:v>205.8006276944875</c:v>
                      </c:pt>
                      <c:pt idx="10">
                        <c:v>178.0593398601028</c:v>
                      </c:pt>
                      <c:pt idx="11">
                        <c:v>191.52493416068054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2B-4FE8-87D7-822B895340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Визуализация!$A$249</c15:sqref>
                        </c15:formulaRef>
                      </c:ext>
                    </c:extLst>
                    <c:strCache>
                      <c:ptCount val="1"/>
                      <c:pt idx="0">
                        <c:v>Green_offtake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Визуализация!$B$249:$M$249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76.839445910290237</c:v>
                      </c:pt>
                      <c:pt idx="1">
                        <c:v>63.321102150537634</c:v>
                      </c:pt>
                      <c:pt idx="2">
                        <c:v>103.86774647887323</c:v>
                      </c:pt>
                      <c:pt idx="3">
                        <c:v>79.89057437407952</c:v>
                      </c:pt>
                      <c:pt idx="4">
                        <c:v>63.113737075332345</c:v>
                      </c:pt>
                      <c:pt idx="5">
                        <c:v>83.502496328928046</c:v>
                      </c:pt>
                      <c:pt idx="6">
                        <c:v>58.117584097859321</c:v>
                      </c:pt>
                      <c:pt idx="7">
                        <c:v>48.147169811320758</c:v>
                      </c:pt>
                      <c:pt idx="8">
                        <c:v>65.685204991087346</c:v>
                      </c:pt>
                      <c:pt idx="9">
                        <c:v>104.26282051282051</c:v>
                      </c:pt>
                      <c:pt idx="10">
                        <c:v>79.666452648475115</c:v>
                      </c:pt>
                      <c:pt idx="11">
                        <c:v>44.291946308724832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72B-4FE8-87D7-822B8953404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Визуализация!$A$250</c15:sqref>
                        </c15:formulaRef>
                      </c:ext>
                    </c:extLst>
                    <c:strCache>
                      <c:ptCount val="1"/>
                      <c:pt idx="0">
                        <c:v>Blue_offtake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Визуализация!$B$246:$M$246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Визуализация!$B$250:$M$250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12"/>
                      <c:pt idx="0">
                        <c:v>61.715247252747247</c:v>
                      </c:pt>
                      <c:pt idx="1">
                        <c:v>51.656772334293954</c:v>
                      </c:pt>
                      <c:pt idx="2">
                        <c:v>66.973333333333329</c:v>
                      </c:pt>
                      <c:pt idx="3">
                        <c:v>46.028909952606632</c:v>
                      </c:pt>
                      <c:pt idx="4">
                        <c:v>52.668412942989221</c:v>
                      </c:pt>
                      <c:pt idx="5">
                        <c:v>42.811949685534593</c:v>
                      </c:pt>
                      <c:pt idx="6">
                        <c:v>64.644019138755979</c:v>
                      </c:pt>
                      <c:pt idx="7">
                        <c:v>45.285161290322577</c:v>
                      </c:pt>
                      <c:pt idx="8">
                        <c:v>62.648392282958206</c:v>
                      </c:pt>
                      <c:pt idx="9">
                        <c:v>52.512559618441976</c:v>
                      </c:pt>
                      <c:pt idx="10">
                        <c:v>82.431825273010915</c:v>
                      </c:pt>
                      <c:pt idx="11">
                        <c:v>67.817235772357719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72B-4FE8-87D7-822B89534047}"/>
                  </c:ext>
                </c:extLst>
              </c15:ser>
            </c15:filteredBarSeries>
          </c:ext>
        </c:extLst>
      </c:barChart>
      <c:catAx>
        <c:axId val="963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0990463"/>
        <c:crosses val="autoZero"/>
        <c:auto val="1"/>
        <c:lblAlgn val="ctr"/>
        <c:lblOffset val="100"/>
        <c:noMultiLvlLbl val="0"/>
      </c:catAx>
      <c:valAx>
        <c:axId val="960990463"/>
        <c:scaling>
          <c:orientation val="minMax"/>
          <c:min val="2000"/>
        </c:scaling>
        <c:delete val="0"/>
        <c:axPos val="l"/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3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цены, оффтейка в штуках и продаж в деньгах для бренда </a:t>
            </a:r>
            <a:r>
              <a:rPr lang="en-US" sz="1400" b="0" i="0" u="none" strike="noStrike" baseline="0"/>
              <a:t>Green 100-199G </a:t>
            </a:r>
            <a:r>
              <a:rPr lang="ru-RU" sz="1400" b="0" i="0" u="none" strike="noStrike" baseline="0"/>
              <a:t>для ГМ за все три года (руб.)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Визуализация!$A$340</c:f>
              <c:strCache>
                <c:ptCount val="1"/>
                <c:pt idx="0">
                  <c:v>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Визуализация!$B$338:$AB$339</c:f>
              <c:multiLvlStrCache>
                <c:ptCount val="27"/>
                <c:lvl>
                  <c:pt idx="0">
                    <c:v>10</c:v>
                  </c:pt>
                  <c:pt idx="1">
                    <c:v>11</c:v>
                  </c:pt>
                  <c:pt idx="2">
                    <c:v>12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0">
                    <c:v>6</c:v>
                  </c:pt>
                  <c:pt idx="21">
                    <c:v>7</c:v>
                  </c:pt>
                  <c:pt idx="22">
                    <c:v>8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11</c:v>
                  </c:pt>
                  <c:pt idx="26">
                    <c:v>12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Визуализация!$B$340:$AB$340</c:f>
              <c:numCache>
                <c:formatCode>_(* #,##0.00_);_(* \(#,##0.00\);_(* "-"??_);_(@_)</c:formatCode>
                <c:ptCount val="27"/>
                <c:pt idx="0">
                  <c:v>53.986843802399072</c:v>
                </c:pt>
                <c:pt idx="1">
                  <c:v>70.368116528424039</c:v>
                </c:pt>
                <c:pt idx="2">
                  <c:v>61.431788316322525</c:v>
                </c:pt>
                <c:pt idx="3">
                  <c:v>66.659717144506445</c:v>
                </c:pt>
                <c:pt idx="4">
                  <c:v>62.697971275467978</c:v>
                </c:pt>
                <c:pt idx="5">
                  <c:v>66.887783584629858</c:v>
                </c:pt>
                <c:pt idx="6">
                  <c:v>70.362718955331303</c:v>
                </c:pt>
                <c:pt idx="7">
                  <c:v>64.161453773710036</c:v>
                </c:pt>
                <c:pt idx="8">
                  <c:v>63.119698037541816</c:v>
                </c:pt>
                <c:pt idx="9">
                  <c:v>57.010667409824393</c:v>
                </c:pt>
                <c:pt idx="10">
                  <c:v>60.486673430812566</c:v>
                </c:pt>
                <c:pt idx="11">
                  <c:v>62.467099213242065</c:v>
                </c:pt>
                <c:pt idx="12">
                  <c:v>69.478412291079977</c:v>
                </c:pt>
                <c:pt idx="13">
                  <c:v>67.713158113804397</c:v>
                </c:pt>
                <c:pt idx="14">
                  <c:v>70.711679555819956</c:v>
                </c:pt>
                <c:pt idx="15">
                  <c:v>72.906472244049453</c:v>
                </c:pt>
                <c:pt idx="16">
                  <c:v>68.034418310132466</c:v>
                </c:pt>
                <c:pt idx="17">
                  <c:v>68.427326959423269</c:v>
                </c:pt>
                <c:pt idx="18">
                  <c:v>78.268396450105016</c:v>
                </c:pt>
                <c:pt idx="19">
                  <c:v>80.615579249118809</c:v>
                </c:pt>
                <c:pt idx="20">
                  <c:v>80.170302713987468</c:v>
                </c:pt>
                <c:pt idx="21">
                  <c:v>76.779006996483986</c:v>
                </c:pt>
                <c:pt idx="22">
                  <c:v>70.20399623601017</c:v>
                </c:pt>
                <c:pt idx="23">
                  <c:v>62.616090558491649</c:v>
                </c:pt>
                <c:pt idx="24">
                  <c:v>73.956079917326903</c:v>
                </c:pt>
                <c:pt idx="25">
                  <c:v>71.596434667172389</c:v>
                </c:pt>
                <c:pt idx="26">
                  <c:v>81.993138936535161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6-4603-82EE-9773EC19367A}"/>
            </c:ext>
          </c:extLst>
        </c:ser>
        <c:ser>
          <c:idx val="1"/>
          <c:order val="1"/>
          <c:tx>
            <c:strRef>
              <c:f>Визуализация!$A$341</c:f>
              <c:strCache>
                <c:ptCount val="1"/>
                <c:pt idx="0">
                  <c:v>off-take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Визуализация!$B$338:$AB$339</c:f>
              <c:multiLvlStrCache>
                <c:ptCount val="27"/>
                <c:lvl>
                  <c:pt idx="0">
                    <c:v>10</c:v>
                  </c:pt>
                  <c:pt idx="1">
                    <c:v>11</c:v>
                  </c:pt>
                  <c:pt idx="2">
                    <c:v>12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0">
                    <c:v>6</c:v>
                  </c:pt>
                  <c:pt idx="21">
                    <c:v>7</c:v>
                  </c:pt>
                  <c:pt idx="22">
                    <c:v>8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11</c:v>
                  </c:pt>
                  <c:pt idx="26">
                    <c:v>12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Визуализация!$B$341:$AB$341</c:f>
              <c:numCache>
                <c:formatCode>_(* #,##0.00_);_(* \(#,##0.00\);_(* "-"??_);_(@_)</c:formatCode>
                <c:ptCount val="27"/>
                <c:pt idx="0">
                  <c:v>59.638461538461534</c:v>
                </c:pt>
                <c:pt idx="1">
                  <c:v>14.538235294117648</c:v>
                </c:pt>
                <c:pt idx="2">
                  <c:v>78.863034188034192</c:v>
                </c:pt>
                <c:pt idx="3">
                  <c:v>61.021526418786692</c:v>
                </c:pt>
                <c:pt idx="4">
                  <c:v>50.1719489981785</c:v>
                </c:pt>
                <c:pt idx="5">
                  <c:v>45.986187845303867</c:v>
                </c:pt>
                <c:pt idx="6">
                  <c:v>35.567771639042363</c:v>
                </c:pt>
                <c:pt idx="7">
                  <c:v>41.961038961038959</c:v>
                </c:pt>
                <c:pt idx="8">
                  <c:v>34.265646258503402</c:v>
                </c:pt>
                <c:pt idx="9">
                  <c:v>37.497387518142233</c:v>
                </c:pt>
                <c:pt idx="10">
                  <c:v>29.688226299694186</c:v>
                </c:pt>
                <c:pt idx="11">
                  <c:v>31.290586145648309</c:v>
                </c:pt>
                <c:pt idx="12">
                  <c:v>25.645726495726496</c:v>
                </c:pt>
                <c:pt idx="13">
                  <c:v>28.663557483731022</c:v>
                </c:pt>
                <c:pt idx="14">
                  <c:v>24.743691588785044</c:v>
                </c:pt>
                <c:pt idx="15">
                  <c:v>24.461557177615568</c:v>
                </c:pt>
                <c:pt idx="16">
                  <c:v>24.977806122448978</c:v>
                </c:pt>
                <c:pt idx="17">
                  <c:v>47.915339233038353</c:v>
                </c:pt>
                <c:pt idx="18">
                  <c:v>23.808064516129033</c:v>
                </c:pt>
                <c:pt idx="19">
                  <c:v>21.914423076923079</c:v>
                </c:pt>
                <c:pt idx="20">
                  <c:v>18.247619047619047</c:v>
                </c:pt>
                <c:pt idx="21">
                  <c:v>18.708970099667777</c:v>
                </c:pt>
                <c:pt idx="22">
                  <c:v>16.931186440677966</c:v>
                </c:pt>
                <c:pt idx="23">
                  <c:v>18.184415584415582</c:v>
                </c:pt>
                <c:pt idx="24">
                  <c:v>12.621739130434783</c:v>
                </c:pt>
                <c:pt idx="25">
                  <c:v>14.64722222222222</c:v>
                </c:pt>
                <c:pt idx="26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6-4603-82EE-9773EC193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588816"/>
        <c:axId val="1953253184"/>
      </c:lineChart>
      <c:lineChart>
        <c:grouping val="standard"/>
        <c:varyColors val="0"/>
        <c:ser>
          <c:idx val="2"/>
          <c:order val="2"/>
          <c:tx>
            <c:strRef>
              <c:f>Визуализация!$A$342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Визуализация!$B$338:$AB$339</c:f>
              <c:multiLvlStrCache>
                <c:ptCount val="27"/>
                <c:lvl>
                  <c:pt idx="0">
                    <c:v>10</c:v>
                  </c:pt>
                  <c:pt idx="1">
                    <c:v>11</c:v>
                  </c:pt>
                  <c:pt idx="2">
                    <c:v>12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8</c:v>
                  </c:pt>
                  <c:pt idx="11">
                    <c:v>9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12</c:v>
                  </c:pt>
                  <c:pt idx="15">
                    <c:v>1</c:v>
                  </c:pt>
                  <c:pt idx="16">
                    <c:v>2</c:v>
                  </c:pt>
                  <c:pt idx="17">
                    <c:v>3</c:v>
                  </c:pt>
                  <c:pt idx="18">
                    <c:v>4</c:v>
                  </c:pt>
                  <c:pt idx="19">
                    <c:v>5</c:v>
                  </c:pt>
                  <c:pt idx="20">
                    <c:v>6</c:v>
                  </c:pt>
                  <c:pt idx="21">
                    <c:v>7</c:v>
                  </c:pt>
                  <c:pt idx="22">
                    <c:v>8</c:v>
                  </c:pt>
                  <c:pt idx="23">
                    <c:v>9</c:v>
                  </c:pt>
                  <c:pt idx="24">
                    <c:v>10</c:v>
                  </c:pt>
                  <c:pt idx="25">
                    <c:v>11</c:v>
                  </c:pt>
                  <c:pt idx="26">
                    <c:v>12</c:v>
                  </c:pt>
                </c:lvl>
                <c:lvl>
                  <c:pt idx="0">
                    <c:v>2020</c:v>
                  </c:pt>
                  <c:pt idx="3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Визуализация!$B$342:$AB$342</c:f>
              <c:numCache>
                <c:formatCode>_(* #,##0.00_);_(* \(#,##0.00\);_(* "-"??_);_(@_)</c:formatCode>
                <c:ptCount val="27"/>
                <c:pt idx="0">
                  <c:v>41.856000000000002</c:v>
                </c:pt>
                <c:pt idx="1">
                  <c:v>173.91480000000001</c:v>
                </c:pt>
                <c:pt idx="2">
                  <c:v>2267.3182999999999</c:v>
                </c:pt>
                <c:pt idx="3">
                  <c:v>2078.5832999999998</c:v>
                </c:pt>
                <c:pt idx="4">
                  <c:v>1726.9780000000001</c:v>
                </c:pt>
                <c:pt idx="5">
                  <c:v>1670.2213999999999</c:v>
                </c:pt>
                <c:pt idx="6">
                  <c:v>1358.9363000000001</c:v>
                </c:pt>
                <c:pt idx="7">
                  <c:v>1451.1396</c:v>
                </c:pt>
                <c:pt idx="8">
                  <c:v>1271.7483</c:v>
                </c:pt>
                <c:pt idx="9">
                  <c:v>1472.9105</c:v>
                </c:pt>
                <c:pt idx="10">
                  <c:v>1174.4152999999999</c:v>
                </c:pt>
                <c:pt idx="11">
                  <c:v>1100.4579000000001</c:v>
                </c:pt>
                <c:pt idx="12">
                  <c:v>833.89380000000006</c:v>
                </c:pt>
                <c:pt idx="13">
                  <c:v>894.75490000000002</c:v>
                </c:pt>
                <c:pt idx="14">
                  <c:v>748.85789999999997</c:v>
                </c:pt>
                <c:pt idx="15">
                  <c:v>732.97979999999995</c:v>
                </c:pt>
                <c:pt idx="16">
                  <c:v>666.1454</c:v>
                </c:pt>
                <c:pt idx="17">
                  <c:v>1111.4856</c:v>
                </c:pt>
                <c:pt idx="18">
                  <c:v>577.65989999999999</c:v>
                </c:pt>
                <c:pt idx="19">
                  <c:v>551.19290000000001</c:v>
                </c:pt>
                <c:pt idx="20">
                  <c:v>460.81889999999999</c:v>
                </c:pt>
                <c:pt idx="21">
                  <c:v>432.37329999999997</c:v>
                </c:pt>
                <c:pt idx="22">
                  <c:v>350.64789999999999</c:v>
                </c:pt>
                <c:pt idx="23">
                  <c:v>175.3501</c:v>
                </c:pt>
                <c:pt idx="24">
                  <c:v>42.938899999999997</c:v>
                </c:pt>
                <c:pt idx="25">
                  <c:v>37.752800000000001</c:v>
                </c:pt>
                <c:pt idx="26">
                  <c:v>14.3406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D6-4603-82EE-9773EC193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036032"/>
        <c:axId val="1706055056"/>
      </c:lineChart>
      <c:catAx>
        <c:axId val="45358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3253184"/>
        <c:crosses val="autoZero"/>
        <c:auto val="1"/>
        <c:lblAlgn val="ctr"/>
        <c:lblOffset val="100"/>
        <c:noMultiLvlLbl val="0"/>
      </c:catAx>
      <c:valAx>
        <c:axId val="19532531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588816"/>
        <c:crosses val="autoZero"/>
        <c:crossBetween val="between"/>
      </c:valAx>
      <c:valAx>
        <c:axId val="170605505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9036032"/>
        <c:crosses val="max"/>
        <c:crossBetween val="between"/>
      </c:valAx>
      <c:catAx>
        <c:axId val="1049036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6055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Доля продаж (ось Х) и рост продаж (ось </a:t>
            </a:r>
            <a:r>
              <a:rPr lang="en-US"/>
              <a:t>Y) </a:t>
            </a:r>
            <a:r>
              <a:rPr lang="ru-RU"/>
              <a:t>каждого канала ГМ, СМ и ММ за 2022 год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Визуализация!$B$143</c:f>
              <c:strCache>
                <c:ptCount val="1"/>
                <c:pt idx="0">
                  <c:v>Hypermarkets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Визуализация!$B$145:$M$145</c:f>
              <c:numCache>
                <c:formatCode>0%</c:formatCode>
                <c:ptCount val="12"/>
                <c:pt idx="0">
                  <c:v>0.26183505628574782</c:v>
                </c:pt>
                <c:pt idx="1">
                  <c:v>0.24422565130623425</c:v>
                </c:pt>
                <c:pt idx="2">
                  <c:v>0.27451046043358152</c:v>
                </c:pt>
                <c:pt idx="3">
                  <c:v>0.24278977589101777</c:v>
                </c:pt>
                <c:pt idx="4">
                  <c:v>0.27869725973216186</c:v>
                </c:pt>
                <c:pt idx="5">
                  <c:v>0.29525232016912589</c:v>
                </c:pt>
                <c:pt idx="6">
                  <c:v>0.271306715180756</c:v>
                </c:pt>
                <c:pt idx="7">
                  <c:v>0.25929497787921463</c:v>
                </c:pt>
                <c:pt idx="8">
                  <c:v>0.27511865291909071</c:v>
                </c:pt>
                <c:pt idx="9">
                  <c:v>0.26704278468813025</c:v>
                </c:pt>
                <c:pt idx="10">
                  <c:v>0.28555511756165119</c:v>
                </c:pt>
                <c:pt idx="11">
                  <c:v>0.25815187432880815</c:v>
                </c:pt>
              </c:numCache>
            </c:numRef>
          </c:xVal>
          <c:yVal>
            <c:numRef>
              <c:f>Визуализация!$B$144:$M$144</c:f>
              <c:numCache>
                <c:formatCode>_(* #,##0.00_);_(* \(#,##0.00\);_(* "-"??_);_(@_)</c:formatCode>
                <c:ptCount val="12"/>
                <c:pt idx="0">
                  <c:v>20356.467718</c:v>
                </c:pt>
                <c:pt idx="1">
                  <c:v>16939.320687999996</c:v>
                </c:pt>
                <c:pt idx="2">
                  <c:v>26874.280325</c:v>
                </c:pt>
                <c:pt idx="3">
                  <c:v>18527.887555999998</c:v>
                </c:pt>
                <c:pt idx="4">
                  <c:v>19220.053605000001</c:v>
                </c:pt>
                <c:pt idx="5">
                  <c:v>16706.320423000001</c:v>
                </c:pt>
                <c:pt idx="6">
                  <c:v>16857.606899999999</c:v>
                </c:pt>
                <c:pt idx="7">
                  <c:v>14869.505749000002</c:v>
                </c:pt>
                <c:pt idx="8">
                  <c:v>15795.375814999999</c:v>
                </c:pt>
                <c:pt idx="9">
                  <c:v>19046.856759000002</c:v>
                </c:pt>
                <c:pt idx="10">
                  <c:v>18995.608098000001</c:v>
                </c:pt>
                <c:pt idx="11">
                  <c:v>16363.537252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A-4867-A663-42E16947CD21}"/>
            </c:ext>
          </c:extLst>
        </c:ser>
        <c:ser>
          <c:idx val="2"/>
          <c:order val="1"/>
          <c:tx>
            <c:strRef>
              <c:f>Визуализация!$B$147</c:f>
              <c:strCache>
                <c:ptCount val="1"/>
                <c:pt idx="0">
                  <c:v>Minimarkets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Визуализация!$B$149:$M$149</c:f>
              <c:numCache>
                <c:formatCode>0%</c:formatCode>
                <c:ptCount val="12"/>
                <c:pt idx="0">
                  <c:v>0.19617264514070282</c:v>
                </c:pt>
                <c:pt idx="1">
                  <c:v>1.7831281443691487E-2</c:v>
                </c:pt>
                <c:pt idx="2">
                  <c:v>2.0971070386664334E-2</c:v>
                </c:pt>
                <c:pt idx="3">
                  <c:v>1.9489110699964923E-2</c:v>
                </c:pt>
                <c:pt idx="4">
                  <c:v>1.7651997359220149E-2</c:v>
                </c:pt>
                <c:pt idx="5">
                  <c:v>1.3953747342421873E-2</c:v>
                </c:pt>
                <c:pt idx="6">
                  <c:v>1.4735771705914282E-2</c:v>
                </c:pt>
                <c:pt idx="7">
                  <c:v>1.4105457052770677E-2</c:v>
                </c:pt>
                <c:pt idx="8">
                  <c:v>1.4323390380294608E-2</c:v>
                </c:pt>
                <c:pt idx="9">
                  <c:v>1.4851630348037711E-2</c:v>
                </c:pt>
                <c:pt idx="10">
                  <c:v>1.3669990368155204E-2</c:v>
                </c:pt>
                <c:pt idx="11">
                  <c:v>1.435693681726914E-2</c:v>
                </c:pt>
              </c:numCache>
            </c:numRef>
          </c:xVal>
          <c:yVal>
            <c:numRef>
              <c:f>Визуализация!$B$148:$M$148</c:f>
              <c:numCache>
                <c:formatCode>_(* #,##0.00_);_(* \(#,##0.00\);_(* "-"??_);_(@_)</c:formatCode>
                <c:ptCount val="12"/>
                <c:pt idx="0">
                  <c:v>15251.518168000002</c:v>
                </c:pt>
                <c:pt idx="1">
                  <c:v>14710.646397999999</c:v>
                </c:pt>
                <c:pt idx="2">
                  <c:v>17300.943962999998</c:v>
                </c:pt>
                <c:pt idx="3">
                  <c:v>16078.340585</c:v>
                </c:pt>
                <c:pt idx="4">
                  <c:v>14562.738644999999</c:v>
                </c:pt>
                <c:pt idx="5">
                  <c:v>11511.71573</c:v>
                </c:pt>
                <c:pt idx="6">
                  <c:v>12156.878778</c:v>
                </c:pt>
                <c:pt idx="7">
                  <c:v>11636.874873000001</c:v>
                </c:pt>
                <c:pt idx="8">
                  <c:v>11816.667903000001</c:v>
                </c:pt>
                <c:pt idx="9">
                  <c:v>12252.461112999999</c:v>
                </c:pt>
                <c:pt idx="10">
                  <c:v>11277.618785000001</c:v>
                </c:pt>
                <c:pt idx="11">
                  <c:v>11844.343411000002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7EA-4867-A663-42E16947CD21}"/>
            </c:ext>
          </c:extLst>
        </c:ser>
        <c:ser>
          <c:idx val="1"/>
          <c:order val="2"/>
          <c:tx>
            <c:strRef>
              <c:f>Визуализация!$B$151</c:f>
              <c:strCache>
                <c:ptCount val="1"/>
                <c:pt idx="0">
                  <c:v>Supermarkets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Визуализация!$B$153:$M$153</c:f>
              <c:numCache>
                <c:formatCode>0%</c:formatCode>
                <c:ptCount val="12"/>
                <c:pt idx="0">
                  <c:v>0.54199229857354936</c:v>
                </c:pt>
                <c:pt idx="1">
                  <c:v>4.5708784268594996E-2</c:v>
                </c:pt>
                <c:pt idx="2">
                  <c:v>6.5120354958602689E-2</c:v>
                </c:pt>
                <c:pt idx="3">
                  <c:v>5.0553573333734454E-2</c:v>
                </c:pt>
                <c:pt idx="4">
                  <c:v>4.2644248977255536E-2</c:v>
                </c:pt>
                <c:pt idx="5">
                  <c:v>3.4382389885053717E-2</c:v>
                </c:pt>
                <c:pt idx="6">
                  <c:v>4.0146356618868388E-2</c:v>
                </c:pt>
                <c:pt idx="7">
                  <c:v>3.7381652975677887E-2</c:v>
                </c:pt>
                <c:pt idx="8">
                  <c:v>3.6122715833341028E-2</c:v>
                </c:pt>
                <c:pt idx="9">
                  <c:v>4.8516645448963433E-2</c:v>
                </c:pt>
                <c:pt idx="10">
                  <c:v>4.3938007440804797E-2</c:v>
                </c:pt>
                <c:pt idx="11">
                  <c:v>4.2642125215860437E-2</c:v>
                </c:pt>
              </c:numCache>
            </c:numRef>
          </c:xVal>
          <c:yVal>
            <c:numRef>
              <c:f>Визуализация!$B$152:$M$152</c:f>
              <c:numCache>
                <c:formatCode>_(* #,##0.00_);_(* \(#,##0.00\);_(* "-"??_);_(@_)</c:formatCode>
                <c:ptCount val="12"/>
                <c:pt idx="0">
                  <c:v>42137.400872999999</c:v>
                </c:pt>
                <c:pt idx="1">
                  <c:v>37709.334843999997</c:v>
                </c:pt>
                <c:pt idx="2">
                  <c:v>53723.705620000001</c:v>
                </c:pt>
                <c:pt idx="3">
                  <c:v>41706.242135</c:v>
                </c:pt>
                <c:pt idx="4">
                  <c:v>35181.120862999996</c:v>
                </c:pt>
                <c:pt idx="5">
                  <c:v>28365.161613000004</c:v>
                </c:pt>
                <c:pt idx="6">
                  <c:v>33120.382192000005</c:v>
                </c:pt>
                <c:pt idx="7">
                  <c:v>30839.526617000003</c:v>
                </c:pt>
                <c:pt idx="8">
                  <c:v>29800.914827000008</c:v>
                </c:pt>
                <c:pt idx="9">
                  <c:v>40025.794998000005</c:v>
                </c:pt>
                <c:pt idx="10">
                  <c:v>36248.459929000004</c:v>
                </c:pt>
                <c:pt idx="11">
                  <c:v>35179.368778999997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7EA-4867-A663-42E16947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584528"/>
        <c:axId val="253100656"/>
      </c:scatterChart>
      <c:valAx>
        <c:axId val="255584528"/>
        <c:scaling>
          <c:orientation val="minMax"/>
          <c:max val="0.55000000000000004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100656"/>
        <c:crosses val="autoZero"/>
        <c:crossBetween val="midCat"/>
      </c:valAx>
      <c:valAx>
        <c:axId val="2531006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558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Доля продаж (ось Х) и рост продаж (ось </a:t>
            </a:r>
            <a:r>
              <a:rPr lang="en-US"/>
              <a:t>Y) </a:t>
            </a:r>
            <a:r>
              <a:rPr lang="ru-RU"/>
              <a:t>каждого канала ГМ, СМ и ММ за 2022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Hypermarkets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B6-4FBF-BA8D-A1B7777EFB3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>
                        <a:effectLst/>
                      </a:rPr>
                      <a:t>Minimarkets</a:t>
                    </a:r>
                    <a:r>
                      <a:rPr lang="en-US" sz="900" b="0" i="0" u="none" strike="noStrike" baseline="0"/>
                      <a:t> </a:t>
                    </a:r>
                    <a:endParaRPr lang="en-US" b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B6-4FBF-BA8D-A1B7777EFB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Supermarkets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B6-4FBF-BA8D-A1B7777EFB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Визуализация!$B$184:$D$184</c:f>
              <c:numCache>
                <c:formatCode>0.00%</c:formatCode>
                <c:ptCount val="3"/>
                <c:pt idx="0">
                  <c:v>0.26733967468544995</c:v>
                </c:pt>
                <c:pt idx="1">
                  <c:v>0.19442727465953499</c:v>
                </c:pt>
                <c:pt idx="2">
                  <c:v>0.53823305065501492</c:v>
                </c:pt>
              </c:numCache>
            </c:numRef>
          </c:xVal>
          <c:yVal>
            <c:numRef>
              <c:f>Визуализация!$B$183:$D$183</c:f>
              <c:numCache>
                <c:formatCode>_(* #,##0.00_);_(* \(#,##0.00\);_(* "-"??_);_(@_)</c:formatCode>
                <c:ptCount val="3"/>
                <c:pt idx="0">
                  <c:v>220552.82088800005</c:v>
                </c:pt>
                <c:pt idx="1">
                  <c:v>160400.74835200002</c:v>
                </c:pt>
                <c:pt idx="2">
                  <c:v>444037.41329000023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B6-4FBF-BA8D-A1B7777EF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286288"/>
        <c:axId val="25613348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BB6-4FBF-BA8D-A1B7777EFB3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Визуализация!$B$183:$D$183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3"/>
                      <c:pt idx="0">
                        <c:v>220552.82088800005</c:v>
                      </c:pt>
                      <c:pt idx="1">
                        <c:v>160400.74835200002</c:v>
                      </c:pt>
                      <c:pt idx="2">
                        <c:v>444037.41329000023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Визуализация!$B$184:$D$184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0.26733967468544995</c:v>
                      </c:pt>
                      <c:pt idx="1">
                        <c:v>0.19442727465953499</c:v>
                      </c:pt>
                      <c:pt idx="2">
                        <c:v>0.53823305065501492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BB6-4FBF-BA8D-A1B7777EFB35}"/>
                  </c:ext>
                </c:extLst>
              </c15:ser>
            </c15:filteredScatterSeries>
          </c:ext>
        </c:extLst>
      </c:scatterChart>
      <c:valAx>
        <c:axId val="129528628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6133488"/>
        <c:crosses val="autoZero"/>
        <c:crossBetween val="midCat"/>
      </c:valAx>
      <c:valAx>
        <c:axId val="256133488"/>
        <c:scaling>
          <c:orientation val="minMax"/>
          <c:min val="100000"/>
        </c:scaling>
        <c:delete val="0"/>
        <c:axPos val="l"/>
        <c:numFmt formatCode="_(* #,##0.00_);_(* \(#,##0.00\);_(* &quot;-&quot;??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528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157161</xdr:rowOff>
    </xdr:from>
    <xdr:to>
      <xdr:col>10</xdr:col>
      <xdr:colOff>438150</xdr:colOff>
      <xdr:row>57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F9E39B-6A0B-44B4-B83D-C37C0A051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47</xdr:row>
      <xdr:rowOff>185736</xdr:rowOff>
    </xdr:from>
    <xdr:to>
      <xdr:col>10</xdr:col>
      <xdr:colOff>0</xdr:colOff>
      <xdr:row>77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0FCB1B-53A7-4959-AA54-589BD68CC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183</xdr:row>
      <xdr:rowOff>185737</xdr:rowOff>
    </xdr:from>
    <xdr:to>
      <xdr:col>5</xdr:col>
      <xdr:colOff>28575</xdr:colOff>
      <xdr:row>198</xdr:row>
      <xdr:rowOff>71437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F13537E-F92F-4342-9DF9-07AB84E0D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133</xdr:row>
      <xdr:rowOff>185736</xdr:rowOff>
    </xdr:from>
    <xdr:to>
      <xdr:col>4</xdr:col>
      <xdr:colOff>781050</xdr:colOff>
      <xdr:row>154</xdr:row>
      <xdr:rowOff>38099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E32DD64-49CA-4D0D-90D4-314112E9C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99</xdr:row>
      <xdr:rowOff>4762</xdr:rowOff>
    </xdr:from>
    <xdr:to>
      <xdr:col>4</xdr:col>
      <xdr:colOff>9525</xdr:colOff>
      <xdr:row>119</xdr:row>
      <xdr:rowOff>19050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97164FD-0DE2-46F9-9623-5D1EF5FD3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223</xdr:row>
      <xdr:rowOff>14286</xdr:rowOff>
    </xdr:from>
    <xdr:to>
      <xdr:col>4</xdr:col>
      <xdr:colOff>28575</xdr:colOff>
      <xdr:row>244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CF830F-588B-47CE-B366-22E11646F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263</xdr:row>
      <xdr:rowOff>4762</xdr:rowOff>
    </xdr:from>
    <xdr:to>
      <xdr:col>6</xdr:col>
      <xdr:colOff>0</xdr:colOff>
      <xdr:row>285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3974927-6692-4B33-B091-21F133782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303</xdr:row>
      <xdr:rowOff>4762</xdr:rowOff>
    </xdr:from>
    <xdr:to>
      <xdr:col>7</xdr:col>
      <xdr:colOff>28575</xdr:colOff>
      <xdr:row>324</xdr:row>
      <xdr:rowOff>57150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24586BC-0504-42EC-B8AD-61D280512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176211</xdr:rowOff>
    </xdr:from>
    <xdr:to>
      <xdr:col>20</xdr:col>
      <xdr:colOff>171449</xdr:colOff>
      <xdr:row>33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7DEDA26-11F6-49CC-BAD8-00BC04F94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4761</xdr:rowOff>
    </xdr:from>
    <xdr:to>
      <xdr:col>9</xdr:col>
      <xdr:colOff>266700</xdr:colOff>
      <xdr:row>78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1EE935E-E60B-471E-A7B0-399C03DD9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108</xdr:row>
      <xdr:rowOff>4760</xdr:rowOff>
    </xdr:from>
    <xdr:to>
      <xdr:col>15</xdr:col>
      <xdr:colOff>714375</xdr:colOff>
      <xdr:row>139</xdr:row>
      <xdr:rowOff>9525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DE5EA16-EAC8-4841-965D-FF342E19F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28574</xdr:colOff>
      <xdr:row>217</xdr:row>
      <xdr:rowOff>185736</xdr:rowOff>
    </xdr:from>
    <xdr:to>
      <xdr:col>12</xdr:col>
      <xdr:colOff>600074</xdr:colOff>
      <xdr:row>239</xdr:row>
      <xdr:rowOff>171449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287651F-56B9-46A3-9F42-A199DA7E1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254</xdr:row>
      <xdr:rowOff>14287</xdr:rowOff>
    </xdr:from>
    <xdr:to>
      <xdr:col>12</xdr:col>
      <xdr:colOff>9525</xdr:colOff>
      <xdr:row>277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A8109AE-5CA9-4BF7-9F7A-ABA45ED96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281</xdr:row>
      <xdr:rowOff>0</xdr:rowOff>
    </xdr:from>
    <xdr:to>
      <xdr:col>12</xdr:col>
      <xdr:colOff>9525</xdr:colOff>
      <xdr:row>304</xdr:row>
      <xdr:rowOff>128588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287FFECD-5720-46E1-B179-483DD5F5F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308</xdr:row>
      <xdr:rowOff>0</xdr:rowOff>
    </xdr:from>
    <xdr:to>
      <xdr:col>12</xdr:col>
      <xdr:colOff>9525</xdr:colOff>
      <xdr:row>331</xdr:row>
      <xdr:rowOff>128588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20FE6A4-5879-48D3-9C51-6A504E3F8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28576</xdr:colOff>
      <xdr:row>344</xdr:row>
      <xdr:rowOff>4761</xdr:rowOff>
    </xdr:from>
    <xdr:to>
      <xdr:col>14</xdr:col>
      <xdr:colOff>9526</xdr:colOff>
      <xdr:row>371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968572C-6818-4C65-BCB0-2141919B6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154</xdr:row>
      <xdr:rowOff>176212</xdr:rowOff>
    </xdr:from>
    <xdr:to>
      <xdr:col>13</xdr:col>
      <xdr:colOff>28575</xdr:colOff>
      <xdr:row>177</xdr:row>
      <xdr:rowOff>161925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F3E1DCD-B379-4510-B261-051D31EA3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184</xdr:row>
      <xdr:rowOff>176211</xdr:rowOff>
    </xdr:from>
    <xdr:to>
      <xdr:col>12</xdr:col>
      <xdr:colOff>133349</xdr:colOff>
      <xdr:row>207</xdr:row>
      <xdr:rowOff>104774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BD0D70E-3699-44AE-95AF-9039F50E8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384.873025231478" createdVersion="6" refreshedVersion="6" minRefreshableVersion="3" recordCount="2008" xr:uid="{14229FF3-F97A-4EFE-AE8E-2A1E720E3445}">
  <cacheSource type="worksheet">
    <worksheetSource name="Копия_20206"/>
  </cacheSource>
  <cacheFields count="16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onth" numFmtId="0">
      <sharedItems containsSemiMixedTypes="0" containsString="0" containsNumber="1" containsInteger="1" minValue="1" maxValue="12" count="12">
        <n v="11"/>
        <n v="12"/>
        <n v="1"/>
        <n v="2"/>
        <n v="3"/>
        <n v="4"/>
        <n v="5"/>
        <n v="6"/>
        <n v="7"/>
        <n v="8"/>
        <n v="9"/>
        <n v="10"/>
      </sharedItems>
    </cacheField>
    <cacheField name="Channel" numFmtId="0">
      <sharedItems count="3">
        <s v="Supermarkets"/>
        <s v="Hypermarkets"/>
        <s v="Minimarkets"/>
      </sharedItems>
    </cacheField>
    <cacheField name="Brand" numFmtId="0">
      <sharedItems count="41">
        <s v="Beige"/>
        <s v="Black"/>
        <s v="Blue"/>
        <s v="Brown"/>
        <s v="Deep"/>
        <s v="Delicate"/>
        <s v="Dim"/>
        <s v="Glossy"/>
        <s v="Golden"/>
        <s v="Green"/>
        <s v="Grey"/>
        <s v="Khaki"/>
        <s v="Lime"/>
        <s v="Mat"/>
        <s v="Moderate"/>
        <s v="Orange"/>
        <s v="Pale"/>
        <s v="Pastel"/>
        <s v="Pink"/>
        <s v="Purple"/>
        <s v="Red"/>
        <s v="Salmon"/>
        <s v="Silver"/>
        <s v="Teal"/>
        <s v="Virulent"/>
        <s v="Vivid"/>
        <s v="White"/>
        <s v="Yellow"/>
        <s v="Cotton"/>
        <s v="Cream"/>
        <s v="Lilac"/>
        <s v="Magenta"/>
        <s v="Rosy"/>
        <s v="Snow"/>
        <s v="Bone"/>
        <s v="Daisy"/>
        <s v="Linen"/>
        <s v="Macaroon"/>
        <s v="Pearl"/>
        <s v="Powder"/>
        <s v="Rice"/>
      </sharedItems>
    </cacheField>
    <cacheField name="Weight range" numFmtId="0">
      <sharedItems count="8">
        <s v="200-249G"/>
        <s v="350-399G"/>
        <s v="400-599G"/>
        <s v="300-349G"/>
        <s v="600-899G"/>
        <s v="&lt;200G"/>
        <s v="250-299G"/>
        <s v="100-199G" u="1"/>
      </sharedItems>
    </cacheField>
    <cacheField name="Units (in 1000)" numFmtId="0">
      <sharedItems containsSemiMixedTypes="0" containsString="0" containsNumber="1" minValue="1E-4" maxValue="211.82910000000001"/>
    </cacheField>
    <cacheField name="Value (in 1000 rub)" numFmtId="0">
      <sharedItems containsSemiMixedTypes="0" containsString="0" containsNumber="1" minValue="7.0280000000000004E-3" maxValue="18673.789433000002"/>
    </cacheField>
    <cacheField name="Volume (in 1000 kg)" numFmtId="0">
      <sharedItems containsMixedTypes="1" containsNumber="1" minValue="1E-4" maxValue="68.435000000000002"/>
    </cacheField>
    <cacheField name="Number of stores" numFmtId="0">
      <sharedItems containsSemiMixedTypes="0" containsString="0" containsNumber="1" containsInteger="1" minValue="0" maxValue="19290"/>
    </cacheField>
    <cacheField name="Units_outlier" numFmtId="0">
      <sharedItems/>
    </cacheField>
    <cacheField name="Value_outlier" numFmtId="0">
      <sharedItems/>
    </cacheField>
    <cacheField name="Volume_outlier" numFmtId="0">
      <sharedItems/>
    </cacheField>
    <cacheField name="Numb_stores_outlier" numFmtId="0">
      <sharedItems/>
    </cacheField>
    <cacheField name="%" numFmtId="0" formula="'Value (in 1000 rub)'" databaseField="0"/>
    <cacheField name="off-take" numFmtId="0" formula="'Units (in 1000)'*1000/'Number of stores'" databaseField="0"/>
    <cacheField name="Avg month" numFmtId="0" formula="'Value (in 1000 rub)'/'Units (in 1000)'" databaseField="0"/>
  </cacheFields>
  <extLst>
    <ext xmlns:x14="http://schemas.microsoft.com/office/spreadsheetml/2009/9/main" uri="{725AE2AE-9491-48be-B2B4-4EB974FC3084}">
      <x14:pivotCacheDefinition pivotCacheId="8740995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8">
  <r>
    <x v="0"/>
    <x v="0"/>
    <x v="0"/>
    <x v="0"/>
    <x v="0"/>
    <n v="0.14299999999999999"/>
    <n v="65.889532000000003"/>
    <n v="2.86E-2"/>
    <n v="0"/>
    <s v="not outlier"/>
    <s v="not outlier"/>
    <s v="not outlier"/>
    <s v="not outlier"/>
  </r>
  <r>
    <x v="0"/>
    <x v="0"/>
    <x v="0"/>
    <x v="0"/>
    <x v="1"/>
    <n v="0.31309999999999999"/>
    <n v="155.94172499999999"/>
    <n v="0.1096"/>
    <n v="0"/>
    <s v="not outlier"/>
    <s v="not outlier"/>
    <s v="not outlier"/>
    <s v="not outlier"/>
  </r>
  <r>
    <x v="0"/>
    <x v="1"/>
    <x v="0"/>
    <x v="0"/>
    <x v="0"/>
    <n v="7.6499999999999999E-2"/>
    <n v="35.958112"/>
    <n v="1.5299999999999999E-2"/>
    <n v="0"/>
    <s v="not outlier"/>
    <s v="not outlier"/>
    <s v="not outlier"/>
    <s v="not outlier"/>
  </r>
  <r>
    <x v="0"/>
    <x v="1"/>
    <x v="0"/>
    <x v="0"/>
    <x v="1"/>
    <n v="0.28489999999999999"/>
    <n v="140.160417"/>
    <n v="9.9699999999999997E-2"/>
    <n v="0"/>
    <s v="not outlier"/>
    <s v="not outlier"/>
    <s v="not outlier"/>
    <s v="not outlier"/>
  </r>
  <r>
    <x v="0"/>
    <x v="2"/>
    <x v="1"/>
    <x v="1"/>
    <x v="0"/>
    <n v="10.0639"/>
    <n v="573.12875799999995"/>
    <n v="2.3147000000000002"/>
    <n v="547"/>
    <s v="not outlier"/>
    <s v="not outlier"/>
    <s v="not outlier"/>
    <s v="not outlier"/>
  </r>
  <r>
    <x v="0"/>
    <x v="2"/>
    <x v="1"/>
    <x v="1"/>
    <x v="2"/>
    <n v="5.1222000000000003"/>
    <n v="559.44437900000003"/>
    <n v="2.3050000000000002"/>
    <n v="325"/>
    <s v="not outlier"/>
    <s v="not outlier"/>
    <s v="not outlier"/>
    <s v="not outlier"/>
  </r>
  <r>
    <x v="0"/>
    <x v="2"/>
    <x v="2"/>
    <x v="1"/>
    <x v="0"/>
    <n v="4.3365999999999998"/>
    <n v="319.95177100000001"/>
    <n v="0.99739999999999995"/>
    <n v="1627"/>
    <s v="not outlier"/>
    <s v="not outlier"/>
    <s v="not outlier"/>
    <s v="not outlier"/>
  </r>
  <r>
    <x v="0"/>
    <x v="2"/>
    <x v="2"/>
    <x v="1"/>
    <x v="2"/>
    <n v="1.6089"/>
    <n v="234.200456"/>
    <n v="0.72389999999999999"/>
    <n v="514"/>
    <s v="not outlier"/>
    <s v="not outlier"/>
    <s v="not outlier"/>
    <s v="not outlier"/>
  </r>
  <r>
    <x v="0"/>
    <x v="2"/>
    <x v="0"/>
    <x v="1"/>
    <x v="0"/>
    <n v="19.5669"/>
    <n v="1090.341146"/>
    <n v="4.5003000000000002"/>
    <n v="3312"/>
    <s v="not outlier"/>
    <s v="not outlier"/>
    <s v="not outlier"/>
    <s v="outlier"/>
  </r>
  <r>
    <x v="0"/>
    <x v="2"/>
    <x v="0"/>
    <x v="1"/>
    <x v="2"/>
    <n v="7.0743"/>
    <n v="918.30978900000002"/>
    <n v="3.1833999999999998"/>
    <n v="1018"/>
    <s v="not outlier"/>
    <s v="not outlier"/>
    <s v="not outlier"/>
    <s v="not outlier"/>
  </r>
  <r>
    <x v="0"/>
    <x v="3"/>
    <x v="1"/>
    <x v="1"/>
    <x v="0"/>
    <n v="16.149899999999999"/>
    <n v="874.32413499999996"/>
    <n v="3.7145000000000001"/>
    <n v="525"/>
    <s v="not outlier"/>
    <s v="not outlier"/>
    <s v="not outlier"/>
    <s v="not outlier"/>
  </r>
  <r>
    <x v="0"/>
    <x v="3"/>
    <x v="1"/>
    <x v="1"/>
    <x v="2"/>
    <n v="3.4373999999999998"/>
    <n v="443.55682300000001"/>
    <n v="1.5468"/>
    <n v="319"/>
    <s v="not outlier"/>
    <s v="not outlier"/>
    <s v="not outlier"/>
    <s v="not outlier"/>
  </r>
  <r>
    <x v="0"/>
    <x v="3"/>
    <x v="2"/>
    <x v="1"/>
    <x v="0"/>
    <n v="2.6972"/>
    <n v="195.33986200000001"/>
    <n v="0.62039999999999995"/>
    <n v="1549"/>
    <s v="not outlier"/>
    <s v="not outlier"/>
    <s v="not outlier"/>
    <s v="not outlier"/>
  </r>
  <r>
    <x v="0"/>
    <x v="3"/>
    <x v="2"/>
    <x v="1"/>
    <x v="2"/>
    <n v="1.1556999999999999"/>
    <n v="203.56771599999999"/>
    <n v="0.52010000000000001"/>
    <n v="518"/>
    <s v="not outlier"/>
    <s v="not outlier"/>
    <s v="not outlier"/>
    <s v="not outlier"/>
  </r>
  <r>
    <x v="0"/>
    <x v="3"/>
    <x v="0"/>
    <x v="1"/>
    <x v="0"/>
    <n v="9.44"/>
    <n v="564.161924"/>
    <n v="2.1711999999999998"/>
    <n v="2546"/>
    <s v="not outlier"/>
    <s v="not outlier"/>
    <s v="not outlier"/>
    <s v="not outlier"/>
  </r>
  <r>
    <x v="0"/>
    <x v="3"/>
    <x v="0"/>
    <x v="1"/>
    <x v="2"/>
    <n v="5.2153"/>
    <n v="824.08276799999999"/>
    <n v="2.3468"/>
    <n v="1093"/>
    <s v="not outlier"/>
    <s v="not outlier"/>
    <s v="not outlier"/>
    <s v="not outlier"/>
  </r>
  <r>
    <x v="0"/>
    <x v="4"/>
    <x v="1"/>
    <x v="1"/>
    <x v="0"/>
    <n v="11.618499999999999"/>
    <n v="677.017966"/>
    <n v="2.6722999999999999"/>
    <n v="503"/>
    <s v="not outlier"/>
    <s v="not outlier"/>
    <s v="not outlier"/>
    <s v="not outlier"/>
  </r>
  <r>
    <x v="0"/>
    <x v="4"/>
    <x v="1"/>
    <x v="1"/>
    <x v="3"/>
    <n v="5.9999999999999995E-4"/>
    <n v="4.2303E-2"/>
    <n v="2.0000000000000001E-4"/>
    <n v="2"/>
    <s v="not outlier"/>
    <s v="not outlier"/>
    <s v="not outlier"/>
    <s v="not outlier"/>
  </r>
  <r>
    <x v="0"/>
    <x v="4"/>
    <x v="1"/>
    <x v="1"/>
    <x v="2"/>
    <n v="2.8369"/>
    <n v="433.00613600000003"/>
    <n v="1.2766"/>
    <n v="301"/>
    <s v="not outlier"/>
    <s v="not outlier"/>
    <s v="not outlier"/>
    <s v="not outlier"/>
  </r>
  <r>
    <x v="0"/>
    <x v="4"/>
    <x v="1"/>
    <x v="1"/>
    <x v="4"/>
    <n v="5.9999999999999995E-4"/>
    <n v="9.6673999999999996E-2"/>
    <n v="2.9999999999999997E-4"/>
    <n v="1"/>
    <s v="not outlier"/>
    <s v="not outlier"/>
    <s v="not outlier"/>
    <s v="not outlier"/>
  </r>
  <r>
    <x v="0"/>
    <x v="4"/>
    <x v="2"/>
    <x v="1"/>
    <x v="0"/>
    <n v="4.2058"/>
    <n v="285.33204799999999"/>
    <n v="0.96730000000000005"/>
    <n v="1440"/>
    <s v="not outlier"/>
    <s v="not outlier"/>
    <s v="not outlier"/>
    <s v="not outlier"/>
  </r>
  <r>
    <x v="0"/>
    <x v="4"/>
    <x v="2"/>
    <x v="1"/>
    <x v="2"/>
    <n v="1.0539000000000001"/>
    <n v="177.54775599999999"/>
    <n v="0.47439999999999999"/>
    <n v="434"/>
    <s v="not outlier"/>
    <s v="not outlier"/>
    <s v="not outlier"/>
    <s v="not outlier"/>
  </r>
  <r>
    <x v="0"/>
    <x v="4"/>
    <x v="0"/>
    <x v="1"/>
    <x v="0"/>
    <n v="8.6386000000000003"/>
    <n v="518.47326399999997"/>
    <n v="1.9869000000000001"/>
    <n v="1801"/>
    <s v="not outlier"/>
    <s v="not outlier"/>
    <s v="not outlier"/>
    <s v="not outlier"/>
  </r>
  <r>
    <x v="0"/>
    <x v="4"/>
    <x v="0"/>
    <x v="1"/>
    <x v="2"/>
    <n v="4.9756999999999998"/>
    <n v="855.17175999999995"/>
    <n v="2.2391000000000001"/>
    <n v="1471"/>
    <s v="not outlier"/>
    <s v="not outlier"/>
    <s v="not outlier"/>
    <s v="not outlier"/>
  </r>
  <r>
    <x v="0"/>
    <x v="5"/>
    <x v="1"/>
    <x v="1"/>
    <x v="0"/>
    <n v="10.8278"/>
    <n v="634.09897699999999"/>
    <n v="2.4904000000000002"/>
    <n v="482"/>
    <s v="not outlier"/>
    <s v="not outlier"/>
    <s v="not outlier"/>
    <s v="not outlier"/>
  </r>
  <r>
    <x v="0"/>
    <x v="5"/>
    <x v="1"/>
    <x v="1"/>
    <x v="3"/>
    <n v="1E-4"/>
    <n v="7.0280000000000004E-3"/>
    <s v="0"/>
    <n v="0"/>
    <s v="not outlier"/>
    <s v="not outlier"/>
    <s v="outlier"/>
    <s v="not outlier"/>
  </r>
  <r>
    <x v="0"/>
    <x v="5"/>
    <x v="1"/>
    <x v="1"/>
    <x v="2"/>
    <n v="2.0152000000000001"/>
    <n v="337.34259300000002"/>
    <n v="0.90690000000000004"/>
    <n v="302"/>
    <s v="not outlier"/>
    <s v="not outlier"/>
    <s v="not outlier"/>
    <s v="not outlier"/>
  </r>
  <r>
    <x v="0"/>
    <x v="5"/>
    <x v="1"/>
    <x v="1"/>
    <x v="4"/>
    <n v="1E-4"/>
    <n v="1.6112000000000001E-2"/>
    <n v="1E-4"/>
    <n v="2"/>
    <s v="not outlier"/>
    <s v="not outlier"/>
    <s v="not outlier"/>
    <s v="not outlier"/>
  </r>
  <r>
    <x v="0"/>
    <x v="5"/>
    <x v="2"/>
    <x v="1"/>
    <x v="0"/>
    <n v="3.1583999999999999"/>
    <n v="225.61309"/>
    <n v="0.72640000000000005"/>
    <n v="1774"/>
    <s v="not outlier"/>
    <s v="not outlier"/>
    <s v="not outlier"/>
    <s v="not outlier"/>
  </r>
  <r>
    <x v="0"/>
    <x v="5"/>
    <x v="2"/>
    <x v="1"/>
    <x v="2"/>
    <n v="1.2491000000000001"/>
    <n v="242.389454"/>
    <n v="0.56210000000000004"/>
    <n v="580"/>
    <s v="not outlier"/>
    <s v="not outlier"/>
    <s v="not outlier"/>
    <s v="not outlier"/>
  </r>
  <r>
    <x v="0"/>
    <x v="5"/>
    <x v="0"/>
    <x v="1"/>
    <x v="0"/>
    <n v="4.8246000000000002"/>
    <n v="343.43048499999998"/>
    <n v="1.1095999999999999"/>
    <n v="1399"/>
    <s v="not outlier"/>
    <s v="not outlier"/>
    <s v="not outlier"/>
    <s v="not outlier"/>
  </r>
  <r>
    <x v="0"/>
    <x v="5"/>
    <x v="0"/>
    <x v="1"/>
    <x v="2"/>
    <n v="3.4998"/>
    <n v="654.63754700000004"/>
    <n v="1.5748"/>
    <n v="1473"/>
    <s v="not outlier"/>
    <s v="not outlier"/>
    <s v="not outlier"/>
    <s v="not outlier"/>
  </r>
  <r>
    <x v="0"/>
    <x v="6"/>
    <x v="1"/>
    <x v="1"/>
    <x v="0"/>
    <n v="12.0351"/>
    <n v="665.216812"/>
    <n v="2.7681"/>
    <n v="478"/>
    <s v="not outlier"/>
    <s v="not outlier"/>
    <s v="not outlier"/>
    <s v="not outlier"/>
  </r>
  <r>
    <x v="0"/>
    <x v="6"/>
    <x v="1"/>
    <x v="1"/>
    <x v="2"/>
    <n v="1.8037000000000001"/>
    <n v="280.36658499999999"/>
    <n v="0.81169999999999998"/>
    <n v="285"/>
    <s v="not outlier"/>
    <s v="not outlier"/>
    <s v="not outlier"/>
    <s v="not outlier"/>
  </r>
  <r>
    <x v="0"/>
    <x v="6"/>
    <x v="2"/>
    <x v="1"/>
    <x v="0"/>
    <n v="3.7982"/>
    <n v="283.98974800000002"/>
    <n v="0.87360000000000004"/>
    <n v="1569"/>
    <s v="not outlier"/>
    <s v="not outlier"/>
    <s v="not outlier"/>
    <s v="not outlier"/>
  </r>
  <r>
    <x v="0"/>
    <x v="6"/>
    <x v="2"/>
    <x v="1"/>
    <x v="2"/>
    <n v="0.60529999999999995"/>
    <n v="112.811286"/>
    <n v="0.27239999999999998"/>
    <n v="330"/>
    <s v="not outlier"/>
    <s v="not outlier"/>
    <s v="not outlier"/>
    <s v="not outlier"/>
  </r>
  <r>
    <x v="0"/>
    <x v="6"/>
    <x v="0"/>
    <x v="1"/>
    <x v="0"/>
    <n v="8.3301999999999996"/>
    <n v="493.35294499999998"/>
    <n v="1.9158999999999999"/>
    <n v="1621"/>
    <s v="not outlier"/>
    <s v="not outlier"/>
    <s v="not outlier"/>
    <s v="not outlier"/>
  </r>
  <r>
    <x v="0"/>
    <x v="6"/>
    <x v="0"/>
    <x v="1"/>
    <x v="2"/>
    <n v="3.6335999999999999"/>
    <n v="655.26460299999997"/>
    <n v="1.6351"/>
    <n v="1225"/>
    <s v="not outlier"/>
    <s v="not outlier"/>
    <s v="not outlier"/>
    <s v="not outlier"/>
  </r>
  <r>
    <x v="0"/>
    <x v="7"/>
    <x v="1"/>
    <x v="1"/>
    <x v="0"/>
    <n v="10.7218"/>
    <n v="622.22899800000005"/>
    <n v="2.4661"/>
    <n v="490"/>
    <s v="not outlier"/>
    <s v="not outlier"/>
    <s v="not outlier"/>
    <s v="not outlier"/>
  </r>
  <r>
    <x v="0"/>
    <x v="7"/>
    <x v="1"/>
    <x v="1"/>
    <x v="2"/>
    <n v="1.0215000000000001"/>
    <n v="160.39298400000001"/>
    <n v="0.4597"/>
    <n v="222"/>
    <s v="not outlier"/>
    <s v="not outlier"/>
    <s v="not outlier"/>
    <s v="not outlier"/>
  </r>
  <r>
    <x v="0"/>
    <x v="7"/>
    <x v="2"/>
    <x v="1"/>
    <x v="0"/>
    <n v="3.3243999999999998"/>
    <n v="262.77419300000003"/>
    <n v="0.76459999999999995"/>
    <n v="1783"/>
    <s v="not outlier"/>
    <s v="not outlier"/>
    <s v="not outlier"/>
    <s v="not outlier"/>
  </r>
  <r>
    <x v="0"/>
    <x v="7"/>
    <x v="2"/>
    <x v="1"/>
    <x v="2"/>
    <n v="0.58250000000000002"/>
    <n v="119.82169399999999"/>
    <n v="0.2621"/>
    <n v="235"/>
    <s v="not outlier"/>
    <s v="not outlier"/>
    <s v="not outlier"/>
    <s v="not outlier"/>
  </r>
  <r>
    <x v="0"/>
    <x v="7"/>
    <x v="0"/>
    <x v="1"/>
    <x v="0"/>
    <n v="4.3128000000000002"/>
    <n v="302.101449"/>
    <n v="0.9919"/>
    <n v="1587"/>
    <s v="not outlier"/>
    <s v="not outlier"/>
    <s v="not outlier"/>
    <s v="not outlier"/>
  </r>
  <r>
    <x v="0"/>
    <x v="7"/>
    <x v="0"/>
    <x v="1"/>
    <x v="2"/>
    <n v="3.1105"/>
    <n v="565.05665799999997"/>
    <n v="1.3996999999999999"/>
    <n v="1088"/>
    <s v="not outlier"/>
    <s v="not outlier"/>
    <s v="not outlier"/>
    <s v="not outlier"/>
  </r>
  <r>
    <x v="0"/>
    <x v="8"/>
    <x v="1"/>
    <x v="1"/>
    <x v="0"/>
    <n v="7.9988000000000001"/>
    <n v="472.15317099999999"/>
    <n v="1.8396999999999999"/>
    <n v="475"/>
    <s v="not outlier"/>
    <s v="not outlier"/>
    <s v="not outlier"/>
    <s v="not outlier"/>
  </r>
  <r>
    <x v="0"/>
    <x v="8"/>
    <x v="1"/>
    <x v="1"/>
    <x v="2"/>
    <n v="0.70979999999999999"/>
    <n v="116.37331399999999"/>
    <n v="0.31940000000000002"/>
    <n v="166"/>
    <s v="not outlier"/>
    <s v="not outlier"/>
    <s v="not outlier"/>
    <s v="not outlier"/>
  </r>
  <r>
    <x v="0"/>
    <x v="8"/>
    <x v="2"/>
    <x v="1"/>
    <x v="0"/>
    <n v="2.8536999999999999"/>
    <n v="235.936746"/>
    <n v="0.65639999999999998"/>
    <n v="1216"/>
    <s v="not outlier"/>
    <s v="not outlier"/>
    <s v="not outlier"/>
    <s v="not outlier"/>
  </r>
  <r>
    <x v="0"/>
    <x v="8"/>
    <x v="2"/>
    <x v="1"/>
    <x v="2"/>
    <n v="1.1923999999999999"/>
    <n v="193.56644"/>
    <n v="0.53659999999999997"/>
    <n v="292"/>
    <s v="not outlier"/>
    <s v="not outlier"/>
    <s v="not outlier"/>
    <s v="not outlier"/>
  </r>
  <r>
    <x v="0"/>
    <x v="8"/>
    <x v="0"/>
    <x v="1"/>
    <x v="0"/>
    <n v="8.3302999999999994"/>
    <n v="521.91700200000002"/>
    <n v="1.9159999999999999"/>
    <n v="1689"/>
    <s v="not outlier"/>
    <s v="not outlier"/>
    <s v="not outlier"/>
    <s v="not outlier"/>
  </r>
  <r>
    <x v="0"/>
    <x v="8"/>
    <x v="0"/>
    <x v="1"/>
    <x v="2"/>
    <n v="2.7616999999999998"/>
    <n v="499.18323700000002"/>
    <n v="1.2427999999999999"/>
    <n v="1130"/>
    <s v="not outlier"/>
    <s v="not outlier"/>
    <s v="not outlier"/>
    <s v="not outlier"/>
  </r>
  <r>
    <x v="0"/>
    <x v="9"/>
    <x v="1"/>
    <x v="1"/>
    <x v="0"/>
    <n v="6.5110000000000001"/>
    <n v="386.054146"/>
    <n v="1.4975000000000001"/>
    <n v="461"/>
    <s v="not outlier"/>
    <s v="not outlier"/>
    <s v="not outlier"/>
    <s v="not outlier"/>
  </r>
  <r>
    <x v="0"/>
    <x v="9"/>
    <x v="1"/>
    <x v="1"/>
    <x v="2"/>
    <n v="2.0055999999999998"/>
    <n v="152.672372"/>
    <n v="0.90249999999999997"/>
    <n v="106"/>
    <s v="not outlier"/>
    <s v="not outlier"/>
    <s v="not outlier"/>
    <s v="not outlier"/>
  </r>
  <r>
    <x v="0"/>
    <x v="9"/>
    <x v="2"/>
    <x v="1"/>
    <x v="0"/>
    <n v="3.2772999999999999"/>
    <n v="258.94276300000001"/>
    <n v="0.75380000000000003"/>
    <n v="1415"/>
    <s v="not outlier"/>
    <s v="not outlier"/>
    <s v="not outlier"/>
    <s v="not outlier"/>
  </r>
  <r>
    <x v="0"/>
    <x v="9"/>
    <x v="2"/>
    <x v="1"/>
    <x v="2"/>
    <n v="1.2451000000000001"/>
    <n v="129.59633500000001"/>
    <n v="0.56040000000000001"/>
    <n v="250"/>
    <s v="not outlier"/>
    <s v="not outlier"/>
    <s v="not outlier"/>
    <s v="not outlier"/>
  </r>
  <r>
    <x v="0"/>
    <x v="9"/>
    <x v="0"/>
    <x v="1"/>
    <x v="0"/>
    <n v="5.6584000000000003"/>
    <n v="363.135918"/>
    <n v="1.3013999999999999"/>
    <n v="1584"/>
    <s v="not outlier"/>
    <s v="not outlier"/>
    <s v="not outlier"/>
    <s v="not outlier"/>
  </r>
  <r>
    <x v="0"/>
    <x v="9"/>
    <x v="0"/>
    <x v="1"/>
    <x v="2"/>
    <n v="3.9685000000000001"/>
    <n v="436.58911699999999"/>
    <n v="1.7858000000000001"/>
    <n v="872"/>
    <s v="not outlier"/>
    <s v="not outlier"/>
    <s v="not outlier"/>
    <s v="not outlier"/>
  </r>
  <r>
    <x v="0"/>
    <x v="10"/>
    <x v="1"/>
    <x v="1"/>
    <x v="0"/>
    <n v="6.6517999999999997"/>
    <n v="372.04314399999998"/>
    <n v="1.5299"/>
    <n v="454"/>
    <s v="not outlier"/>
    <s v="not outlier"/>
    <s v="not outlier"/>
    <s v="not outlier"/>
  </r>
  <r>
    <x v="0"/>
    <x v="10"/>
    <x v="1"/>
    <x v="1"/>
    <x v="2"/>
    <n v="0.54859999999999998"/>
    <n v="60.611303999999997"/>
    <n v="0.24690000000000001"/>
    <n v="91"/>
    <s v="not outlier"/>
    <s v="not outlier"/>
    <s v="not outlier"/>
    <s v="not outlier"/>
  </r>
  <r>
    <x v="0"/>
    <x v="10"/>
    <x v="2"/>
    <x v="1"/>
    <x v="0"/>
    <n v="2.3517999999999999"/>
    <n v="180.63085599999999"/>
    <n v="0.54090000000000005"/>
    <n v="1360"/>
    <s v="not outlier"/>
    <s v="not outlier"/>
    <s v="not outlier"/>
    <s v="not outlier"/>
  </r>
  <r>
    <x v="0"/>
    <x v="10"/>
    <x v="2"/>
    <x v="1"/>
    <x v="2"/>
    <n v="0.87"/>
    <n v="156.61625699999999"/>
    <n v="0.39150000000000001"/>
    <n v="319"/>
    <s v="not outlier"/>
    <s v="not outlier"/>
    <s v="not outlier"/>
    <s v="not outlier"/>
  </r>
  <r>
    <x v="0"/>
    <x v="10"/>
    <x v="0"/>
    <x v="1"/>
    <x v="0"/>
    <n v="5.6877000000000004"/>
    <n v="372.51325400000002"/>
    <n v="1.3082"/>
    <n v="1505"/>
    <s v="not outlier"/>
    <s v="not outlier"/>
    <s v="not outlier"/>
    <s v="not outlier"/>
  </r>
  <r>
    <x v="0"/>
    <x v="10"/>
    <x v="0"/>
    <x v="1"/>
    <x v="2"/>
    <n v="1.8560000000000001"/>
    <n v="283.97569099999998"/>
    <n v="0.83520000000000005"/>
    <n v="847"/>
    <s v="not outlier"/>
    <s v="not outlier"/>
    <s v="not outlier"/>
    <s v="not outlier"/>
  </r>
  <r>
    <x v="0"/>
    <x v="11"/>
    <x v="1"/>
    <x v="1"/>
    <x v="0"/>
    <n v="7.4771000000000001"/>
    <n v="414.76454100000001"/>
    <n v="1.7197"/>
    <n v="469"/>
    <s v="not outlier"/>
    <s v="not outlier"/>
    <s v="not outlier"/>
    <s v="not outlier"/>
  </r>
  <r>
    <x v="0"/>
    <x v="11"/>
    <x v="1"/>
    <x v="1"/>
    <x v="2"/>
    <n v="0.99029999999999996"/>
    <n v="126.79139000000001"/>
    <n v="0.4456"/>
    <n v="273"/>
    <s v="not outlier"/>
    <s v="not outlier"/>
    <s v="not outlier"/>
    <s v="not outlier"/>
  </r>
  <r>
    <x v="0"/>
    <x v="11"/>
    <x v="2"/>
    <x v="1"/>
    <x v="0"/>
    <n v="2.4861"/>
    <n v="194.28221400000001"/>
    <n v="0.57179999999999997"/>
    <n v="1454"/>
    <s v="not outlier"/>
    <s v="not outlier"/>
    <s v="not outlier"/>
    <s v="not outlier"/>
  </r>
  <r>
    <x v="0"/>
    <x v="11"/>
    <x v="2"/>
    <x v="1"/>
    <x v="2"/>
    <n v="0.60580000000000001"/>
    <n v="109.80841700000001"/>
    <n v="0.27260000000000001"/>
    <n v="275"/>
    <s v="not outlier"/>
    <s v="not outlier"/>
    <s v="not outlier"/>
    <s v="not outlier"/>
  </r>
  <r>
    <x v="0"/>
    <x v="11"/>
    <x v="0"/>
    <x v="1"/>
    <x v="0"/>
    <n v="7.1821999999999999"/>
    <n v="465.36933099999999"/>
    <n v="1.6518999999999999"/>
    <n v="1585"/>
    <s v="not outlier"/>
    <s v="not outlier"/>
    <s v="not outlier"/>
    <s v="not outlier"/>
  </r>
  <r>
    <x v="0"/>
    <x v="11"/>
    <x v="0"/>
    <x v="1"/>
    <x v="2"/>
    <n v="2.5769000000000002"/>
    <n v="433.62191999999999"/>
    <n v="1.1595"/>
    <n v="1206"/>
    <s v="not outlier"/>
    <s v="not outlier"/>
    <s v="not outlier"/>
    <s v="not outlier"/>
  </r>
  <r>
    <x v="0"/>
    <x v="0"/>
    <x v="1"/>
    <x v="1"/>
    <x v="0"/>
    <n v="4.8132000000000001"/>
    <n v="319.93897399999997"/>
    <n v="1.107"/>
    <n v="476"/>
    <s v="not outlier"/>
    <s v="not outlier"/>
    <s v="not outlier"/>
    <s v="not outlier"/>
  </r>
  <r>
    <x v="0"/>
    <x v="0"/>
    <x v="1"/>
    <x v="1"/>
    <x v="2"/>
    <n v="1.1080000000000001"/>
    <n v="174.65104299999999"/>
    <n v="0.49869999999999998"/>
    <n v="314"/>
    <s v="not outlier"/>
    <s v="not outlier"/>
    <s v="not outlier"/>
    <s v="not outlier"/>
  </r>
  <r>
    <x v="0"/>
    <x v="0"/>
    <x v="2"/>
    <x v="1"/>
    <x v="0"/>
    <n v="2.4161000000000001"/>
    <n v="198.72034400000001"/>
    <n v="0.55569999999999997"/>
    <n v="1520"/>
    <s v="not outlier"/>
    <s v="not outlier"/>
    <s v="not outlier"/>
    <s v="not outlier"/>
  </r>
  <r>
    <x v="0"/>
    <x v="0"/>
    <x v="2"/>
    <x v="1"/>
    <x v="2"/>
    <n v="0.64219999999999999"/>
    <n v="111.463019"/>
    <n v="0.28899999999999998"/>
    <n v="362"/>
    <s v="not outlier"/>
    <s v="not outlier"/>
    <s v="not outlier"/>
    <s v="not outlier"/>
  </r>
  <r>
    <x v="0"/>
    <x v="0"/>
    <x v="0"/>
    <x v="1"/>
    <x v="0"/>
    <n v="5.5669000000000004"/>
    <n v="347.846203"/>
    <n v="1.2804"/>
    <n v="1415"/>
    <s v="not outlier"/>
    <s v="not outlier"/>
    <s v="not outlier"/>
    <s v="not outlier"/>
  </r>
  <r>
    <x v="0"/>
    <x v="0"/>
    <x v="0"/>
    <x v="1"/>
    <x v="2"/>
    <n v="3.2635999999999998"/>
    <n v="537.94231600000001"/>
    <n v="1.4685999999999999"/>
    <n v="1914"/>
    <s v="not outlier"/>
    <s v="not outlier"/>
    <s v="not outlier"/>
    <s v="not outlier"/>
  </r>
  <r>
    <x v="0"/>
    <x v="1"/>
    <x v="1"/>
    <x v="1"/>
    <x v="0"/>
    <n v="9.7942999999999998"/>
    <n v="542.25353700000005"/>
    <n v="2.2526999999999999"/>
    <n v="466"/>
    <s v="not outlier"/>
    <s v="not outlier"/>
    <s v="not outlier"/>
    <s v="not outlier"/>
  </r>
  <r>
    <x v="0"/>
    <x v="1"/>
    <x v="1"/>
    <x v="1"/>
    <x v="2"/>
    <n v="1.4948999999999999"/>
    <n v="208.69973899999999"/>
    <n v="0.67269999999999996"/>
    <n v="341"/>
    <s v="not outlier"/>
    <s v="not outlier"/>
    <s v="not outlier"/>
    <s v="not outlier"/>
  </r>
  <r>
    <x v="0"/>
    <x v="1"/>
    <x v="1"/>
    <x v="1"/>
    <x v="4"/>
    <n v="6.9999999999999999E-4"/>
    <n v="0.125915"/>
    <n v="4.0000000000000002E-4"/>
    <n v="1"/>
    <s v="not outlier"/>
    <s v="not outlier"/>
    <s v="not outlier"/>
    <s v="not outlier"/>
  </r>
  <r>
    <x v="0"/>
    <x v="1"/>
    <x v="2"/>
    <x v="1"/>
    <x v="0"/>
    <n v="3.0648"/>
    <n v="238.161845"/>
    <n v="0.70489999999999997"/>
    <n v="1181"/>
    <s v="not outlier"/>
    <s v="not outlier"/>
    <s v="not outlier"/>
    <s v="not outlier"/>
  </r>
  <r>
    <x v="0"/>
    <x v="1"/>
    <x v="2"/>
    <x v="1"/>
    <x v="2"/>
    <n v="0.66700000000000004"/>
    <n v="117.18423799999999"/>
    <n v="0.30020000000000002"/>
    <n v="439"/>
    <s v="not outlier"/>
    <s v="not outlier"/>
    <s v="not outlier"/>
    <s v="not outlier"/>
  </r>
  <r>
    <x v="0"/>
    <x v="1"/>
    <x v="0"/>
    <x v="1"/>
    <x v="0"/>
    <n v="5.1246999999999998"/>
    <n v="297.62850800000001"/>
    <n v="1.1787000000000001"/>
    <n v="1031"/>
    <s v="not outlier"/>
    <s v="not outlier"/>
    <s v="not outlier"/>
    <s v="not outlier"/>
  </r>
  <r>
    <x v="0"/>
    <x v="1"/>
    <x v="0"/>
    <x v="1"/>
    <x v="3"/>
    <n v="7.7999999999999996E-3"/>
    <n v="0.85269600000000001"/>
    <n v="2.3E-3"/>
    <n v="9"/>
    <s v="not outlier"/>
    <s v="not outlier"/>
    <s v="not outlier"/>
    <s v="not outlier"/>
  </r>
  <r>
    <x v="0"/>
    <x v="1"/>
    <x v="0"/>
    <x v="1"/>
    <x v="2"/>
    <n v="6.2070999999999996"/>
    <n v="923.40991899999995"/>
    <n v="2.7930999999999999"/>
    <n v="2067"/>
    <s v="not outlier"/>
    <s v="not outlier"/>
    <s v="not outlier"/>
    <s v="not outlier"/>
  </r>
  <r>
    <x v="0"/>
    <x v="2"/>
    <x v="1"/>
    <x v="2"/>
    <x v="2"/>
    <n v="16.8368"/>
    <n v="3227.9926559999999"/>
    <n v="6.7346000000000004"/>
    <n v="663"/>
    <s v="not outlier"/>
    <s v="outlier"/>
    <s v="not outlier"/>
    <s v="not outlier"/>
  </r>
  <r>
    <x v="0"/>
    <x v="2"/>
    <x v="2"/>
    <x v="2"/>
    <x v="2"/>
    <n v="14.2126"/>
    <n v="2169.3090109999998"/>
    <n v="5.6848999999999998"/>
    <n v="1776"/>
    <s v="not outlier"/>
    <s v="outlier"/>
    <s v="not outlier"/>
    <s v="not outlier"/>
  </r>
  <r>
    <x v="0"/>
    <x v="2"/>
    <x v="0"/>
    <x v="2"/>
    <x v="2"/>
    <n v="66.142200000000003"/>
    <n v="9564.4037960000005"/>
    <n v="26.456900000000001"/>
    <n v="5157"/>
    <s v="outlier"/>
    <s v="outlier"/>
    <s v="outlier"/>
    <s v="outlier"/>
  </r>
  <r>
    <x v="0"/>
    <x v="3"/>
    <x v="1"/>
    <x v="2"/>
    <x v="2"/>
    <n v="15.797800000000001"/>
    <n v="3177.9073079999998"/>
    <n v="6.319"/>
    <n v="668"/>
    <s v="not outlier"/>
    <s v="outlier"/>
    <s v="not outlier"/>
    <s v="not outlier"/>
  </r>
  <r>
    <x v="0"/>
    <x v="3"/>
    <x v="2"/>
    <x v="2"/>
    <x v="2"/>
    <n v="11.616"/>
    <n v="1969.5568780000001"/>
    <n v="4.6464999999999996"/>
    <n v="1919"/>
    <s v="not outlier"/>
    <s v="not outlier"/>
    <s v="not outlier"/>
    <s v="not outlier"/>
  </r>
  <r>
    <x v="0"/>
    <x v="3"/>
    <x v="0"/>
    <x v="2"/>
    <x v="2"/>
    <n v="30.866900000000001"/>
    <n v="5580.4851070000004"/>
    <n v="12.3467"/>
    <n v="3891"/>
    <s v="outlier"/>
    <s v="outlier"/>
    <s v="outlier"/>
    <s v="outlier"/>
  </r>
  <r>
    <x v="0"/>
    <x v="4"/>
    <x v="1"/>
    <x v="2"/>
    <x v="2"/>
    <n v="17.3306"/>
    <n v="3529.6090760000002"/>
    <n v="6.9321999999999999"/>
    <n v="668"/>
    <s v="not outlier"/>
    <s v="outlier"/>
    <s v="not outlier"/>
    <s v="not outlier"/>
  </r>
  <r>
    <x v="0"/>
    <x v="4"/>
    <x v="2"/>
    <x v="2"/>
    <x v="2"/>
    <n v="10.6065"/>
    <n v="1949.093433"/>
    <n v="4.2427000000000001"/>
    <n v="1612"/>
    <s v="not outlier"/>
    <s v="not outlier"/>
    <s v="not outlier"/>
    <s v="not outlier"/>
  </r>
  <r>
    <x v="0"/>
    <x v="4"/>
    <x v="0"/>
    <x v="2"/>
    <x v="2"/>
    <n v="22.785900000000002"/>
    <n v="4874.6838100000004"/>
    <n v="9.1143999999999998"/>
    <n v="2764"/>
    <s v="not outlier"/>
    <s v="outlier"/>
    <s v="outlier"/>
    <s v="outlier"/>
  </r>
  <r>
    <x v="0"/>
    <x v="5"/>
    <x v="1"/>
    <x v="2"/>
    <x v="2"/>
    <n v="14.688700000000001"/>
    <n v="3008.3285460000002"/>
    <n v="5.8754999999999997"/>
    <n v="671"/>
    <s v="not outlier"/>
    <s v="outlier"/>
    <s v="not outlier"/>
    <s v="not outlier"/>
  </r>
  <r>
    <x v="0"/>
    <x v="5"/>
    <x v="2"/>
    <x v="2"/>
    <x v="2"/>
    <n v="8.3434000000000008"/>
    <n v="1553.383466"/>
    <n v="3.3374000000000001"/>
    <n v="1496"/>
    <s v="not outlier"/>
    <s v="not outlier"/>
    <s v="not outlier"/>
    <s v="not outlier"/>
  </r>
  <r>
    <x v="0"/>
    <x v="5"/>
    <x v="0"/>
    <x v="2"/>
    <x v="2"/>
    <n v="32.749200000000002"/>
    <n v="5927.9103999999998"/>
    <n v="13.0998"/>
    <n v="2316"/>
    <s v="outlier"/>
    <s v="outlier"/>
    <s v="outlier"/>
    <s v="not outlier"/>
  </r>
  <r>
    <x v="0"/>
    <x v="6"/>
    <x v="1"/>
    <x v="2"/>
    <x v="2"/>
    <n v="17.095099999999999"/>
    <n v="3209.643513"/>
    <n v="6.8380999999999998"/>
    <n v="633"/>
    <s v="not outlier"/>
    <s v="outlier"/>
    <s v="not outlier"/>
    <s v="not outlier"/>
  </r>
  <r>
    <x v="0"/>
    <x v="6"/>
    <x v="2"/>
    <x v="2"/>
    <x v="2"/>
    <n v="9.4710999999999999"/>
    <n v="1704.141979"/>
    <n v="3.7885"/>
    <n v="1342"/>
    <s v="not outlier"/>
    <s v="not outlier"/>
    <s v="not outlier"/>
    <s v="not outlier"/>
  </r>
  <r>
    <x v="0"/>
    <x v="6"/>
    <x v="0"/>
    <x v="2"/>
    <x v="2"/>
    <n v="23.846399999999999"/>
    <n v="4815.3788020000002"/>
    <n v="9.5385000000000009"/>
    <n v="2262"/>
    <s v="outlier"/>
    <s v="outlier"/>
    <s v="outlier"/>
    <s v="not outlier"/>
  </r>
  <r>
    <x v="0"/>
    <x v="7"/>
    <x v="1"/>
    <x v="2"/>
    <x v="2"/>
    <n v="13.2913"/>
    <n v="2643.4169510000002"/>
    <n v="5.3166000000000002"/>
    <n v="580"/>
    <s v="not outlier"/>
    <s v="outlier"/>
    <s v="not outlier"/>
    <s v="not outlier"/>
  </r>
  <r>
    <x v="0"/>
    <x v="7"/>
    <x v="2"/>
    <x v="2"/>
    <x v="2"/>
    <n v="5.8056000000000001"/>
    <n v="1161.256081"/>
    <n v="2.3222"/>
    <n v="1295"/>
    <s v="not outlier"/>
    <s v="not outlier"/>
    <s v="not outlier"/>
    <s v="not outlier"/>
  </r>
  <r>
    <x v="0"/>
    <x v="7"/>
    <x v="0"/>
    <x v="2"/>
    <x v="2"/>
    <n v="20.441199999999998"/>
    <n v="4241.4783729999999"/>
    <n v="8.1765000000000008"/>
    <n v="2246"/>
    <s v="not outlier"/>
    <s v="outlier"/>
    <s v="outlier"/>
    <s v="not outlier"/>
  </r>
  <r>
    <x v="0"/>
    <x v="8"/>
    <x v="1"/>
    <x v="2"/>
    <x v="2"/>
    <n v="14.491899999999999"/>
    <n v="2822.8310240000001"/>
    <n v="5.7967000000000004"/>
    <n v="575"/>
    <s v="not outlier"/>
    <s v="outlier"/>
    <s v="not outlier"/>
    <s v="not outlier"/>
  </r>
  <r>
    <x v="0"/>
    <x v="8"/>
    <x v="2"/>
    <x v="2"/>
    <x v="2"/>
    <n v="7.2123999999999997"/>
    <n v="1518.623836"/>
    <n v="2.8849"/>
    <n v="1343"/>
    <s v="not outlier"/>
    <s v="not outlier"/>
    <s v="not outlier"/>
    <s v="not outlier"/>
  </r>
  <r>
    <x v="0"/>
    <x v="8"/>
    <x v="0"/>
    <x v="2"/>
    <x v="2"/>
    <n v="36.377099999999999"/>
    <n v="6144.1652510000004"/>
    <n v="14.5509"/>
    <n v="2354"/>
    <s v="outlier"/>
    <s v="outlier"/>
    <s v="outlier"/>
    <s v="not outlier"/>
  </r>
  <r>
    <x v="0"/>
    <x v="9"/>
    <x v="1"/>
    <x v="2"/>
    <x v="2"/>
    <n v="15.988799999999999"/>
    <n v="3144.0329969999998"/>
    <n v="6.3956"/>
    <n v="580"/>
    <s v="not outlier"/>
    <s v="outlier"/>
    <s v="not outlier"/>
    <s v="not outlier"/>
  </r>
  <r>
    <x v="0"/>
    <x v="9"/>
    <x v="2"/>
    <x v="2"/>
    <x v="2"/>
    <n v="8.3404000000000007"/>
    <n v="1734.232667"/>
    <n v="3.3361000000000001"/>
    <n v="1323"/>
    <s v="not outlier"/>
    <s v="not outlier"/>
    <s v="not outlier"/>
    <s v="not outlier"/>
  </r>
  <r>
    <x v="0"/>
    <x v="9"/>
    <x v="0"/>
    <x v="2"/>
    <x v="2"/>
    <n v="34.6937"/>
    <n v="6101.6734059999999"/>
    <n v="13.8775"/>
    <n v="2016"/>
    <s v="outlier"/>
    <s v="outlier"/>
    <s v="outlier"/>
    <s v="not outlier"/>
  </r>
  <r>
    <x v="0"/>
    <x v="10"/>
    <x v="1"/>
    <x v="2"/>
    <x v="2"/>
    <n v="28.8596"/>
    <n v="4467.3348070000002"/>
    <n v="11.543900000000001"/>
    <n v="646"/>
    <s v="outlier"/>
    <s v="outlier"/>
    <s v="outlier"/>
    <s v="not outlier"/>
  </r>
  <r>
    <x v="0"/>
    <x v="10"/>
    <x v="2"/>
    <x v="2"/>
    <x v="2"/>
    <n v="9.4641000000000002"/>
    <n v="1951.666573"/>
    <n v="3.7856999999999998"/>
    <n v="1363"/>
    <s v="not outlier"/>
    <s v="not outlier"/>
    <s v="not outlier"/>
    <s v="not outlier"/>
  </r>
  <r>
    <x v="0"/>
    <x v="10"/>
    <x v="0"/>
    <x v="2"/>
    <x v="2"/>
    <n v="27.315999999999999"/>
    <n v="5429.4975059999997"/>
    <n v="10.926399999999999"/>
    <n v="2225"/>
    <s v="outlier"/>
    <s v="outlier"/>
    <s v="outlier"/>
    <s v="not outlier"/>
  </r>
  <r>
    <x v="0"/>
    <x v="11"/>
    <x v="1"/>
    <x v="2"/>
    <x v="0"/>
    <n v="1.4E-3"/>
    <n v="0.155886"/>
    <n v="2.9999999999999997E-4"/>
    <n v="2"/>
    <s v="not outlier"/>
    <s v="not outlier"/>
    <s v="not outlier"/>
    <s v="not outlier"/>
  </r>
  <r>
    <x v="0"/>
    <x v="11"/>
    <x v="1"/>
    <x v="2"/>
    <x v="2"/>
    <n v="33.0503"/>
    <n v="5290.4256359999899"/>
    <n v="13.2201"/>
    <n v="649"/>
    <s v="outlier"/>
    <s v="outlier"/>
    <s v="outlier"/>
    <s v="not outlier"/>
  </r>
  <r>
    <x v="0"/>
    <x v="11"/>
    <x v="2"/>
    <x v="2"/>
    <x v="2"/>
    <n v="9.9452999999999996"/>
    <n v="2087.8199810000001"/>
    <n v="3.9780000000000002"/>
    <n v="1419"/>
    <s v="not outlier"/>
    <s v="not outlier"/>
    <s v="not outlier"/>
    <s v="not outlier"/>
  </r>
  <r>
    <x v="0"/>
    <x v="11"/>
    <x v="0"/>
    <x v="2"/>
    <x v="2"/>
    <n v="37.477699999999999"/>
    <n v="6614.2090939999998"/>
    <n v="14.991099999999999"/>
    <n v="1918"/>
    <s v="outlier"/>
    <s v="outlier"/>
    <s v="outlier"/>
    <s v="not outlier"/>
  </r>
  <r>
    <x v="0"/>
    <x v="0"/>
    <x v="1"/>
    <x v="2"/>
    <x v="0"/>
    <n v="2.76E-2"/>
    <n v="3.023822"/>
    <n v="5.4999999999999997E-3"/>
    <n v="4"/>
    <s v="not outlier"/>
    <s v="not outlier"/>
    <s v="not outlier"/>
    <s v="not outlier"/>
  </r>
  <r>
    <x v="0"/>
    <x v="0"/>
    <x v="1"/>
    <x v="2"/>
    <x v="2"/>
    <n v="26.734500000000001"/>
    <n v="4384.7971470000002"/>
    <n v="10.694000000000001"/>
    <n v="645"/>
    <s v="outlier"/>
    <s v="outlier"/>
    <s v="outlier"/>
    <s v="not outlier"/>
  </r>
  <r>
    <x v="0"/>
    <x v="0"/>
    <x v="2"/>
    <x v="2"/>
    <x v="0"/>
    <n v="3.8E-3"/>
    <n v="0.441797"/>
    <n v="6.9999999999999999E-4"/>
    <n v="1"/>
    <s v="not outlier"/>
    <s v="not outlier"/>
    <s v="not outlier"/>
    <s v="not outlier"/>
  </r>
  <r>
    <x v="0"/>
    <x v="0"/>
    <x v="2"/>
    <x v="2"/>
    <x v="2"/>
    <n v="9.3493999999999993"/>
    <n v="1891.763815"/>
    <n v="3.7399"/>
    <n v="1070"/>
    <s v="not outlier"/>
    <s v="not outlier"/>
    <s v="not outlier"/>
    <s v="not outlier"/>
  </r>
  <r>
    <x v="0"/>
    <x v="0"/>
    <x v="0"/>
    <x v="2"/>
    <x v="0"/>
    <n v="2.7000000000000001E-3"/>
    <n v="0.327685"/>
    <n v="5.0000000000000001E-4"/>
    <n v="2"/>
    <s v="not outlier"/>
    <s v="not outlier"/>
    <s v="not outlier"/>
    <s v="not outlier"/>
  </r>
  <r>
    <x v="0"/>
    <x v="0"/>
    <x v="0"/>
    <x v="2"/>
    <x v="2"/>
    <n v="41.174700000000001"/>
    <n v="7167.1561419999998"/>
    <n v="16.47"/>
    <n v="1973"/>
    <s v="outlier"/>
    <s v="outlier"/>
    <s v="outlier"/>
    <s v="not outlier"/>
  </r>
  <r>
    <x v="0"/>
    <x v="1"/>
    <x v="1"/>
    <x v="2"/>
    <x v="0"/>
    <n v="3.9899999999999998E-2"/>
    <n v="4.3746749999999999"/>
    <n v="8.0000000000000002E-3"/>
    <n v="5"/>
    <s v="not outlier"/>
    <s v="not outlier"/>
    <s v="not outlier"/>
    <s v="not outlier"/>
  </r>
  <r>
    <x v="0"/>
    <x v="1"/>
    <x v="1"/>
    <x v="2"/>
    <x v="2"/>
    <n v="40.667499999999997"/>
    <n v="5995.0734069999999"/>
    <n v="16.267099999999999"/>
    <n v="658"/>
    <s v="outlier"/>
    <s v="outlier"/>
    <s v="outlier"/>
    <s v="not outlier"/>
  </r>
  <r>
    <x v="0"/>
    <x v="1"/>
    <x v="2"/>
    <x v="2"/>
    <x v="0"/>
    <n v="1.21E-2"/>
    <n v="1.127402"/>
    <n v="2.5000000000000001E-3"/>
    <n v="2"/>
    <s v="not outlier"/>
    <s v="not outlier"/>
    <s v="not outlier"/>
    <s v="not outlier"/>
  </r>
  <r>
    <x v="0"/>
    <x v="1"/>
    <x v="2"/>
    <x v="2"/>
    <x v="2"/>
    <n v="6.5758000000000001"/>
    <n v="1391.7110399999999"/>
    <n v="2.6303000000000001"/>
    <n v="939"/>
    <s v="not outlier"/>
    <s v="not outlier"/>
    <s v="not outlier"/>
    <s v="not outlier"/>
  </r>
  <r>
    <x v="0"/>
    <x v="1"/>
    <x v="0"/>
    <x v="2"/>
    <x v="0"/>
    <n v="4.0000000000000001E-3"/>
    <n v="0.49345"/>
    <n v="8.0000000000000004E-4"/>
    <n v="2"/>
    <s v="not outlier"/>
    <s v="not outlier"/>
    <s v="not outlier"/>
    <s v="not outlier"/>
  </r>
  <r>
    <x v="0"/>
    <x v="1"/>
    <x v="0"/>
    <x v="2"/>
    <x v="2"/>
    <n v="24.9785"/>
    <n v="4973.5722139999998"/>
    <n v="9.9914000000000005"/>
    <n v="1907"/>
    <s v="outlier"/>
    <s v="outlier"/>
    <s v="outlier"/>
    <s v="not outlier"/>
  </r>
  <r>
    <x v="0"/>
    <x v="2"/>
    <x v="1"/>
    <x v="3"/>
    <x v="2"/>
    <n v="0.32100000000000001"/>
    <n v="50.769759999999998"/>
    <n v="0.12839999999999999"/>
    <n v="0"/>
    <s v="not outlier"/>
    <s v="not outlier"/>
    <s v="not outlier"/>
    <s v="not outlier"/>
  </r>
  <r>
    <x v="0"/>
    <x v="3"/>
    <x v="1"/>
    <x v="3"/>
    <x v="2"/>
    <n v="0.2888"/>
    <n v="46.506610999999999"/>
    <n v="0.11550000000000001"/>
    <n v="70"/>
    <s v="not outlier"/>
    <s v="not outlier"/>
    <s v="not outlier"/>
    <s v="not outlier"/>
  </r>
  <r>
    <x v="0"/>
    <x v="4"/>
    <x v="1"/>
    <x v="3"/>
    <x v="2"/>
    <n v="0.28820000000000001"/>
    <n v="45.010945"/>
    <n v="0.1152"/>
    <n v="0"/>
    <s v="not outlier"/>
    <s v="not outlier"/>
    <s v="not outlier"/>
    <s v="not outlier"/>
  </r>
  <r>
    <x v="0"/>
    <x v="5"/>
    <x v="1"/>
    <x v="3"/>
    <x v="2"/>
    <n v="0.22370000000000001"/>
    <n v="30.341988000000001"/>
    <n v="8.9499999999999996E-2"/>
    <n v="0"/>
    <s v="not outlier"/>
    <s v="not outlier"/>
    <s v="not outlier"/>
    <s v="not outlier"/>
  </r>
  <r>
    <x v="0"/>
    <x v="9"/>
    <x v="1"/>
    <x v="3"/>
    <x v="5"/>
    <n v="0.2349"/>
    <n v="24.720427000000001"/>
    <n v="4.2299999999999997E-2"/>
    <n v="79"/>
    <s v="not outlier"/>
    <s v="not outlier"/>
    <s v="not outlier"/>
    <s v="not outlier"/>
  </r>
  <r>
    <x v="0"/>
    <x v="9"/>
    <x v="1"/>
    <x v="3"/>
    <x v="2"/>
    <n v="8.0199999999999994E-2"/>
    <n v="9.5779779999999999"/>
    <n v="3.2099999999999997E-2"/>
    <n v="40"/>
    <s v="not outlier"/>
    <s v="not outlier"/>
    <s v="not outlier"/>
    <s v="not outlier"/>
  </r>
  <r>
    <x v="0"/>
    <x v="2"/>
    <x v="0"/>
    <x v="4"/>
    <x v="5"/>
    <n v="1.3486"/>
    <n v="387.53728100000001"/>
    <n v="0.25629999999999997"/>
    <n v="100"/>
    <s v="not outlier"/>
    <s v="not outlier"/>
    <s v="not outlier"/>
    <s v="not outlier"/>
  </r>
  <r>
    <x v="0"/>
    <x v="2"/>
    <x v="0"/>
    <x v="4"/>
    <x v="1"/>
    <n v="3.1399999999999997E-2"/>
    <n v="10.497775000000001"/>
    <n v="1.0999999999999999E-2"/>
    <n v="7"/>
    <s v="not outlier"/>
    <s v="not outlier"/>
    <s v="not outlier"/>
    <s v="not outlier"/>
  </r>
  <r>
    <x v="0"/>
    <x v="2"/>
    <x v="0"/>
    <x v="4"/>
    <x v="2"/>
    <n v="7.3400000000000007E-2"/>
    <n v="36.070234999999997"/>
    <n v="3.6700000000000003E-2"/>
    <n v="50"/>
    <s v="not outlier"/>
    <s v="not outlier"/>
    <s v="not outlier"/>
    <s v="not outlier"/>
  </r>
  <r>
    <x v="0"/>
    <x v="3"/>
    <x v="0"/>
    <x v="4"/>
    <x v="5"/>
    <n v="1.7384999999999999"/>
    <n v="457.74386800000002"/>
    <n v="0.33029999999999998"/>
    <n v="108"/>
    <s v="not outlier"/>
    <s v="not outlier"/>
    <s v="not outlier"/>
    <s v="not outlier"/>
  </r>
  <r>
    <x v="0"/>
    <x v="3"/>
    <x v="0"/>
    <x v="4"/>
    <x v="1"/>
    <n v="3.9699999999999999E-2"/>
    <n v="13.110632000000001"/>
    <n v="1.4E-2"/>
    <n v="8"/>
    <s v="not outlier"/>
    <s v="not outlier"/>
    <s v="not outlier"/>
    <s v="not outlier"/>
  </r>
  <r>
    <x v="0"/>
    <x v="3"/>
    <x v="0"/>
    <x v="4"/>
    <x v="2"/>
    <n v="6.8500000000000005E-2"/>
    <n v="33.706556999999997"/>
    <n v="3.4200000000000001E-2"/>
    <n v="40"/>
    <s v="not outlier"/>
    <s v="not outlier"/>
    <s v="not outlier"/>
    <s v="not outlier"/>
  </r>
  <r>
    <x v="0"/>
    <x v="4"/>
    <x v="0"/>
    <x v="4"/>
    <x v="5"/>
    <n v="2.5575999999999999"/>
    <n v="700.96811600000001"/>
    <n v="0.4859"/>
    <n v="111"/>
    <s v="not outlier"/>
    <s v="not outlier"/>
    <s v="not outlier"/>
    <s v="not outlier"/>
  </r>
  <r>
    <x v="0"/>
    <x v="4"/>
    <x v="0"/>
    <x v="4"/>
    <x v="1"/>
    <n v="4.1200000000000001E-2"/>
    <n v="13.251863999999999"/>
    <n v="1.4500000000000001E-2"/>
    <n v="6"/>
    <s v="not outlier"/>
    <s v="not outlier"/>
    <s v="not outlier"/>
    <s v="not outlier"/>
  </r>
  <r>
    <x v="0"/>
    <x v="4"/>
    <x v="0"/>
    <x v="4"/>
    <x v="2"/>
    <n v="8.1799999999999998E-2"/>
    <n v="39.988526"/>
    <n v="4.0800000000000003E-2"/>
    <n v="47"/>
    <s v="not outlier"/>
    <s v="not outlier"/>
    <s v="not outlier"/>
    <s v="not outlier"/>
  </r>
  <r>
    <x v="0"/>
    <x v="5"/>
    <x v="0"/>
    <x v="4"/>
    <x v="5"/>
    <n v="1.6919999999999999"/>
    <n v="457.457559"/>
    <n v="0.32150000000000001"/>
    <n v="115"/>
    <s v="not outlier"/>
    <s v="not outlier"/>
    <s v="not outlier"/>
    <s v="not outlier"/>
  </r>
  <r>
    <x v="0"/>
    <x v="5"/>
    <x v="0"/>
    <x v="4"/>
    <x v="1"/>
    <n v="2.3199999999999998E-2"/>
    <n v="7.4160680000000001"/>
    <n v="8.2000000000000007E-3"/>
    <n v="6"/>
    <s v="not outlier"/>
    <s v="not outlier"/>
    <s v="not outlier"/>
    <s v="not outlier"/>
  </r>
  <r>
    <x v="0"/>
    <x v="5"/>
    <x v="0"/>
    <x v="4"/>
    <x v="2"/>
    <n v="6.3899999999999998E-2"/>
    <n v="31.154171000000002"/>
    <n v="3.1899999999999998E-2"/>
    <n v="54"/>
    <s v="not outlier"/>
    <s v="not outlier"/>
    <s v="not outlier"/>
    <s v="not outlier"/>
  </r>
  <r>
    <x v="0"/>
    <x v="6"/>
    <x v="0"/>
    <x v="4"/>
    <x v="5"/>
    <n v="1.4770000000000001"/>
    <n v="390.84283699999997"/>
    <n v="0.28050000000000003"/>
    <n v="106"/>
    <s v="not outlier"/>
    <s v="not outlier"/>
    <s v="not outlier"/>
    <s v="not outlier"/>
  </r>
  <r>
    <x v="0"/>
    <x v="6"/>
    <x v="0"/>
    <x v="4"/>
    <x v="1"/>
    <n v="2.6700000000000002E-2"/>
    <n v="8.9621270000000006"/>
    <n v="9.2999999999999992E-3"/>
    <n v="5"/>
    <s v="not outlier"/>
    <s v="not outlier"/>
    <s v="not outlier"/>
    <s v="not outlier"/>
  </r>
  <r>
    <x v="0"/>
    <x v="6"/>
    <x v="0"/>
    <x v="4"/>
    <x v="2"/>
    <n v="7.9000000000000001E-2"/>
    <n v="38.584693999999999"/>
    <n v="3.95E-2"/>
    <n v="48"/>
    <s v="not outlier"/>
    <s v="not outlier"/>
    <s v="not outlier"/>
    <s v="not outlier"/>
  </r>
  <r>
    <x v="0"/>
    <x v="7"/>
    <x v="1"/>
    <x v="4"/>
    <x v="5"/>
    <n v="1.1305000000000001"/>
    <n v="55.474507000000003"/>
    <n v="0.21479999999999999"/>
    <n v="82"/>
    <s v="not outlier"/>
    <s v="not outlier"/>
    <s v="not outlier"/>
    <s v="not outlier"/>
  </r>
  <r>
    <x v="0"/>
    <x v="7"/>
    <x v="1"/>
    <x v="4"/>
    <x v="1"/>
    <n v="1.2999999999999999E-3"/>
    <n v="0.42528700000000003"/>
    <n v="5.0000000000000001E-4"/>
    <n v="1"/>
    <s v="not outlier"/>
    <s v="not outlier"/>
    <s v="not outlier"/>
    <s v="not outlier"/>
  </r>
  <r>
    <x v="0"/>
    <x v="7"/>
    <x v="0"/>
    <x v="4"/>
    <x v="5"/>
    <n v="1.7588999999999999"/>
    <n v="476.18338699999998"/>
    <n v="0.3342"/>
    <n v="97"/>
    <s v="not outlier"/>
    <s v="not outlier"/>
    <s v="not outlier"/>
    <s v="not outlier"/>
  </r>
  <r>
    <x v="0"/>
    <x v="7"/>
    <x v="0"/>
    <x v="4"/>
    <x v="1"/>
    <n v="2.4500000000000001E-2"/>
    <n v="7.8485170000000002"/>
    <n v="8.6999999999999994E-3"/>
    <n v="6"/>
    <s v="not outlier"/>
    <s v="not outlier"/>
    <s v="not outlier"/>
    <s v="not outlier"/>
  </r>
  <r>
    <x v="0"/>
    <x v="7"/>
    <x v="0"/>
    <x v="4"/>
    <x v="2"/>
    <n v="5.5800000000000002E-2"/>
    <n v="27.373598000000001"/>
    <n v="2.7900000000000001E-2"/>
    <n v="43"/>
    <s v="not outlier"/>
    <s v="not outlier"/>
    <s v="not outlier"/>
    <s v="not outlier"/>
  </r>
  <r>
    <x v="0"/>
    <x v="8"/>
    <x v="0"/>
    <x v="4"/>
    <x v="5"/>
    <n v="1.0443"/>
    <n v="298.57960200000002"/>
    <n v="0.19839999999999999"/>
    <n v="96"/>
    <s v="not outlier"/>
    <s v="not outlier"/>
    <s v="not outlier"/>
    <s v="not outlier"/>
  </r>
  <r>
    <x v="0"/>
    <x v="8"/>
    <x v="0"/>
    <x v="4"/>
    <x v="1"/>
    <n v="4.4999999999999998E-2"/>
    <n v="9.6203470000000006"/>
    <n v="1.5800000000000002E-2"/>
    <n v="7"/>
    <s v="not outlier"/>
    <s v="not outlier"/>
    <s v="not outlier"/>
    <s v="not outlier"/>
  </r>
  <r>
    <x v="0"/>
    <x v="8"/>
    <x v="0"/>
    <x v="4"/>
    <x v="2"/>
    <n v="4.5199999999999997E-2"/>
    <n v="22.065598000000001"/>
    <n v="2.2599999999999999E-2"/>
    <n v="46"/>
    <s v="not outlier"/>
    <s v="not outlier"/>
    <s v="not outlier"/>
    <s v="not outlier"/>
  </r>
  <r>
    <x v="0"/>
    <x v="9"/>
    <x v="0"/>
    <x v="4"/>
    <x v="5"/>
    <n v="1.2499"/>
    <n v="347.71969200000001"/>
    <n v="0.2374"/>
    <n v="91"/>
    <s v="not outlier"/>
    <s v="not outlier"/>
    <s v="not outlier"/>
    <s v="not outlier"/>
  </r>
  <r>
    <x v="0"/>
    <x v="9"/>
    <x v="0"/>
    <x v="4"/>
    <x v="1"/>
    <n v="3.0800000000000001E-2"/>
    <n v="9.3602290000000004"/>
    <n v="1.09E-2"/>
    <n v="6"/>
    <s v="not outlier"/>
    <s v="not outlier"/>
    <s v="not outlier"/>
    <s v="not outlier"/>
  </r>
  <r>
    <x v="0"/>
    <x v="9"/>
    <x v="0"/>
    <x v="4"/>
    <x v="2"/>
    <n v="5.3999999999999999E-2"/>
    <n v="26.511486000000001"/>
    <n v="2.7E-2"/>
    <n v="41"/>
    <s v="not outlier"/>
    <s v="not outlier"/>
    <s v="not outlier"/>
    <s v="not outlier"/>
  </r>
  <r>
    <x v="0"/>
    <x v="10"/>
    <x v="0"/>
    <x v="4"/>
    <x v="5"/>
    <n v="1.0918000000000001"/>
    <n v="304.05243899999999"/>
    <n v="0.20730000000000001"/>
    <n v="86"/>
    <s v="not outlier"/>
    <s v="not outlier"/>
    <s v="not outlier"/>
    <s v="not outlier"/>
  </r>
  <r>
    <x v="0"/>
    <x v="10"/>
    <x v="0"/>
    <x v="4"/>
    <x v="1"/>
    <n v="3.56E-2"/>
    <n v="9.5244020000000003"/>
    <n v="1.2500000000000001E-2"/>
    <n v="8"/>
    <s v="not outlier"/>
    <s v="not outlier"/>
    <s v="not outlier"/>
    <s v="not outlier"/>
  </r>
  <r>
    <x v="0"/>
    <x v="10"/>
    <x v="0"/>
    <x v="4"/>
    <x v="2"/>
    <n v="6.6000000000000003E-2"/>
    <n v="32.461528000000001"/>
    <n v="3.3000000000000002E-2"/>
    <n v="53"/>
    <s v="not outlier"/>
    <s v="not outlier"/>
    <s v="not outlier"/>
    <s v="not outlier"/>
  </r>
  <r>
    <x v="0"/>
    <x v="11"/>
    <x v="0"/>
    <x v="4"/>
    <x v="5"/>
    <n v="1.6569"/>
    <n v="472.904088"/>
    <n v="0.31480000000000002"/>
    <n v="94"/>
    <s v="not outlier"/>
    <s v="not outlier"/>
    <s v="not outlier"/>
    <s v="not outlier"/>
  </r>
  <r>
    <x v="0"/>
    <x v="11"/>
    <x v="0"/>
    <x v="4"/>
    <x v="1"/>
    <n v="1.9300000000000001E-2"/>
    <n v="5.6711580000000001"/>
    <n v="6.7000000000000002E-3"/>
    <n v="7"/>
    <s v="not outlier"/>
    <s v="not outlier"/>
    <s v="not outlier"/>
    <s v="not outlier"/>
  </r>
  <r>
    <x v="0"/>
    <x v="11"/>
    <x v="0"/>
    <x v="4"/>
    <x v="2"/>
    <n v="5.7099999999999998E-2"/>
    <n v="27.713615000000001"/>
    <n v="2.86E-2"/>
    <n v="47"/>
    <s v="not outlier"/>
    <s v="not outlier"/>
    <s v="not outlier"/>
    <s v="not outlier"/>
  </r>
  <r>
    <x v="0"/>
    <x v="0"/>
    <x v="0"/>
    <x v="4"/>
    <x v="5"/>
    <n v="1.7462"/>
    <n v="471.87442099999998"/>
    <n v="0.33169999999999999"/>
    <n v="99"/>
    <s v="not outlier"/>
    <s v="not outlier"/>
    <s v="not outlier"/>
    <s v="not outlier"/>
  </r>
  <r>
    <x v="0"/>
    <x v="0"/>
    <x v="0"/>
    <x v="4"/>
    <x v="1"/>
    <n v="3.3799999999999997E-2"/>
    <n v="7.7383160000000002"/>
    <n v="1.1900000000000001E-2"/>
    <n v="8"/>
    <s v="not outlier"/>
    <s v="not outlier"/>
    <s v="not outlier"/>
    <s v="not outlier"/>
  </r>
  <r>
    <x v="0"/>
    <x v="0"/>
    <x v="0"/>
    <x v="4"/>
    <x v="2"/>
    <n v="7.1199999999999999E-2"/>
    <n v="35.070207000000003"/>
    <n v="3.56E-2"/>
    <n v="50"/>
    <s v="not outlier"/>
    <s v="not outlier"/>
    <s v="not outlier"/>
    <s v="not outlier"/>
  </r>
  <r>
    <x v="0"/>
    <x v="1"/>
    <x v="0"/>
    <x v="4"/>
    <x v="5"/>
    <n v="1.2878000000000001"/>
    <n v="365.322427"/>
    <n v="0.24479999999999999"/>
    <n v="107"/>
    <s v="not outlier"/>
    <s v="not outlier"/>
    <s v="not outlier"/>
    <s v="not outlier"/>
  </r>
  <r>
    <x v="0"/>
    <x v="1"/>
    <x v="0"/>
    <x v="4"/>
    <x v="1"/>
    <n v="2.1499999999999998E-2"/>
    <n v="5.8394430000000002"/>
    <n v="7.4999999999999997E-3"/>
    <n v="8"/>
    <s v="not outlier"/>
    <s v="not outlier"/>
    <s v="not outlier"/>
    <s v="not outlier"/>
  </r>
  <r>
    <x v="0"/>
    <x v="1"/>
    <x v="0"/>
    <x v="4"/>
    <x v="2"/>
    <n v="8.5599999999999996E-2"/>
    <n v="42.079687"/>
    <n v="4.2799999999999998E-2"/>
    <n v="56"/>
    <s v="not outlier"/>
    <s v="not outlier"/>
    <s v="not outlier"/>
    <s v="not outlier"/>
  </r>
  <r>
    <x v="0"/>
    <x v="4"/>
    <x v="2"/>
    <x v="5"/>
    <x v="2"/>
    <n v="2.5053000000000001"/>
    <n v="321.67500000000001"/>
    <n v="1.2526999999999999"/>
    <n v="976"/>
    <s v="not outlier"/>
    <s v="not outlier"/>
    <s v="not outlier"/>
    <s v="not outlier"/>
  </r>
  <r>
    <x v="0"/>
    <x v="4"/>
    <x v="0"/>
    <x v="5"/>
    <x v="2"/>
    <n v="6.3936999999999999"/>
    <n v="811.186105"/>
    <n v="3.1968999999999999"/>
    <n v="2485"/>
    <s v="not outlier"/>
    <s v="not outlier"/>
    <s v="not outlier"/>
    <s v="not outlier"/>
  </r>
  <r>
    <x v="0"/>
    <x v="5"/>
    <x v="2"/>
    <x v="5"/>
    <x v="2"/>
    <n v="2.3393999999999999"/>
    <n v="258.553945"/>
    <n v="1.1697"/>
    <n v="996"/>
    <s v="not outlier"/>
    <s v="not outlier"/>
    <s v="not outlier"/>
    <s v="not outlier"/>
  </r>
  <r>
    <x v="0"/>
    <x v="5"/>
    <x v="0"/>
    <x v="5"/>
    <x v="2"/>
    <n v="5.7053000000000003"/>
    <n v="649.04098299999998"/>
    <n v="2.8527"/>
    <n v="2566"/>
    <s v="not outlier"/>
    <s v="not outlier"/>
    <s v="not outlier"/>
    <s v="not outlier"/>
  </r>
  <r>
    <x v="0"/>
    <x v="6"/>
    <x v="2"/>
    <x v="5"/>
    <x v="2"/>
    <n v="1.2909999999999999"/>
    <n v="137.34274099999999"/>
    <n v="0.64559999999999995"/>
    <n v="780"/>
    <s v="not outlier"/>
    <s v="not outlier"/>
    <s v="not outlier"/>
    <s v="not outlier"/>
  </r>
  <r>
    <x v="0"/>
    <x v="6"/>
    <x v="0"/>
    <x v="5"/>
    <x v="2"/>
    <n v="3.2629000000000001"/>
    <n v="358.536068"/>
    <n v="1.6315"/>
    <n v="1966"/>
    <s v="not outlier"/>
    <s v="not outlier"/>
    <s v="not outlier"/>
    <s v="not outlier"/>
  </r>
  <r>
    <x v="0"/>
    <x v="7"/>
    <x v="2"/>
    <x v="5"/>
    <x v="2"/>
    <n v="0.88939999999999997"/>
    <n v="92.652782999999999"/>
    <n v="0.4446"/>
    <n v="608"/>
    <s v="not outlier"/>
    <s v="not outlier"/>
    <s v="not outlier"/>
    <s v="not outlier"/>
  </r>
  <r>
    <x v="0"/>
    <x v="7"/>
    <x v="0"/>
    <x v="5"/>
    <x v="2"/>
    <n v="2.1193"/>
    <n v="223.75804600000001"/>
    <n v="1.0596000000000001"/>
    <n v="1456"/>
    <s v="not outlier"/>
    <s v="not outlier"/>
    <s v="not outlier"/>
    <s v="not outlier"/>
  </r>
  <r>
    <x v="0"/>
    <x v="8"/>
    <x v="2"/>
    <x v="5"/>
    <x v="2"/>
    <n v="0.48580000000000001"/>
    <n v="51.738093999999997"/>
    <n v="0.2429"/>
    <n v="400"/>
    <s v="not outlier"/>
    <s v="not outlier"/>
    <s v="not outlier"/>
    <s v="not outlier"/>
  </r>
  <r>
    <x v="0"/>
    <x v="2"/>
    <x v="0"/>
    <x v="6"/>
    <x v="1"/>
    <n v="5.5399999999999998E-2"/>
    <n v="25.307236"/>
    <n v="1.9400000000000001E-2"/>
    <n v="0"/>
    <s v="not outlier"/>
    <s v="not outlier"/>
    <s v="not outlier"/>
    <s v="not outlier"/>
  </r>
  <r>
    <x v="0"/>
    <x v="2"/>
    <x v="0"/>
    <x v="6"/>
    <x v="2"/>
    <n v="0.31940000000000002"/>
    <n v="174.92429000000001"/>
    <n v="0.1341"/>
    <n v="0"/>
    <s v="not outlier"/>
    <s v="not outlier"/>
    <s v="not outlier"/>
    <s v="not outlier"/>
  </r>
  <r>
    <x v="0"/>
    <x v="3"/>
    <x v="0"/>
    <x v="6"/>
    <x v="1"/>
    <n v="5.2600000000000001E-2"/>
    <n v="24.106432999999999"/>
    <n v="1.84E-2"/>
    <n v="0"/>
    <s v="not outlier"/>
    <s v="not outlier"/>
    <s v="not outlier"/>
    <s v="not outlier"/>
  </r>
  <r>
    <x v="0"/>
    <x v="3"/>
    <x v="0"/>
    <x v="6"/>
    <x v="2"/>
    <n v="0.39760000000000001"/>
    <n v="205.54900699999999"/>
    <n v="0.16700000000000001"/>
    <n v="0"/>
    <s v="not outlier"/>
    <s v="not outlier"/>
    <s v="not outlier"/>
    <s v="not outlier"/>
  </r>
  <r>
    <x v="0"/>
    <x v="4"/>
    <x v="0"/>
    <x v="6"/>
    <x v="1"/>
    <n v="5.7700000000000001E-2"/>
    <n v="25.981501999999999"/>
    <n v="2.0199999999999999E-2"/>
    <n v="0"/>
    <s v="not outlier"/>
    <s v="not outlier"/>
    <s v="not outlier"/>
    <s v="not outlier"/>
  </r>
  <r>
    <x v="0"/>
    <x v="4"/>
    <x v="0"/>
    <x v="6"/>
    <x v="2"/>
    <n v="0.54579999999999995"/>
    <n v="290.24293999999998"/>
    <n v="0.22919999999999999"/>
    <n v="0"/>
    <s v="not outlier"/>
    <s v="not outlier"/>
    <s v="not outlier"/>
    <s v="not outlier"/>
  </r>
  <r>
    <x v="0"/>
    <x v="5"/>
    <x v="0"/>
    <x v="6"/>
    <x v="1"/>
    <n v="5.9700000000000003E-2"/>
    <n v="27.194769999999998"/>
    <n v="2.0899999999999998E-2"/>
    <n v="0"/>
    <s v="not outlier"/>
    <s v="not outlier"/>
    <s v="not outlier"/>
    <s v="not outlier"/>
  </r>
  <r>
    <x v="0"/>
    <x v="5"/>
    <x v="0"/>
    <x v="6"/>
    <x v="2"/>
    <n v="0.7026"/>
    <n v="360.11203"/>
    <n v="0.29509999999999997"/>
    <n v="0"/>
    <s v="not outlier"/>
    <s v="not outlier"/>
    <s v="not outlier"/>
    <s v="not outlier"/>
  </r>
  <r>
    <x v="0"/>
    <x v="6"/>
    <x v="0"/>
    <x v="6"/>
    <x v="1"/>
    <n v="6.54E-2"/>
    <n v="29.755378"/>
    <n v="2.29E-2"/>
    <n v="0"/>
    <s v="not outlier"/>
    <s v="not outlier"/>
    <s v="not outlier"/>
    <s v="not outlier"/>
  </r>
  <r>
    <x v="0"/>
    <x v="6"/>
    <x v="0"/>
    <x v="6"/>
    <x v="2"/>
    <n v="0.313"/>
    <n v="173.02641199999999"/>
    <n v="0.13139999999999999"/>
    <n v="0"/>
    <s v="not outlier"/>
    <s v="not outlier"/>
    <s v="not outlier"/>
    <s v="not outlier"/>
  </r>
  <r>
    <x v="0"/>
    <x v="8"/>
    <x v="0"/>
    <x v="6"/>
    <x v="5"/>
    <n v="8.9999999999999998E-4"/>
    <n v="0.42455799999999999"/>
    <n v="1E-4"/>
    <n v="0"/>
    <s v="not outlier"/>
    <s v="not outlier"/>
    <s v="not outlier"/>
    <s v="not outlier"/>
  </r>
  <r>
    <x v="0"/>
    <x v="8"/>
    <x v="0"/>
    <x v="6"/>
    <x v="1"/>
    <n v="4.58E-2"/>
    <n v="20.850142000000002"/>
    <n v="1.6E-2"/>
    <n v="0"/>
    <s v="not outlier"/>
    <s v="not outlier"/>
    <s v="not outlier"/>
    <s v="not outlier"/>
  </r>
  <r>
    <x v="0"/>
    <x v="8"/>
    <x v="0"/>
    <x v="6"/>
    <x v="2"/>
    <n v="0.26910000000000001"/>
    <n v="140.824207"/>
    <n v="0.11310000000000001"/>
    <n v="0"/>
    <s v="not outlier"/>
    <s v="not outlier"/>
    <s v="not outlier"/>
    <s v="not outlier"/>
  </r>
  <r>
    <x v="0"/>
    <x v="9"/>
    <x v="0"/>
    <x v="6"/>
    <x v="5"/>
    <n v="5.0000000000000001E-4"/>
    <n v="0.23585100000000001"/>
    <n v="1E-4"/>
    <n v="0"/>
    <s v="not outlier"/>
    <s v="not outlier"/>
    <s v="not outlier"/>
    <s v="not outlier"/>
  </r>
  <r>
    <x v="0"/>
    <x v="9"/>
    <x v="0"/>
    <x v="6"/>
    <x v="1"/>
    <n v="4.9099999999999998E-2"/>
    <n v="21.178290000000001"/>
    <n v="1.72E-2"/>
    <n v="0"/>
    <s v="not outlier"/>
    <s v="not outlier"/>
    <s v="not outlier"/>
    <s v="not outlier"/>
  </r>
  <r>
    <x v="0"/>
    <x v="9"/>
    <x v="0"/>
    <x v="6"/>
    <x v="2"/>
    <n v="0.3095"/>
    <n v="161.393145"/>
    <n v="0.13"/>
    <n v="0"/>
    <s v="not outlier"/>
    <s v="not outlier"/>
    <s v="not outlier"/>
    <s v="not outlier"/>
  </r>
  <r>
    <x v="0"/>
    <x v="10"/>
    <x v="0"/>
    <x v="6"/>
    <x v="5"/>
    <n v="6.9999999999999999E-4"/>
    <n v="0.330204"/>
    <n v="1E-4"/>
    <n v="0"/>
    <s v="not outlier"/>
    <s v="not outlier"/>
    <s v="not outlier"/>
    <s v="not outlier"/>
  </r>
  <r>
    <x v="0"/>
    <x v="10"/>
    <x v="0"/>
    <x v="6"/>
    <x v="1"/>
    <n v="6.1899999999999997E-2"/>
    <n v="28.234317000000001"/>
    <n v="2.1600000000000001E-2"/>
    <n v="0"/>
    <s v="not outlier"/>
    <s v="not outlier"/>
    <s v="not outlier"/>
    <s v="not outlier"/>
  </r>
  <r>
    <x v="0"/>
    <x v="10"/>
    <x v="0"/>
    <x v="6"/>
    <x v="2"/>
    <n v="0.28860000000000002"/>
    <n v="156.94971000000001"/>
    <n v="0.12130000000000001"/>
    <n v="0"/>
    <s v="not outlier"/>
    <s v="not outlier"/>
    <s v="not outlier"/>
    <s v="not outlier"/>
  </r>
  <r>
    <x v="0"/>
    <x v="11"/>
    <x v="0"/>
    <x v="6"/>
    <x v="1"/>
    <n v="6.7400000000000002E-2"/>
    <n v="31.004518000000001"/>
    <n v="2.35E-2"/>
    <n v="0"/>
    <s v="not outlier"/>
    <s v="not outlier"/>
    <s v="not outlier"/>
    <s v="not outlier"/>
  </r>
  <r>
    <x v="0"/>
    <x v="11"/>
    <x v="0"/>
    <x v="6"/>
    <x v="2"/>
    <n v="0.33910000000000001"/>
    <n v="184.796269"/>
    <n v="0.1424"/>
    <n v="0"/>
    <s v="not outlier"/>
    <s v="not outlier"/>
    <s v="not outlier"/>
    <s v="not outlier"/>
  </r>
  <r>
    <x v="0"/>
    <x v="0"/>
    <x v="0"/>
    <x v="6"/>
    <x v="5"/>
    <n v="2.5000000000000001E-3"/>
    <n v="1.2264630000000001"/>
    <n v="5.0000000000000001E-4"/>
    <n v="0"/>
    <s v="not outlier"/>
    <s v="not outlier"/>
    <s v="not outlier"/>
    <s v="not outlier"/>
  </r>
  <r>
    <x v="0"/>
    <x v="0"/>
    <x v="0"/>
    <x v="6"/>
    <x v="1"/>
    <n v="7.1099999999999997E-2"/>
    <n v="30.765021000000001"/>
    <n v="2.4899999999999999E-2"/>
    <n v="0"/>
    <s v="not outlier"/>
    <s v="not outlier"/>
    <s v="not outlier"/>
    <s v="not outlier"/>
  </r>
  <r>
    <x v="0"/>
    <x v="0"/>
    <x v="0"/>
    <x v="6"/>
    <x v="2"/>
    <n v="0.35859999999999997"/>
    <n v="194.894285"/>
    <n v="0.15060000000000001"/>
    <n v="0"/>
    <s v="not outlier"/>
    <s v="not outlier"/>
    <s v="not outlier"/>
    <s v="not outlier"/>
  </r>
  <r>
    <x v="0"/>
    <x v="1"/>
    <x v="0"/>
    <x v="6"/>
    <x v="5"/>
    <n v="2.0000000000000001E-4"/>
    <n v="9.4353999999999993E-2"/>
    <n v="1E-4"/>
    <n v="0"/>
    <s v="not outlier"/>
    <s v="not outlier"/>
    <s v="not outlier"/>
    <s v="not outlier"/>
  </r>
  <r>
    <x v="0"/>
    <x v="1"/>
    <x v="0"/>
    <x v="6"/>
    <x v="1"/>
    <n v="8.4000000000000005E-2"/>
    <n v="33.376418999999999"/>
    <n v="2.9399999999999999E-2"/>
    <n v="0"/>
    <s v="not outlier"/>
    <s v="not outlier"/>
    <s v="not outlier"/>
    <s v="not outlier"/>
  </r>
  <r>
    <x v="0"/>
    <x v="1"/>
    <x v="0"/>
    <x v="6"/>
    <x v="2"/>
    <n v="0.4299"/>
    <n v="232.87771599999999"/>
    <n v="0.18049999999999999"/>
    <n v="0"/>
    <s v="not outlier"/>
    <s v="not outlier"/>
    <s v="not outlier"/>
    <s v="not outlier"/>
  </r>
  <r>
    <x v="0"/>
    <x v="3"/>
    <x v="0"/>
    <x v="7"/>
    <x v="3"/>
    <n v="0.1842"/>
    <n v="34.832101999999999"/>
    <n v="6.08E-2"/>
    <n v="0"/>
    <s v="not outlier"/>
    <s v="not outlier"/>
    <s v="not outlier"/>
    <s v="not outlier"/>
  </r>
  <r>
    <x v="0"/>
    <x v="3"/>
    <x v="0"/>
    <x v="7"/>
    <x v="2"/>
    <n v="0.31929999999999997"/>
    <n v="146.807534"/>
    <n v="0.15970000000000001"/>
    <n v="0"/>
    <s v="not outlier"/>
    <s v="not outlier"/>
    <s v="not outlier"/>
    <s v="not outlier"/>
  </r>
  <r>
    <x v="0"/>
    <x v="6"/>
    <x v="0"/>
    <x v="7"/>
    <x v="3"/>
    <n v="0.24979999999999999"/>
    <n v="46.870564999999999"/>
    <n v="8.2500000000000004E-2"/>
    <n v="0"/>
    <s v="not outlier"/>
    <s v="not outlier"/>
    <s v="not outlier"/>
    <s v="not outlier"/>
  </r>
  <r>
    <x v="0"/>
    <x v="6"/>
    <x v="0"/>
    <x v="7"/>
    <x v="2"/>
    <n v="0.48520000000000002"/>
    <n v="215.20880700000001"/>
    <n v="0.24260000000000001"/>
    <n v="0"/>
    <s v="not outlier"/>
    <s v="not outlier"/>
    <s v="not outlier"/>
    <s v="not outlier"/>
  </r>
  <r>
    <x v="0"/>
    <x v="7"/>
    <x v="0"/>
    <x v="7"/>
    <x v="3"/>
    <n v="0.12820000000000001"/>
    <n v="24.489549"/>
    <n v="4.2299999999999997E-2"/>
    <n v="0"/>
    <s v="not outlier"/>
    <s v="not outlier"/>
    <s v="not outlier"/>
    <s v="not outlier"/>
  </r>
  <r>
    <x v="0"/>
    <x v="7"/>
    <x v="0"/>
    <x v="7"/>
    <x v="2"/>
    <n v="0.33360000000000001"/>
    <n v="149.10901799999999"/>
    <n v="0.16669999999999999"/>
    <n v="0"/>
    <s v="not outlier"/>
    <s v="not outlier"/>
    <s v="not outlier"/>
    <s v="not outlier"/>
  </r>
  <r>
    <x v="0"/>
    <x v="9"/>
    <x v="2"/>
    <x v="8"/>
    <x v="1"/>
    <n v="1.589"/>
    <n v="84.815140999999997"/>
    <n v="0.55620000000000003"/>
    <n v="243"/>
    <s v="not outlier"/>
    <s v="not outlier"/>
    <s v="not outlier"/>
    <s v="not outlier"/>
  </r>
  <r>
    <x v="0"/>
    <x v="11"/>
    <x v="2"/>
    <x v="8"/>
    <x v="1"/>
    <n v="2.9653999999999998"/>
    <n v="165.08208300000001"/>
    <n v="1.0379"/>
    <n v="249"/>
    <s v="not outlier"/>
    <s v="not outlier"/>
    <s v="not outlier"/>
    <s v="not outlier"/>
  </r>
  <r>
    <x v="0"/>
    <x v="0"/>
    <x v="2"/>
    <x v="8"/>
    <x v="1"/>
    <n v="1.5108999999999999"/>
    <n v="96.602635000000006"/>
    <n v="0.52880000000000005"/>
    <n v="245"/>
    <s v="not outlier"/>
    <s v="not outlier"/>
    <s v="not outlier"/>
    <s v="not outlier"/>
  </r>
  <r>
    <x v="0"/>
    <x v="1"/>
    <x v="2"/>
    <x v="8"/>
    <x v="1"/>
    <n v="0.68120000000000003"/>
    <n v="60.933020999999997"/>
    <n v="0.2384"/>
    <n v="223"/>
    <s v="not outlier"/>
    <s v="not outlier"/>
    <s v="not outlier"/>
    <s v="not outlier"/>
  </r>
  <r>
    <x v="0"/>
    <x v="2"/>
    <x v="1"/>
    <x v="9"/>
    <x v="0"/>
    <n v="16.3202"/>
    <n v="936.80341299999998"/>
    <n v="3.4272"/>
    <n v="477"/>
    <s v="not outlier"/>
    <s v="not outlier"/>
    <s v="not outlier"/>
    <s v="not outlier"/>
  </r>
  <r>
    <x v="0"/>
    <x v="2"/>
    <x v="1"/>
    <x v="9"/>
    <x v="1"/>
    <n v="87.863399999999999"/>
    <n v="7019.1165080000001"/>
    <n v="30.752199999999998"/>
    <n v="754"/>
    <s v="outlier"/>
    <s v="outlier"/>
    <s v="outlier"/>
    <s v="not outlier"/>
  </r>
  <r>
    <x v="0"/>
    <x v="2"/>
    <x v="1"/>
    <x v="9"/>
    <x v="2"/>
    <n v="35.718200000000003"/>
    <n v="4166.4537879999998"/>
    <n v="17.859200000000001"/>
    <n v="629"/>
    <s v="outlier"/>
    <s v="outlier"/>
    <s v="outlier"/>
    <s v="not outlier"/>
  </r>
  <r>
    <x v="0"/>
    <x v="2"/>
    <x v="1"/>
    <x v="9"/>
    <x v="4"/>
    <n v="0.35799999999999998"/>
    <n v="66.387690000000006"/>
    <n v="0.26850000000000002"/>
    <n v="29"/>
    <s v="not outlier"/>
    <s v="not outlier"/>
    <s v="not outlier"/>
    <s v="not outlier"/>
  </r>
  <r>
    <x v="0"/>
    <x v="2"/>
    <x v="2"/>
    <x v="9"/>
    <x v="0"/>
    <n v="66.722499999999997"/>
    <n v="4050.03638"/>
    <n v="14.011699999999999"/>
    <n v="7561"/>
    <s v="outlier"/>
    <s v="outlier"/>
    <s v="outlier"/>
    <s v="outlier"/>
  </r>
  <r>
    <x v="0"/>
    <x v="2"/>
    <x v="2"/>
    <x v="9"/>
    <x v="3"/>
    <n v="1.2999999999999999E-3"/>
    <n v="0.13499900000000001"/>
    <n v="4.0000000000000002E-4"/>
    <n v="1"/>
    <s v="not outlier"/>
    <s v="not outlier"/>
    <s v="not outlier"/>
    <s v="not outlier"/>
  </r>
  <r>
    <x v="0"/>
    <x v="2"/>
    <x v="2"/>
    <x v="9"/>
    <x v="1"/>
    <n v="77.969800000000006"/>
    <n v="7036.2551679999997"/>
    <n v="27.289400000000001"/>
    <n v="8754"/>
    <s v="outlier"/>
    <s v="outlier"/>
    <s v="outlier"/>
    <s v="outlier"/>
  </r>
  <r>
    <x v="0"/>
    <x v="2"/>
    <x v="2"/>
    <x v="9"/>
    <x v="2"/>
    <n v="7.8609999999999998"/>
    <n v="1087.9695099999999"/>
    <n v="3.9304000000000001"/>
    <n v="1426"/>
    <s v="not outlier"/>
    <s v="not outlier"/>
    <s v="not outlier"/>
    <s v="not outlier"/>
  </r>
  <r>
    <x v="0"/>
    <x v="2"/>
    <x v="2"/>
    <x v="9"/>
    <x v="4"/>
    <n v="0.60250000000000004"/>
    <n v="109.493529"/>
    <n v="0.45179999999999998"/>
    <n v="277"/>
    <s v="not outlier"/>
    <s v="not outlier"/>
    <s v="not outlier"/>
    <s v="not outlier"/>
  </r>
  <r>
    <x v="0"/>
    <x v="2"/>
    <x v="0"/>
    <x v="9"/>
    <x v="0"/>
    <n v="173.1694"/>
    <n v="8930.8731939999998"/>
    <n v="36.365499999999997"/>
    <n v="10568"/>
    <s v="outlier"/>
    <s v="outlier"/>
    <s v="outlier"/>
    <s v="outlier"/>
  </r>
  <r>
    <x v="0"/>
    <x v="2"/>
    <x v="0"/>
    <x v="9"/>
    <x v="1"/>
    <n v="109.4041"/>
    <n v="9457.3964120000001"/>
    <n v="38.291400000000003"/>
    <n v="8553"/>
    <s v="outlier"/>
    <s v="outlier"/>
    <s v="outlier"/>
    <s v="outlier"/>
  </r>
  <r>
    <x v="0"/>
    <x v="2"/>
    <x v="0"/>
    <x v="9"/>
    <x v="2"/>
    <n v="41.831800000000001"/>
    <n v="4901.0809179999997"/>
    <n v="20.916"/>
    <n v="2638"/>
    <s v="outlier"/>
    <s v="outlier"/>
    <s v="outlier"/>
    <s v="not outlier"/>
  </r>
  <r>
    <x v="0"/>
    <x v="2"/>
    <x v="0"/>
    <x v="9"/>
    <x v="4"/>
    <n v="8.0699999999999994E-2"/>
    <n v="15.311662"/>
    <n v="6.0499999999999998E-2"/>
    <n v="53"/>
    <s v="not outlier"/>
    <s v="not outlier"/>
    <s v="not outlier"/>
    <s v="not outlier"/>
  </r>
  <r>
    <x v="0"/>
    <x v="3"/>
    <x v="1"/>
    <x v="9"/>
    <x v="0"/>
    <n v="15.4443"/>
    <n v="902.02130599999998"/>
    <n v="3.2433000000000001"/>
    <n v="479"/>
    <s v="not outlier"/>
    <s v="not outlier"/>
    <s v="not outlier"/>
    <s v="not outlier"/>
  </r>
  <r>
    <x v="0"/>
    <x v="3"/>
    <x v="1"/>
    <x v="9"/>
    <x v="1"/>
    <n v="61.994500000000002"/>
    <n v="5267.6876940000002"/>
    <n v="21.6982"/>
    <n v="771"/>
    <s v="outlier"/>
    <s v="outlier"/>
    <s v="outlier"/>
    <s v="not outlier"/>
  </r>
  <r>
    <x v="0"/>
    <x v="3"/>
    <x v="1"/>
    <x v="9"/>
    <x v="2"/>
    <n v="52.065300000000001"/>
    <n v="5737.7989699999998"/>
    <n v="26.032800000000002"/>
    <n v="648"/>
    <s v="outlier"/>
    <s v="outlier"/>
    <s v="outlier"/>
    <s v="not outlier"/>
  </r>
  <r>
    <x v="0"/>
    <x v="3"/>
    <x v="1"/>
    <x v="9"/>
    <x v="4"/>
    <n v="0.32700000000000001"/>
    <n v="61.337885999999997"/>
    <n v="0.24529999999999999"/>
    <n v="23"/>
    <s v="not outlier"/>
    <s v="not outlier"/>
    <s v="not outlier"/>
    <s v="not outlier"/>
  </r>
  <r>
    <x v="0"/>
    <x v="3"/>
    <x v="2"/>
    <x v="9"/>
    <x v="0"/>
    <n v="67.519499999999994"/>
    <n v="3973.2431459999998"/>
    <n v="14.1791"/>
    <n v="8031"/>
    <s v="outlier"/>
    <s v="outlier"/>
    <s v="outlier"/>
    <s v="outlier"/>
  </r>
  <r>
    <x v="0"/>
    <x v="3"/>
    <x v="2"/>
    <x v="9"/>
    <x v="3"/>
    <n v="3.2599999999999997E-2"/>
    <n v="2.7249140000000001"/>
    <n v="1.04E-2"/>
    <n v="16"/>
    <s v="not outlier"/>
    <s v="not outlier"/>
    <s v="not outlier"/>
    <s v="not outlier"/>
  </r>
  <r>
    <x v="0"/>
    <x v="3"/>
    <x v="2"/>
    <x v="9"/>
    <x v="1"/>
    <n v="74.313699999999997"/>
    <n v="6994.827867"/>
    <n v="26.009699999999999"/>
    <n v="9400"/>
    <s v="outlier"/>
    <s v="outlier"/>
    <s v="outlier"/>
    <s v="outlier"/>
  </r>
  <r>
    <x v="0"/>
    <x v="3"/>
    <x v="2"/>
    <x v="9"/>
    <x v="2"/>
    <n v="6.0307000000000004"/>
    <n v="839.26486799999998"/>
    <n v="3.0152999999999999"/>
    <n v="1291"/>
    <s v="not outlier"/>
    <s v="not outlier"/>
    <s v="not outlier"/>
    <s v="not outlier"/>
  </r>
  <r>
    <x v="0"/>
    <x v="3"/>
    <x v="2"/>
    <x v="9"/>
    <x v="4"/>
    <n v="0.43280000000000002"/>
    <n v="79.266847999999996"/>
    <n v="0.3246"/>
    <n v="279"/>
    <s v="not outlier"/>
    <s v="not outlier"/>
    <s v="not outlier"/>
    <s v="not outlier"/>
  </r>
  <r>
    <x v="0"/>
    <x v="3"/>
    <x v="0"/>
    <x v="9"/>
    <x v="0"/>
    <n v="124.2706"/>
    <n v="6261.8328600000004"/>
    <n v="26.096900000000002"/>
    <n v="9957"/>
    <s v="outlier"/>
    <s v="outlier"/>
    <s v="outlier"/>
    <s v="outlier"/>
  </r>
  <r>
    <x v="0"/>
    <x v="3"/>
    <x v="0"/>
    <x v="9"/>
    <x v="1"/>
    <n v="112.8185"/>
    <n v="10193.829322"/>
    <n v="39.486499999999999"/>
    <n v="8768"/>
    <s v="outlier"/>
    <s v="outlier"/>
    <s v="outlier"/>
    <s v="outlier"/>
  </r>
  <r>
    <x v="0"/>
    <x v="3"/>
    <x v="0"/>
    <x v="9"/>
    <x v="2"/>
    <n v="25.190799999999999"/>
    <n v="3303.8635730000001"/>
    <n v="12.5954"/>
    <n v="2630"/>
    <s v="outlier"/>
    <s v="outlier"/>
    <s v="outlier"/>
    <s v="not outlier"/>
  </r>
  <r>
    <x v="0"/>
    <x v="3"/>
    <x v="0"/>
    <x v="9"/>
    <x v="4"/>
    <n v="8.43E-2"/>
    <n v="16.051770999999999"/>
    <n v="6.3299999999999995E-2"/>
    <n v="53"/>
    <s v="not outlier"/>
    <s v="not outlier"/>
    <s v="not outlier"/>
    <s v="not outlier"/>
  </r>
  <r>
    <x v="0"/>
    <x v="4"/>
    <x v="1"/>
    <x v="9"/>
    <x v="0"/>
    <n v="15.7516"/>
    <n v="928.92665"/>
    <n v="3.3079000000000001"/>
    <n v="480"/>
    <s v="not outlier"/>
    <s v="not outlier"/>
    <s v="not outlier"/>
    <s v="not outlier"/>
  </r>
  <r>
    <x v="0"/>
    <x v="4"/>
    <x v="1"/>
    <x v="9"/>
    <x v="1"/>
    <n v="116.75060000000001"/>
    <n v="9105.2074269999994"/>
    <n v="40.8628"/>
    <n v="776"/>
    <s v="outlier"/>
    <s v="outlier"/>
    <s v="outlier"/>
    <s v="not outlier"/>
  </r>
  <r>
    <x v="0"/>
    <x v="4"/>
    <x v="1"/>
    <x v="9"/>
    <x v="2"/>
    <n v="44.650199999999998"/>
    <n v="5049.8208759999998"/>
    <n v="22.325099999999999"/>
    <n v="664"/>
    <s v="outlier"/>
    <s v="outlier"/>
    <s v="outlier"/>
    <s v="not outlier"/>
  </r>
  <r>
    <x v="0"/>
    <x v="4"/>
    <x v="1"/>
    <x v="9"/>
    <x v="4"/>
    <n v="0.30759999999999998"/>
    <n v="58.307366999999999"/>
    <n v="0.23069999999999999"/>
    <n v="23"/>
    <s v="not outlier"/>
    <s v="not outlier"/>
    <s v="not outlier"/>
    <s v="not outlier"/>
  </r>
  <r>
    <x v="0"/>
    <x v="4"/>
    <x v="2"/>
    <x v="9"/>
    <x v="0"/>
    <n v="59.918100000000003"/>
    <n v="3925.894315"/>
    <n v="12.582800000000001"/>
    <n v="7797"/>
    <s v="outlier"/>
    <s v="outlier"/>
    <s v="outlier"/>
    <s v="outlier"/>
  </r>
  <r>
    <x v="0"/>
    <x v="4"/>
    <x v="2"/>
    <x v="9"/>
    <x v="3"/>
    <n v="2.5000000000000001E-3"/>
    <n v="0.239033"/>
    <n v="8.0000000000000004E-4"/>
    <n v="3"/>
    <s v="not outlier"/>
    <s v="not outlier"/>
    <s v="not outlier"/>
    <s v="not outlier"/>
  </r>
  <r>
    <x v="0"/>
    <x v="4"/>
    <x v="2"/>
    <x v="9"/>
    <x v="1"/>
    <n v="69.861099999999993"/>
    <n v="6958.6258809999999"/>
    <n v="24.4513"/>
    <n v="8564"/>
    <s v="outlier"/>
    <s v="outlier"/>
    <s v="outlier"/>
    <s v="outlier"/>
  </r>
  <r>
    <x v="0"/>
    <x v="4"/>
    <x v="2"/>
    <x v="9"/>
    <x v="2"/>
    <n v="8.2565000000000008"/>
    <n v="1088.4688610000001"/>
    <n v="4.1283000000000003"/>
    <n v="1297"/>
    <s v="not outlier"/>
    <s v="not outlier"/>
    <s v="not outlier"/>
    <s v="not outlier"/>
  </r>
  <r>
    <x v="0"/>
    <x v="4"/>
    <x v="2"/>
    <x v="9"/>
    <x v="4"/>
    <n v="0.36559999999999998"/>
    <n v="62.655918"/>
    <n v="0.2742"/>
    <n v="283"/>
    <s v="not outlier"/>
    <s v="not outlier"/>
    <s v="not outlier"/>
    <s v="not outlier"/>
  </r>
  <r>
    <x v="0"/>
    <x v="4"/>
    <x v="0"/>
    <x v="9"/>
    <x v="0"/>
    <n v="80.834900000000005"/>
    <n v="4860.2618430000002"/>
    <n v="16.975300000000001"/>
    <n v="10268"/>
    <s v="outlier"/>
    <s v="outlier"/>
    <s v="outlier"/>
    <s v="outlier"/>
  </r>
  <r>
    <x v="0"/>
    <x v="4"/>
    <x v="0"/>
    <x v="9"/>
    <x v="1"/>
    <n v="98.055300000000003"/>
    <n v="9525.2732039999992"/>
    <n v="34.319400000000002"/>
    <n v="8169"/>
    <s v="outlier"/>
    <s v="outlier"/>
    <s v="outlier"/>
    <s v="outlier"/>
  </r>
  <r>
    <x v="0"/>
    <x v="4"/>
    <x v="0"/>
    <x v="9"/>
    <x v="2"/>
    <n v="41.277500000000003"/>
    <n v="5053.812038"/>
    <n v="20.6387"/>
    <n v="2632"/>
    <s v="outlier"/>
    <s v="outlier"/>
    <s v="outlier"/>
    <s v="not outlier"/>
  </r>
  <r>
    <x v="0"/>
    <x v="4"/>
    <x v="0"/>
    <x v="9"/>
    <x v="4"/>
    <n v="8.4400000000000003E-2"/>
    <n v="13.352451"/>
    <n v="6.3299999999999995E-2"/>
    <n v="65"/>
    <s v="not outlier"/>
    <s v="not outlier"/>
    <s v="not outlier"/>
    <s v="not outlier"/>
  </r>
  <r>
    <x v="0"/>
    <x v="5"/>
    <x v="1"/>
    <x v="9"/>
    <x v="0"/>
    <n v="13.180899999999999"/>
    <n v="819.69867699999998"/>
    <n v="2.7679999999999998"/>
    <n v="478"/>
    <s v="not outlier"/>
    <s v="not outlier"/>
    <s v="not outlier"/>
    <s v="not outlier"/>
  </r>
  <r>
    <x v="0"/>
    <x v="5"/>
    <x v="1"/>
    <x v="9"/>
    <x v="1"/>
    <n v="54.853700000000003"/>
    <n v="4806.2020419999999"/>
    <n v="19.198899999999998"/>
    <n v="786"/>
    <s v="outlier"/>
    <s v="outlier"/>
    <s v="outlier"/>
    <s v="not outlier"/>
  </r>
  <r>
    <x v="0"/>
    <x v="5"/>
    <x v="1"/>
    <x v="9"/>
    <x v="2"/>
    <n v="48.549799999999998"/>
    <n v="5104.9096810000001"/>
    <n v="24.274799999999999"/>
    <n v="663"/>
    <s v="outlier"/>
    <s v="outlier"/>
    <s v="outlier"/>
    <s v="not outlier"/>
  </r>
  <r>
    <x v="0"/>
    <x v="5"/>
    <x v="1"/>
    <x v="9"/>
    <x v="4"/>
    <n v="1.0820000000000001"/>
    <n v="129.17522600000001"/>
    <n v="0.8115"/>
    <n v="23"/>
    <s v="not outlier"/>
    <s v="not outlier"/>
    <s v="not outlier"/>
    <s v="not outlier"/>
  </r>
  <r>
    <x v="0"/>
    <x v="5"/>
    <x v="2"/>
    <x v="9"/>
    <x v="0"/>
    <n v="65.924999999999997"/>
    <n v="4037.9033639999998"/>
    <n v="13.844200000000001"/>
    <n v="8093"/>
    <s v="outlier"/>
    <s v="outlier"/>
    <s v="outlier"/>
    <s v="outlier"/>
  </r>
  <r>
    <x v="0"/>
    <x v="5"/>
    <x v="2"/>
    <x v="9"/>
    <x v="3"/>
    <n v="1.5E-3"/>
    <n v="0.17146700000000001"/>
    <n v="5.0000000000000001E-4"/>
    <n v="2"/>
    <s v="not outlier"/>
    <s v="not outlier"/>
    <s v="not outlier"/>
    <s v="not outlier"/>
  </r>
  <r>
    <x v="0"/>
    <x v="5"/>
    <x v="2"/>
    <x v="9"/>
    <x v="1"/>
    <n v="62.98"/>
    <n v="6338.200409"/>
    <n v="22.042999999999999"/>
    <n v="8792"/>
    <s v="outlier"/>
    <s v="outlier"/>
    <s v="outlier"/>
    <s v="outlier"/>
  </r>
  <r>
    <x v="0"/>
    <x v="5"/>
    <x v="2"/>
    <x v="9"/>
    <x v="2"/>
    <n v="6.1917999999999997"/>
    <n v="880.14063499999997"/>
    <n v="3.0958999999999999"/>
    <n v="1462"/>
    <s v="not outlier"/>
    <s v="not outlier"/>
    <s v="not outlier"/>
    <s v="not outlier"/>
  </r>
  <r>
    <x v="0"/>
    <x v="5"/>
    <x v="2"/>
    <x v="9"/>
    <x v="4"/>
    <n v="0.50439999999999996"/>
    <n v="80.219931000000003"/>
    <n v="0.37830000000000003"/>
    <n v="323"/>
    <s v="not outlier"/>
    <s v="not outlier"/>
    <s v="not outlier"/>
    <s v="not outlier"/>
  </r>
  <r>
    <x v="0"/>
    <x v="5"/>
    <x v="0"/>
    <x v="9"/>
    <x v="0"/>
    <n v="156.61250000000001"/>
    <n v="8413.2672139999995"/>
    <n v="32.8887"/>
    <n v="11160"/>
    <s v="outlier"/>
    <s v="outlier"/>
    <s v="outlier"/>
    <s v="outlier"/>
  </r>
  <r>
    <x v="0"/>
    <x v="5"/>
    <x v="0"/>
    <x v="9"/>
    <x v="1"/>
    <n v="95.596599999999995"/>
    <n v="8971.8432489999996"/>
    <n v="33.4589"/>
    <n v="8304"/>
    <s v="outlier"/>
    <s v="outlier"/>
    <s v="outlier"/>
    <s v="outlier"/>
  </r>
  <r>
    <x v="0"/>
    <x v="5"/>
    <x v="0"/>
    <x v="9"/>
    <x v="2"/>
    <n v="20.340399999999999"/>
    <n v="2762.4430390000002"/>
    <n v="10.170199999999999"/>
    <n v="2421"/>
    <s v="not outlier"/>
    <s v="outlier"/>
    <s v="outlier"/>
    <s v="not outlier"/>
  </r>
  <r>
    <x v="0"/>
    <x v="5"/>
    <x v="0"/>
    <x v="9"/>
    <x v="4"/>
    <n v="0.2203"/>
    <n v="33.022278"/>
    <n v="0.1653"/>
    <n v="65"/>
    <s v="not outlier"/>
    <s v="not outlier"/>
    <s v="not outlier"/>
    <s v="not outlier"/>
  </r>
  <r>
    <x v="0"/>
    <x v="6"/>
    <x v="1"/>
    <x v="9"/>
    <x v="0"/>
    <n v="22.357600000000001"/>
    <n v="1261.464109"/>
    <n v="4.6951000000000001"/>
    <n v="572"/>
    <s v="not outlier"/>
    <s v="not outlier"/>
    <s v="not outlier"/>
    <s v="not outlier"/>
  </r>
  <r>
    <x v="0"/>
    <x v="6"/>
    <x v="1"/>
    <x v="9"/>
    <x v="1"/>
    <n v="57.154000000000003"/>
    <n v="5056.0814950000004"/>
    <n v="20.003900000000002"/>
    <n v="778"/>
    <s v="outlier"/>
    <s v="outlier"/>
    <s v="outlier"/>
    <s v="not outlier"/>
  </r>
  <r>
    <x v="0"/>
    <x v="6"/>
    <x v="1"/>
    <x v="9"/>
    <x v="2"/>
    <n v="29.5413"/>
    <n v="3514.2886619999999"/>
    <n v="14.7706"/>
    <n v="640"/>
    <s v="outlier"/>
    <s v="outlier"/>
    <s v="outlier"/>
    <s v="not outlier"/>
  </r>
  <r>
    <x v="0"/>
    <x v="6"/>
    <x v="1"/>
    <x v="9"/>
    <x v="4"/>
    <n v="0.35449999999999998"/>
    <n v="67.328507000000002"/>
    <n v="0.26579999999999998"/>
    <n v="22"/>
    <s v="not outlier"/>
    <s v="not outlier"/>
    <s v="not outlier"/>
    <s v="not outlier"/>
  </r>
  <r>
    <x v="0"/>
    <x v="6"/>
    <x v="2"/>
    <x v="9"/>
    <x v="0"/>
    <n v="62.294499999999999"/>
    <n v="3886.4907410000001"/>
    <n v="13.081899999999999"/>
    <n v="7742"/>
    <s v="outlier"/>
    <s v="outlier"/>
    <s v="outlier"/>
    <s v="outlier"/>
  </r>
  <r>
    <x v="0"/>
    <x v="6"/>
    <x v="2"/>
    <x v="9"/>
    <x v="3"/>
    <n v="6.9999999999999999E-4"/>
    <n v="7.6649999999999996E-2"/>
    <n v="2.0000000000000001E-4"/>
    <n v="1"/>
    <s v="not outlier"/>
    <s v="not outlier"/>
    <s v="not outlier"/>
    <s v="not outlier"/>
  </r>
  <r>
    <x v="0"/>
    <x v="6"/>
    <x v="2"/>
    <x v="9"/>
    <x v="1"/>
    <n v="65.035300000000007"/>
    <n v="6461.6048849999997"/>
    <n v="22.7624"/>
    <n v="8213"/>
    <s v="outlier"/>
    <s v="outlier"/>
    <s v="outlier"/>
    <s v="outlier"/>
  </r>
  <r>
    <x v="0"/>
    <x v="6"/>
    <x v="2"/>
    <x v="9"/>
    <x v="2"/>
    <n v="7.0789999999999997"/>
    <n v="978.03047000000004"/>
    <n v="3.5394000000000001"/>
    <n v="1256"/>
    <s v="not outlier"/>
    <s v="not outlier"/>
    <s v="not outlier"/>
    <s v="not outlier"/>
  </r>
  <r>
    <x v="0"/>
    <x v="6"/>
    <x v="2"/>
    <x v="9"/>
    <x v="4"/>
    <n v="0.41880000000000001"/>
    <n v="71.137856999999997"/>
    <n v="0.31409999999999999"/>
    <n v="337"/>
    <s v="not outlier"/>
    <s v="not outlier"/>
    <s v="not outlier"/>
    <s v="not outlier"/>
  </r>
  <r>
    <x v="0"/>
    <x v="6"/>
    <x v="0"/>
    <x v="9"/>
    <x v="0"/>
    <n v="126.6888"/>
    <n v="6964.6412339999997"/>
    <n v="26.604600000000001"/>
    <n v="11236"/>
    <s v="outlier"/>
    <s v="outlier"/>
    <s v="outlier"/>
    <s v="outlier"/>
  </r>
  <r>
    <x v="0"/>
    <x v="6"/>
    <x v="0"/>
    <x v="9"/>
    <x v="1"/>
    <n v="87.388900000000007"/>
    <n v="7894.581306"/>
    <n v="30.586099999999998"/>
    <n v="7935"/>
    <s v="outlier"/>
    <s v="outlier"/>
    <s v="outlier"/>
    <s v="outlier"/>
  </r>
  <r>
    <x v="0"/>
    <x v="6"/>
    <x v="0"/>
    <x v="9"/>
    <x v="2"/>
    <n v="17.531400000000001"/>
    <n v="2313.4474599999999"/>
    <n v="8.7657000000000007"/>
    <n v="2129"/>
    <s v="not outlier"/>
    <s v="outlier"/>
    <s v="outlier"/>
    <s v="not outlier"/>
  </r>
  <r>
    <x v="0"/>
    <x v="6"/>
    <x v="0"/>
    <x v="9"/>
    <x v="4"/>
    <n v="7.5399999999999995E-2"/>
    <n v="10.340630000000001"/>
    <n v="5.6599999999999998E-2"/>
    <n v="34"/>
    <s v="not outlier"/>
    <s v="not outlier"/>
    <s v="not outlier"/>
    <s v="not outlier"/>
  </r>
  <r>
    <x v="0"/>
    <x v="7"/>
    <x v="1"/>
    <x v="9"/>
    <x v="0"/>
    <n v="17.445499999999999"/>
    <n v="1029.598821"/>
    <n v="3.6635"/>
    <n v="598"/>
    <s v="not outlier"/>
    <s v="not outlier"/>
    <s v="not outlier"/>
    <s v="not outlier"/>
  </r>
  <r>
    <x v="0"/>
    <x v="7"/>
    <x v="1"/>
    <x v="9"/>
    <x v="1"/>
    <n v="45.063200000000002"/>
    <n v="4036.5836749999999"/>
    <n v="15.7722"/>
    <n v="719"/>
    <s v="outlier"/>
    <s v="outlier"/>
    <s v="outlier"/>
    <s v="not outlier"/>
  </r>
  <r>
    <x v="0"/>
    <x v="7"/>
    <x v="1"/>
    <x v="9"/>
    <x v="2"/>
    <n v="50.0413"/>
    <n v="5268.2994339999996"/>
    <n v="25.020600000000002"/>
    <n v="620"/>
    <s v="outlier"/>
    <s v="outlier"/>
    <s v="outlier"/>
    <s v="not outlier"/>
  </r>
  <r>
    <x v="0"/>
    <x v="7"/>
    <x v="1"/>
    <x v="9"/>
    <x v="4"/>
    <n v="2.0630000000000002"/>
    <n v="213.29415299999999"/>
    <n v="1.5472999999999999"/>
    <n v="22"/>
    <s v="not outlier"/>
    <s v="not outlier"/>
    <s v="not outlier"/>
    <s v="not outlier"/>
  </r>
  <r>
    <x v="0"/>
    <x v="7"/>
    <x v="2"/>
    <x v="9"/>
    <x v="0"/>
    <n v="45.3431"/>
    <n v="3056.350782"/>
    <n v="9.5220000000000002"/>
    <n v="7767"/>
    <s v="outlier"/>
    <s v="outlier"/>
    <s v="outlier"/>
    <s v="outlier"/>
  </r>
  <r>
    <x v="0"/>
    <x v="7"/>
    <x v="2"/>
    <x v="9"/>
    <x v="3"/>
    <n v="1.2999999999999999E-3"/>
    <n v="0.142293"/>
    <n v="4.0000000000000002E-4"/>
    <n v="2"/>
    <s v="not outlier"/>
    <s v="not outlier"/>
    <s v="not outlier"/>
    <s v="not outlier"/>
  </r>
  <r>
    <x v="0"/>
    <x v="7"/>
    <x v="2"/>
    <x v="9"/>
    <x v="1"/>
    <n v="76.652299999999997"/>
    <n v="6777.6139649999996"/>
    <n v="26.828199999999999"/>
    <n v="8911"/>
    <s v="outlier"/>
    <s v="outlier"/>
    <s v="outlier"/>
    <s v="outlier"/>
  </r>
  <r>
    <x v="0"/>
    <x v="7"/>
    <x v="2"/>
    <x v="9"/>
    <x v="2"/>
    <n v="5.9657999999999998"/>
    <n v="822.03046200000006"/>
    <n v="2.9828999999999999"/>
    <n v="1480"/>
    <s v="not outlier"/>
    <s v="not outlier"/>
    <s v="not outlier"/>
    <s v="not outlier"/>
  </r>
  <r>
    <x v="0"/>
    <x v="7"/>
    <x v="2"/>
    <x v="9"/>
    <x v="4"/>
    <n v="0.41570000000000001"/>
    <n v="66.629109999999997"/>
    <n v="0.31180000000000002"/>
    <n v="308"/>
    <s v="not outlier"/>
    <s v="not outlier"/>
    <s v="not outlier"/>
    <s v="not outlier"/>
  </r>
  <r>
    <x v="0"/>
    <x v="7"/>
    <x v="0"/>
    <x v="9"/>
    <x v="0"/>
    <n v="75.933400000000006"/>
    <n v="4901.7206390000001"/>
    <n v="15.946"/>
    <n v="10036"/>
    <s v="outlier"/>
    <s v="outlier"/>
    <s v="outlier"/>
    <s v="outlier"/>
  </r>
  <r>
    <x v="0"/>
    <x v="7"/>
    <x v="0"/>
    <x v="9"/>
    <x v="1"/>
    <n v="96.819900000000004"/>
    <n v="7862.0244970000003"/>
    <n v="33.887"/>
    <n v="8203"/>
    <s v="outlier"/>
    <s v="outlier"/>
    <s v="outlier"/>
    <s v="outlier"/>
  </r>
  <r>
    <x v="0"/>
    <x v="7"/>
    <x v="0"/>
    <x v="9"/>
    <x v="2"/>
    <n v="14.841699999999999"/>
    <n v="1864.033093"/>
    <n v="7.4207999999999998"/>
    <n v="1810"/>
    <s v="not outlier"/>
    <s v="not outlier"/>
    <s v="outlier"/>
    <s v="not outlier"/>
  </r>
  <r>
    <x v="0"/>
    <x v="7"/>
    <x v="0"/>
    <x v="9"/>
    <x v="4"/>
    <n v="0.1094"/>
    <n v="15.912793000000001"/>
    <n v="8.2000000000000003E-2"/>
    <n v="71"/>
    <s v="not outlier"/>
    <s v="not outlier"/>
    <s v="not outlier"/>
    <s v="not outlier"/>
  </r>
  <r>
    <x v="0"/>
    <x v="8"/>
    <x v="1"/>
    <x v="9"/>
    <x v="0"/>
    <n v="15.116899999999999"/>
    <n v="870.32508299999995"/>
    <n v="3.1745999999999999"/>
    <n v="608"/>
    <s v="not outlier"/>
    <s v="not outlier"/>
    <s v="not outlier"/>
    <s v="not outlier"/>
  </r>
  <r>
    <x v="0"/>
    <x v="8"/>
    <x v="1"/>
    <x v="9"/>
    <x v="1"/>
    <n v="87.891099999999994"/>
    <n v="7403.3548629999996"/>
    <n v="30.761800000000001"/>
    <n v="714"/>
    <s v="outlier"/>
    <s v="outlier"/>
    <s v="outlier"/>
    <s v="not outlier"/>
  </r>
  <r>
    <x v="0"/>
    <x v="8"/>
    <x v="1"/>
    <x v="9"/>
    <x v="2"/>
    <n v="21.0883"/>
    <n v="2552.4830870000001"/>
    <n v="10.5441"/>
    <n v="578"/>
    <s v="not outlier"/>
    <s v="outlier"/>
    <s v="outlier"/>
    <s v="not outlier"/>
  </r>
  <r>
    <x v="0"/>
    <x v="8"/>
    <x v="1"/>
    <x v="9"/>
    <x v="4"/>
    <n v="3.56E-2"/>
    <n v="6.2832290000000004"/>
    <n v="2.6700000000000002E-2"/>
    <n v="10"/>
    <s v="not outlier"/>
    <s v="not outlier"/>
    <s v="not outlier"/>
    <s v="not outlier"/>
  </r>
  <r>
    <x v="0"/>
    <x v="8"/>
    <x v="2"/>
    <x v="9"/>
    <x v="0"/>
    <n v="50.706299999999999"/>
    <n v="3398.4730479999998"/>
    <n v="10.648300000000001"/>
    <n v="8349"/>
    <s v="outlier"/>
    <s v="outlier"/>
    <s v="outlier"/>
    <s v="outlier"/>
  </r>
  <r>
    <x v="0"/>
    <x v="8"/>
    <x v="2"/>
    <x v="9"/>
    <x v="3"/>
    <n v="1E-4"/>
    <n v="1.0940999999999999E-2"/>
    <s v="0"/>
    <n v="0"/>
    <s v="not outlier"/>
    <s v="not outlier"/>
    <s v="outlier"/>
    <s v="not outlier"/>
  </r>
  <r>
    <x v="0"/>
    <x v="8"/>
    <x v="2"/>
    <x v="9"/>
    <x v="1"/>
    <n v="63.533499999999997"/>
    <n v="5999.0034340000002"/>
    <n v="22.236699999999999"/>
    <n v="8630"/>
    <s v="outlier"/>
    <s v="outlier"/>
    <s v="outlier"/>
    <s v="outlier"/>
  </r>
  <r>
    <x v="0"/>
    <x v="8"/>
    <x v="2"/>
    <x v="9"/>
    <x v="2"/>
    <n v="6.4630000000000001"/>
    <n v="909.79536099999996"/>
    <n v="3.2315999999999998"/>
    <n v="1457"/>
    <s v="not outlier"/>
    <s v="not outlier"/>
    <s v="not outlier"/>
    <s v="not outlier"/>
  </r>
  <r>
    <x v="0"/>
    <x v="8"/>
    <x v="2"/>
    <x v="9"/>
    <x v="4"/>
    <n v="0.46260000000000001"/>
    <n v="79.825210999999996"/>
    <n v="0.34699999999999998"/>
    <n v="307"/>
    <s v="not outlier"/>
    <s v="not outlier"/>
    <s v="not outlier"/>
    <s v="not outlier"/>
  </r>
  <r>
    <x v="0"/>
    <x v="8"/>
    <x v="0"/>
    <x v="9"/>
    <x v="0"/>
    <n v="86.102199999999996"/>
    <n v="5422.0549819999997"/>
    <n v="18.081499999999998"/>
    <n v="11371"/>
    <s v="outlier"/>
    <s v="outlier"/>
    <s v="outlier"/>
    <s v="outlier"/>
  </r>
  <r>
    <x v="0"/>
    <x v="8"/>
    <x v="0"/>
    <x v="9"/>
    <x v="1"/>
    <n v="67.732699999999994"/>
    <n v="5977.6977690000003"/>
    <n v="23.706399999999999"/>
    <n v="7935"/>
    <s v="outlier"/>
    <s v="outlier"/>
    <s v="outlier"/>
    <s v="outlier"/>
  </r>
  <r>
    <x v="0"/>
    <x v="8"/>
    <x v="0"/>
    <x v="9"/>
    <x v="2"/>
    <n v="11.1159"/>
    <n v="1411.1791639999999"/>
    <n v="5.5579999999999998"/>
    <n v="1569"/>
    <s v="not outlier"/>
    <s v="not outlier"/>
    <s v="not outlier"/>
    <s v="not outlier"/>
  </r>
  <r>
    <x v="0"/>
    <x v="8"/>
    <x v="0"/>
    <x v="9"/>
    <x v="4"/>
    <n v="1.0494000000000001"/>
    <n v="147.30012199999999"/>
    <n v="0.78710000000000002"/>
    <n v="117"/>
    <s v="not outlier"/>
    <s v="not outlier"/>
    <s v="not outlier"/>
    <s v="not outlier"/>
  </r>
  <r>
    <x v="0"/>
    <x v="9"/>
    <x v="1"/>
    <x v="9"/>
    <x v="0"/>
    <n v="14.498900000000001"/>
    <n v="839.67503699999997"/>
    <n v="3.0448"/>
    <n v="529"/>
    <s v="not outlier"/>
    <s v="not outlier"/>
    <s v="not outlier"/>
    <s v="not outlier"/>
  </r>
  <r>
    <x v="0"/>
    <x v="9"/>
    <x v="1"/>
    <x v="9"/>
    <x v="1"/>
    <n v="52.6967"/>
    <n v="4545.6473779999997"/>
    <n v="18.4438"/>
    <n v="697"/>
    <s v="outlier"/>
    <s v="outlier"/>
    <s v="outlier"/>
    <s v="not outlier"/>
  </r>
  <r>
    <x v="0"/>
    <x v="9"/>
    <x v="1"/>
    <x v="9"/>
    <x v="2"/>
    <n v="27.0943"/>
    <n v="2912.2369319999998"/>
    <n v="13.5471"/>
    <n v="506"/>
    <s v="outlier"/>
    <s v="outlier"/>
    <s v="outlier"/>
    <s v="not outlier"/>
  </r>
  <r>
    <x v="0"/>
    <x v="9"/>
    <x v="1"/>
    <x v="9"/>
    <x v="4"/>
    <n v="1.0999999999999999E-2"/>
    <n v="2.3439860000000001"/>
    <n v="8.2000000000000007E-3"/>
    <n v="5"/>
    <s v="not outlier"/>
    <s v="not outlier"/>
    <s v="not outlier"/>
    <s v="not outlier"/>
  </r>
  <r>
    <x v="0"/>
    <x v="9"/>
    <x v="2"/>
    <x v="9"/>
    <x v="0"/>
    <n v="61.301000000000002"/>
    <n v="3827.9284269999998"/>
    <n v="12.8733"/>
    <n v="8388"/>
    <s v="outlier"/>
    <s v="outlier"/>
    <s v="outlier"/>
    <s v="outlier"/>
  </r>
  <r>
    <x v="0"/>
    <x v="9"/>
    <x v="2"/>
    <x v="9"/>
    <x v="3"/>
    <n v="4.7000000000000002E-3"/>
    <n v="0.54729000000000005"/>
    <n v="1.5E-3"/>
    <n v="2"/>
    <s v="not outlier"/>
    <s v="not outlier"/>
    <s v="not outlier"/>
    <s v="not outlier"/>
  </r>
  <r>
    <x v="0"/>
    <x v="9"/>
    <x v="2"/>
    <x v="9"/>
    <x v="1"/>
    <n v="70.338800000000006"/>
    <n v="6359.1611489999996"/>
    <n v="24.618600000000001"/>
    <n v="9467"/>
    <s v="outlier"/>
    <s v="outlier"/>
    <s v="outlier"/>
    <s v="outlier"/>
  </r>
  <r>
    <x v="0"/>
    <x v="9"/>
    <x v="2"/>
    <x v="9"/>
    <x v="2"/>
    <n v="5.8792999999999997"/>
    <n v="836.63046199999997"/>
    <n v="2.9397000000000002"/>
    <n v="1318"/>
    <s v="not outlier"/>
    <s v="not outlier"/>
    <s v="not outlier"/>
    <s v="not outlier"/>
  </r>
  <r>
    <x v="0"/>
    <x v="9"/>
    <x v="2"/>
    <x v="9"/>
    <x v="4"/>
    <n v="0.36559999999999998"/>
    <n v="58.669398000000001"/>
    <n v="0.2742"/>
    <n v="307"/>
    <s v="not outlier"/>
    <s v="not outlier"/>
    <s v="not outlier"/>
    <s v="not outlier"/>
  </r>
  <r>
    <x v="0"/>
    <x v="9"/>
    <x v="0"/>
    <x v="9"/>
    <x v="0"/>
    <n v="119.2838"/>
    <n v="6709.7453949999999"/>
    <n v="25.049600000000002"/>
    <n v="11510"/>
    <s v="outlier"/>
    <s v="outlier"/>
    <s v="outlier"/>
    <s v="outlier"/>
  </r>
  <r>
    <x v="0"/>
    <x v="9"/>
    <x v="0"/>
    <x v="9"/>
    <x v="1"/>
    <n v="88.321100000000001"/>
    <n v="7205.2934690000002"/>
    <n v="30.912400000000002"/>
    <n v="7827"/>
    <s v="outlier"/>
    <s v="outlier"/>
    <s v="outlier"/>
    <s v="outlier"/>
  </r>
  <r>
    <x v="0"/>
    <x v="9"/>
    <x v="0"/>
    <x v="9"/>
    <x v="2"/>
    <n v="9.9844000000000008"/>
    <n v="1220.2290290000001"/>
    <n v="4.9923000000000002"/>
    <n v="1230"/>
    <s v="not outlier"/>
    <s v="not outlier"/>
    <s v="not outlier"/>
    <s v="not outlier"/>
  </r>
  <r>
    <x v="0"/>
    <x v="9"/>
    <x v="0"/>
    <x v="9"/>
    <x v="4"/>
    <n v="0.43280000000000002"/>
    <n v="66.266283999999999"/>
    <n v="0.3246"/>
    <n v="117"/>
    <s v="not outlier"/>
    <s v="not outlier"/>
    <s v="not outlier"/>
    <s v="not outlier"/>
  </r>
  <r>
    <x v="0"/>
    <x v="10"/>
    <x v="1"/>
    <x v="9"/>
    <x v="0"/>
    <n v="11.6793"/>
    <n v="692.95661900000005"/>
    <n v="2.4527000000000001"/>
    <n v="532"/>
    <s v="not outlier"/>
    <s v="not outlier"/>
    <s v="not outlier"/>
    <s v="not outlier"/>
  </r>
  <r>
    <x v="0"/>
    <x v="10"/>
    <x v="1"/>
    <x v="9"/>
    <x v="1"/>
    <n v="83.769000000000005"/>
    <n v="6512.4255009999997"/>
    <n v="29.319199999999999"/>
    <n v="710"/>
    <s v="outlier"/>
    <s v="outlier"/>
    <s v="outlier"/>
    <s v="not outlier"/>
  </r>
  <r>
    <x v="0"/>
    <x v="10"/>
    <x v="1"/>
    <x v="9"/>
    <x v="2"/>
    <n v="17.698599999999999"/>
    <n v="2124.5435969999999"/>
    <n v="8.8491999999999997"/>
    <n v="508"/>
    <s v="not outlier"/>
    <s v="outlier"/>
    <s v="outlier"/>
    <s v="not outlier"/>
  </r>
  <r>
    <x v="0"/>
    <x v="10"/>
    <x v="1"/>
    <x v="9"/>
    <x v="4"/>
    <n v="4.7000000000000002E-3"/>
    <n v="1.028076"/>
    <n v="3.5999999999999999E-3"/>
    <n v="5"/>
    <s v="not outlier"/>
    <s v="not outlier"/>
    <s v="not outlier"/>
    <s v="not outlier"/>
  </r>
  <r>
    <x v="0"/>
    <x v="10"/>
    <x v="2"/>
    <x v="9"/>
    <x v="0"/>
    <n v="53.578200000000002"/>
    <n v="3386.3273669999999"/>
    <n v="11.2514"/>
    <n v="7789"/>
    <s v="outlier"/>
    <s v="outlier"/>
    <s v="outlier"/>
    <s v="outlier"/>
  </r>
  <r>
    <x v="0"/>
    <x v="10"/>
    <x v="2"/>
    <x v="9"/>
    <x v="3"/>
    <n v="8.6E-3"/>
    <n v="0.98517600000000005"/>
    <n v="2.7000000000000001E-3"/>
    <n v="1"/>
    <s v="not outlier"/>
    <s v="not outlier"/>
    <s v="not outlier"/>
    <s v="not outlier"/>
  </r>
  <r>
    <x v="0"/>
    <x v="10"/>
    <x v="2"/>
    <x v="9"/>
    <x v="1"/>
    <n v="68.321799999999996"/>
    <n v="6367.3161319999999"/>
    <n v="23.912500000000001"/>
    <n v="9323"/>
    <s v="outlier"/>
    <s v="outlier"/>
    <s v="outlier"/>
    <s v="outlier"/>
  </r>
  <r>
    <x v="0"/>
    <x v="10"/>
    <x v="2"/>
    <x v="9"/>
    <x v="2"/>
    <n v="5.7031999999999998"/>
    <n v="825.61218299999996"/>
    <n v="2.8515999999999999"/>
    <n v="1288"/>
    <s v="not outlier"/>
    <s v="not outlier"/>
    <s v="not outlier"/>
    <s v="not outlier"/>
  </r>
  <r>
    <x v="0"/>
    <x v="10"/>
    <x v="2"/>
    <x v="9"/>
    <x v="4"/>
    <n v="0.39810000000000001"/>
    <n v="68.190551999999997"/>
    <n v="0.29859999999999998"/>
    <n v="305"/>
    <s v="not outlier"/>
    <s v="not outlier"/>
    <s v="not outlier"/>
    <s v="not outlier"/>
  </r>
  <r>
    <x v="0"/>
    <x v="10"/>
    <x v="0"/>
    <x v="9"/>
    <x v="0"/>
    <n v="137.45570000000001"/>
    <n v="7628.5187299999998"/>
    <n v="28.8657"/>
    <n v="11267"/>
    <s v="outlier"/>
    <s v="outlier"/>
    <s v="outlier"/>
    <s v="outlier"/>
  </r>
  <r>
    <x v="0"/>
    <x v="10"/>
    <x v="0"/>
    <x v="9"/>
    <x v="1"/>
    <n v="150.47659999999999"/>
    <n v="11344.359734"/>
    <n v="52.666800000000002"/>
    <n v="11891"/>
    <s v="outlier"/>
    <s v="outlier"/>
    <s v="outlier"/>
    <s v="outlier"/>
  </r>
  <r>
    <x v="0"/>
    <x v="10"/>
    <x v="0"/>
    <x v="9"/>
    <x v="2"/>
    <n v="9.1911000000000005"/>
    <n v="1138.4475239999999"/>
    <n v="4.5955000000000004"/>
    <n v="1076"/>
    <s v="not outlier"/>
    <s v="not outlier"/>
    <s v="not outlier"/>
    <s v="not outlier"/>
  </r>
  <r>
    <x v="0"/>
    <x v="10"/>
    <x v="0"/>
    <x v="9"/>
    <x v="4"/>
    <n v="0.19900000000000001"/>
    <n v="33.195005000000002"/>
    <n v="0.14929999999999999"/>
    <n v="67"/>
    <s v="not outlier"/>
    <s v="not outlier"/>
    <s v="not outlier"/>
    <s v="not outlier"/>
  </r>
  <r>
    <x v="0"/>
    <x v="11"/>
    <x v="1"/>
    <x v="9"/>
    <x v="0"/>
    <n v="11.8332"/>
    <n v="714.14047900000003"/>
    <n v="2.4849999999999999"/>
    <n v="536"/>
    <s v="not outlier"/>
    <s v="not outlier"/>
    <s v="not outlier"/>
    <s v="not outlier"/>
  </r>
  <r>
    <x v="0"/>
    <x v="11"/>
    <x v="1"/>
    <x v="9"/>
    <x v="1"/>
    <n v="60.083199999999998"/>
    <n v="5107.3935730000003"/>
    <n v="21.0291"/>
    <n v="776"/>
    <s v="outlier"/>
    <s v="outlier"/>
    <s v="outlier"/>
    <s v="not outlier"/>
  </r>
  <r>
    <x v="0"/>
    <x v="11"/>
    <x v="1"/>
    <x v="9"/>
    <x v="2"/>
    <n v="49.139600000000002"/>
    <n v="4853.0570250000001"/>
    <n v="24.569900000000001"/>
    <n v="513"/>
    <s v="outlier"/>
    <s v="outlier"/>
    <s v="outlier"/>
    <s v="not outlier"/>
  </r>
  <r>
    <x v="0"/>
    <x v="11"/>
    <x v="1"/>
    <x v="9"/>
    <x v="4"/>
    <n v="4.5999999999999999E-3"/>
    <n v="1.0102390000000001"/>
    <n v="3.5000000000000001E-3"/>
    <n v="4"/>
    <s v="not outlier"/>
    <s v="not outlier"/>
    <s v="not outlier"/>
    <s v="not outlier"/>
  </r>
  <r>
    <x v="0"/>
    <x v="11"/>
    <x v="2"/>
    <x v="9"/>
    <x v="0"/>
    <n v="63.945999999999998"/>
    <n v="3988.5210590000002"/>
    <n v="13.428599999999999"/>
    <n v="9001"/>
    <s v="outlier"/>
    <s v="outlier"/>
    <s v="outlier"/>
    <s v="outlier"/>
  </r>
  <r>
    <x v="0"/>
    <x v="11"/>
    <x v="2"/>
    <x v="9"/>
    <x v="1"/>
    <n v="68.544200000000004"/>
    <n v="6497.5637919999999"/>
    <n v="23.990400000000001"/>
    <n v="9709"/>
    <s v="outlier"/>
    <s v="outlier"/>
    <s v="outlier"/>
    <s v="outlier"/>
  </r>
  <r>
    <x v="0"/>
    <x v="11"/>
    <x v="2"/>
    <x v="9"/>
    <x v="2"/>
    <n v="7.1943000000000001"/>
    <n v="1051.5509030000001"/>
    <n v="3.5971000000000002"/>
    <n v="1303"/>
    <s v="not outlier"/>
    <s v="not outlier"/>
    <s v="not outlier"/>
    <s v="not outlier"/>
  </r>
  <r>
    <x v="0"/>
    <x v="11"/>
    <x v="2"/>
    <x v="9"/>
    <x v="4"/>
    <n v="0.37369999999999998"/>
    <n v="60.482140000000001"/>
    <n v="0.28029999999999999"/>
    <n v="252"/>
    <s v="not outlier"/>
    <s v="not outlier"/>
    <s v="not outlier"/>
    <s v="not outlier"/>
  </r>
  <r>
    <x v="0"/>
    <x v="11"/>
    <x v="0"/>
    <x v="9"/>
    <x v="0"/>
    <n v="131.0205"/>
    <n v="7190.9176500000003"/>
    <n v="27.514399999999998"/>
    <n v="11485"/>
    <s v="outlier"/>
    <s v="outlier"/>
    <s v="outlier"/>
    <s v="outlier"/>
  </r>
  <r>
    <x v="0"/>
    <x v="11"/>
    <x v="0"/>
    <x v="9"/>
    <x v="1"/>
    <n v="124.66849999999999"/>
    <n v="10831.853884"/>
    <n v="43.634"/>
    <n v="14382"/>
    <s v="outlier"/>
    <s v="outlier"/>
    <s v="outlier"/>
    <s v="outlier"/>
  </r>
  <r>
    <x v="0"/>
    <x v="11"/>
    <x v="0"/>
    <x v="9"/>
    <x v="2"/>
    <n v="14.815099999999999"/>
    <n v="1659.9578710000001"/>
    <n v="7.4076000000000004"/>
    <n v="1165"/>
    <s v="not outlier"/>
    <s v="not outlier"/>
    <s v="outlier"/>
    <s v="not outlier"/>
  </r>
  <r>
    <x v="0"/>
    <x v="11"/>
    <x v="0"/>
    <x v="9"/>
    <x v="4"/>
    <n v="0.1368"/>
    <n v="24.417541"/>
    <n v="0.1026"/>
    <n v="52"/>
    <s v="not outlier"/>
    <s v="not outlier"/>
    <s v="not outlier"/>
    <s v="not outlier"/>
  </r>
  <r>
    <x v="0"/>
    <x v="0"/>
    <x v="1"/>
    <x v="9"/>
    <x v="0"/>
    <n v="11.162000000000001"/>
    <n v="693.52320399999996"/>
    <n v="2.3441000000000001"/>
    <n v="539"/>
    <s v="not outlier"/>
    <s v="not outlier"/>
    <s v="not outlier"/>
    <s v="not outlier"/>
  </r>
  <r>
    <x v="0"/>
    <x v="0"/>
    <x v="1"/>
    <x v="9"/>
    <x v="1"/>
    <n v="101.5784"/>
    <n v="8077.5133800000003"/>
    <n v="35.552500000000002"/>
    <n v="794"/>
    <s v="outlier"/>
    <s v="outlier"/>
    <s v="outlier"/>
    <s v="not outlier"/>
  </r>
  <r>
    <x v="0"/>
    <x v="0"/>
    <x v="1"/>
    <x v="9"/>
    <x v="2"/>
    <n v="33.7729"/>
    <n v="3444.5009960000002"/>
    <n v="16.886399999999998"/>
    <n v="551"/>
    <s v="outlier"/>
    <s v="outlier"/>
    <s v="outlier"/>
    <s v="not outlier"/>
  </r>
  <r>
    <x v="0"/>
    <x v="0"/>
    <x v="1"/>
    <x v="9"/>
    <x v="4"/>
    <n v="1.2999999999999999E-3"/>
    <n v="0.28458600000000001"/>
    <n v="1E-3"/>
    <n v="1"/>
    <s v="not outlier"/>
    <s v="not outlier"/>
    <s v="not outlier"/>
    <s v="not outlier"/>
  </r>
  <r>
    <x v="0"/>
    <x v="0"/>
    <x v="2"/>
    <x v="9"/>
    <x v="0"/>
    <n v="57.410200000000003"/>
    <n v="3619.51712"/>
    <n v="12.056100000000001"/>
    <n v="8353"/>
    <s v="outlier"/>
    <s v="outlier"/>
    <s v="outlier"/>
    <s v="outlier"/>
  </r>
  <r>
    <x v="0"/>
    <x v="0"/>
    <x v="2"/>
    <x v="9"/>
    <x v="1"/>
    <n v="66.791200000000003"/>
    <n v="6207.0104730000003"/>
    <n v="23.376899999999999"/>
    <n v="9988"/>
    <s v="outlier"/>
    <s v="outlier"/>
    <s v="outlier"/>
    <s v="outlier"/>
  </r>
  <r>
    <x v="0"/>
    <x v="0"/>
    <x v="2"/>
    <x v="9"/>
    <x v="2"/>
    <n v="4.9462000000000002"/>
    <n v="718.49784799999998"/>
    <n v="2.4733000000000001"/>
    <n v="1295"/>
    <s v="not outlier"/>
    <s v="not outlier"/>
    <s v="not outlier"/>
    <s v="not outlier"/>
  </r>
  <r>
    <x v="0"/>
    <x v="0"/>
    <x v="2"/>
    <x v="9"/>
    <x v="4"/>
    <n v="0.3836"/>
    <n v="63.470421999999999"/>
    <n v="0.28770000000000001"/>
    <n v="292"/>
    <s v="not outlier"/>
    <s v="not outlier"/>
    <s v="not outlier"/>
    <s v="not outlier"/>
  </r>
  <r>
    <x v="0"/>
    <x v="0"/>
    <x v="0"/>
    <x v="9"/>
    <x v="0"/>
    <n v="79.371300000000005"/>
    <n v="5005.1553190000004"/>
    <n v="16.667999999999999"/>
    <n v="10435"/>
    <s v="outlier"/>
    <s v="outlier"/>
    <s v="outlier"/>
    <s v="outlier"/>
  </r>
  <r>
    <x v="0"/>
    <x v="0"/>
    <x v="0"/>
    <x v="9"/>
    <x v="1"/>
    <n v="157.79230000000001"/>
    <n v="13396.308067"/>
    <n v="55.227200000000003"/>
    <n v="15696"/>
    <s v="outlier"/>
    <s v="outlier"/>
    <s v="outlier"/>
    <s v="outlier"/>
  </r>
  <r>
    <x v="0"/>
    <x v="0"/>
    <x v="0"/>
    <x v="9"/>
    <x v="2"/>
    <n v="11.558"/>
    <n v="1290.956385"/>
    <n v="5.7789999999999999"/>
    <n v="1071"/>
    <s v="not outlier"/>
    <s v="not outlier"/>
    <s v="not outlier"/>
    <s v="not outlier"/>
  </r>
  <r>
    <x v="0"/>
    <x v="0"/>
    <x v="0"/>
    <x v="9"/>
    <x v="4"/>
    <n v="8.6699999999999999E-2"/>
    <n v="15.436583000000001"/>
    <n v="6.5000000000000002E-2"/>
    <n v="51"/>
    <s v="not outlier"/>
    <s v="not outlier"/>
    <s v="not outlier"/>
    <s v="not outlier"/>
  </r>
  <r>
    <x v="0"/>
    <x v="1"/>
    <x v="1"/>
    <x v="9"/>
    <x v="0"/>
    <n v="12.700200000000001"/>
    <n v="789.22792300000003"/>
    <n v="2.6669999999999998"/>
    <n v="543"/>
    <s v="not outlier"/>
    <s v="not outlier"/>
    <s v="not outlier"/>
    <s v="not outlier"/>
  </r>
  <r>
    <x v="0"/>
    <x v="1"/>
    <x v="1"/>
    <x v="9"/>
    <x v="1"/>
    <n v="69.803600000000003"/>
    <n v="5995.2528309999998"/>
    <n v="24.4312"/>
    <n v="795"/>
    <s v="outlier"/>
    <s v="outlier"/>
    <s v="outlier"/>
    <s v="not outlier"/>
  </r>
  <r>
    <x v="0"/>
    <x v="1"/>
    <x v="1"/>
    <x v="9"/>
    <x v="2"/>
    <n v="40.608600000000003"/>
    <n v="3857.8111789999998"/>
    <n v="20.304400000000001"/>
    <n v="568"/>
    <s v="outlier"/>
    <s v="outlier"/>
    <s v="outlier"/>
    <s v="not outlier"/>
  </r>
  <r>
    <x v="0"/>
    <x v="1"/>
    <x v="1"/>
    <x v="9"/>
    <x v="4"/>
    <n v="2.8999999999999998E-3"/>
    <n v="0.23366300000000001"/>
    <n v="2.2000000000000001E-3"/>
    <n v="2"/>
    <s v="not outlier"/>
    <s v="not outlier"/>
    <s v="not outlier"/>
    <s v="not outlier"/>
  </r>
  <r>
    <x v="0"/>
    <x v="1"/>
    <x v="2"/>
    <x v="9"/>
    <x v="0"/>
    <n v="74.862899999999996"/>
    <n v="4235.5771329999998"/>
    <n v="15.7212"/>
    <n v="8742"/>
    <s v="outlier"/>
    <s v="outlier"/>
    <s v="outlier"/>
    <s v="outlier"/>
  </r>
  <r>
    <x v="0"/>
    <x v="1"/>
    <x v="2"/>
    <x v="9"/>
    <x v="1"/>
    <n v="44.227600000000002"/>
    <n v="4566.001749"/>
    <n v="15.479699999999999"/>
    <n v="8900"/>
    <s v="outlier"/>
    <s v="outlier"/>
    <s v="outlier"/>
    <s v="outlier"/>
  </r>
  <r>
    <x v="0"/>
    <x v="1"/>
    <x v="2"/>
    <x v="9"/>
    <x v="2"/>
    <n v="5.0658000000000003"/>
    <n v="764.22907699999996"/>
    <n v="2.5329999999999999"/>
    <n v="869"/>
    <s v="not outlier"/>
    <s v="not outlier"/>
    <s v="not outlier"/>
    <s v="not outlier"/>
  </r>
  <r>
    <x v="0"/>
    <x v="1"/>
    <x v="2"/>
    <x v="9"/>
    <x v="4"/>
    <n v="0.27960000000000002"/>
    <n v="45.269075000000001"/>
    <n v="0.2097"/>
    <n v="178"/>
    <s v="not outlier"/>
    <s v="not outlier"/>
    <s v="not outlier"/>
    <s v="not outlier"/>
  </r>
  <r>
    <x v="0"/>
    <x v="1"/>
    <x v="0"/>
    <x v="9"/>
    <x v="0"/>
    <n v="124.8704"/>
    <n v="7039.5640400000002"/>
    <n v="26.222799999999999"/>
    <n v="11727"/>
    <s v="outlier"/>
    <s v="outlier"/>
    <s v="outlier"/>
    <s v="outlier"/>
  </r>
  <r>
    <x v="0"/>
    <x v="1"/>
    <x v="0"/>
    <x v="9"/>
    <x v="1"/>
    <n v="110.6414"/>
    <n v="10476.185686000001"/>
    <n v="38.724499999999999"/>
    <n v="15236"/>
    <s v="outlier"/>
    <s v="outlier"/>
    <s v="outlier"/>
    <s v="outlier"/>
  </r>
  <r>
    <x v="0"/>
    <x v="1"/>
    <x v="0"/>
    <x v="9"/>
    <x v="2"/>
    <n v="9.7353000000000005"/>
    <n v="1248.6311000000001"/>
    <n v="4.8674999999999997"/>
    <n v="1006"/>
    <s v="not outlier"/>
    <s v="not outlier"/>
    <s v="not outlier"/>
    <s v="not outlier"/>
  </r>
  <r>
    <x v="0"/>
    <x v="1"/>
    <x v="0"/>
    <x v="9"/>
    <x v="4"/>
    <n v="7.5499999999999998E-2"/>
    <n v="12.065848000000001"/>
    <n v="5.6599999999999998E-2"/>
    <n v="45"/>
    <s v="not outlier"/>
    <s v="not outlier"/>
    <s v="not outlier"/>
    <s v="not outlier"/>
  </r>
  <r>
    <x v="0"/>
    <x v="11"/>
    <x v="1"/>
    <x v="9"/>
    <x v="5"/>
    <n v="0.77529999999999999"/>
    <n v="41.856000000000002"/>
    <n v="0.155"/>
    <n v="13"/>
    <s v="not outlier"/>
    <s v="not outlier"/>
    <s v="not outlier"/>
    <s v="not outlier"/>
  </r>
  <r>
    <x v="0"/>
    <x v="11"/>
    <x v="2"/>
    <x v="9"/>
    <x v="5"/>
    <n v="1.2061999999999999"/>
    <n v="76.909300000000002"/>
    <n v="0.2412"/>
    <n v="367"/>
    <s v="not outlier"/>
    <s v="not outlier"/>
    <s v="not outlier"/>
    <s v="not outlier"/>
  </r>
  <r>
    <x v="0"/>
    <x v="11"/>
    <x v="0"/>
    <x v="9"/>
    <x v="5"/>
    <n v="2.4603999999999999"/>
    <n v="151.083"/>
    <n v="0.49209999999999998"/>
    <n v="271"/>
    <s v="not outlier"/>
    <s v="not outlier"/>
    <s v="not outlier"/>
    <s v="not outlier"/>
  </r>
  <r>
    <x v="0"/>
    <x v="0"/>
    <x v="1"/>
    <x v="9"/>
    <x v="5"/>
    <n v="2.4714999999999998"/>
    <n v="173.91480000000001"/>
    <n v="0.49430000000000002"/>
    <n v="170"/>
    <s v="not outlier"/>
    <s v="not outlier"/>
    <s v="not outlier"/>
    <s v="not outlier"/>
  </r>
  <r>
    <x v="0"/>
    <x v="0"/>
    <x v="2"/>
    <x v="9"/>
    <x v="5"/>
    <n v="17.7682"/>
    <n v="1109.3931"/>
    <n v="3.5537000000000001"/>
    <n v="1713"/>
    <s v="not outlier"/>
    <s v="not outlier"/>
    <s v="not outlier"/>
    <s v="not outlier"/>
  </r>
  <r>
    <x v="0"/>
    <x v="0"/>
    <x v="0"/>
    <x v="9"/>
    <x v="5"/>
    <n v="18.8734"/>
    <n v="1317.4916000000001"/>
    <n v="3.7747000000000002"/>
    <n v="1607"/>
    <s v="not outlier"/>
    <s v="not outlier"/>
    <s v="not outlier"/>
    <s v="not outlier"/>
  </r>
  <r>
    <x v="0"/>
    <x v="1"/>
    <x v="1"/>
    <x v="9"/>
    <x v="5"/>
    <n v="36.907899999999998"/>
    <n v="2267.3182999999999"/>
    <n v="7.3815999999999997"/>
    <n v="468"/>
    <s v="outlier"/>
    <s v="outlier"/>
    <s v="outlier"/>
    <s v="not outlier"/>
  </r>
  <r>
    <x v="0"/>
    <x v="1"/>
    <x v="2"/>
    <x v="9"/>
    <x v="5"/>
    <n v="20.2285"/>
    <n v="1371.2550000000001"/>
    <n v="4.0456000000000003"/>
    <n v="1889"/>
    <s v="not outlier"/>
    <s v="not outlier"/>
    <s v="not outlier"/>
    <s v="not outlier"/>
  </r>
  <r>
    <x v="0"/>
    <x v="1"/>
    <x v="0"/>
    <x v="9"/>
    <x v="5"/>
    <n v="40.661700000000003"/>
    <n v="2642.1648"/>
    <n v="8.1324000000000005"/>
    <n v="2079"/>
    <s v="outlier"/>
    <s v="outlier"/>
    <s v="outlier"/>
    <s v="not outlier"/>
  </r>
  <r>
    <x v="0"/>
    <x v="2"/>
    <x v="2"/>
    <x v="10"/>
    <x v="1"/>
    <n v="0.52439999999999998"/>
    <n v="119.596253"/>
    <n v="0.1835"/>
    <n v="71"/>
    <s v="not outlier"/>
    <s v="not outlier"/>
    <s v="not outlier"/>
    <s v="not outlier"/>
  </r>
  <r>
    <x v="0"/>
    <x v="4"/>
    <x v="2"/>
    <x v="10"/>
    <x v="1"/>
    <n v="0.51239999999999997"/>
    <n v="123.330744"/>
    <n v="0.1794"/>
    <n v="72"/>
    <s v="not outlier"/>
    <s v="not outlier"/>
    <s v="not outlier"/>
    <s v="not outlier"/>
  </r>
  <r>
    <x v="0"/>
    <x v="9"/>
    <x v="2"/>
    <x v="10"/>
    <x v="1"/>
    <n v="0.51959999999999995"/>
    <n v="112.748627"/>
    <n v="0.18179999999999999"/>
    <n v="0"/>
    <s v="not outlier"/>
    <s v="not outlier"/>
    <s v="not outlier"/>
    <s v="not outlier"/>
  </r>
  <r>
    <x v="0"/>
    <x v="10"/>
    <x v="2"/>
    <x v="10"/>
    <x v="1"/>
    <n v="0.28739999999999999"/>
    <n v="65.509332999999998"/>
    <n v="0.10050000000000001"/>
    <n v="0"/>
    <s v="not outlier"/>
    <s v="not outlier"/>
    <s v="not outlier"/>
    <s v="not outlier"/>
  </r>
  <r>
    <x v="0"/>
    <x v="11"/>
    <x v="2"/>
    <x v="10"/>
    <x v="1"/>
    <n v="0.31890000000000002"/>
    <n v="70.952596999999997"/>
    <n v="0.11169999999999999"/>
    <n v="0"/>
    <s v="not outlier"/>
    <s v="not outlier"/>
    <s v="not outlier"/>
    <s v="not outlier"/>
  </r>
  <r>
    <x v="0"/>
    <x v="8"/>
    <x v="2"/>
    <x v="11"/>
    <x v="1"/>
    <n v="0.42970000000000003"/>
    <n v="86.020452000000006"/>
    <n v="0.15040000000000001"/>
    <n v="0"/>
    <s v="not outlier"/>
    <s v="not outlier"/>
    <s v="not outlier"/>
    <s v="not outlier"/>
  </r>
  <r>
    <x v="0"/>
    <x v="6"/>
    <x v="1"/>
    <x v="12"/>
    <x v="2"/>
    <n v="0.1731"/>
    <n v="35.477459000000003"/>
    <n v="6.93E-2"/>
    <n v="46"/>
    <s v="not outlier"/>
    <s v="not outlier"/>
    <s v="not outlier"/>
    <s v="not outlier"/>
  </r>
  <r>
    <x v="0"/>
    <x v="7"/>
    <x v="1"/>
    <x v="12"/>
    <x v="2"/>
    <n v="0.21099999999999999"/>
    <n v="44.131594"/>
    <n v="8.43E-2"/>
    <n v="0"/>
    <s v="not outlier"/>
    <s v="not outlier"/>
    <s v="not outlier"/>
    <s v="not outlier"/>
  </r>
  <r>
    <x v="0"/>
    <x v="8"/>
    <x v="1"/>
    <x v="12"/>
    <x v="2"/>
    <n v="0.22650000000000001"/>
    <n v="47.412948999999998"/>
    <n v="9.06E-2"/>
    <n v="57"/>
    <s v="not outlier"/>
    <s v="not outlier"/>
    <s v="not outlier"/>
    <s v="not outlier"/>
  </r>
  <r>
    <x v="0"/>
    <x v="9"/>
    <x v="1"/>
    <x v="12"/>
    <x v="2"/>
    <n v="0.25180000000000002"/>
    <n v="52.956798999999997"/>
    <n v="0.1007"/>
    <n v="57"/>
    <s v="not outlier"/>
    <s v="not outlier"/>
    <s v="not outlier"/>
    <s v="not outlier"/>
  </r>
  <r>
    <x v="0"/>
    <x v="10"/>
    <x v="1"/>
    <x v="12"/>
    <x v="2"/>
    <n v="0.24199999999999999"/>
    <n v="51.531351000000001"/>
    <n v="9.6699999999999994E-2"/>
    <n v="47"/>
    <s v="not outlier"/>
    <s v="not outlier"/>
    <s v="not outlier"/>
    <s v="not outlier"/>
  </r>
  <r>
    <x v="0"/>
    <x v="11"/>
    <x v="1"/>
    <x v="12"/>
    <x v="2"/>
    <n v="0.3019"/>
    <n v="52.337632999999997"/>
    <n v="0.1207"/>
    <n v="57"/>
    <s v="not outlier"/>
    <s v="not outlier"/>
    <s v="not outlier"/>
    <s v="not outlier"/>
  </r>
  <r>
    <x v="0"/>
    <x v="0"/>
    <x v="1"/>
    <x v="12"/>
    <x v="2"/>
    <n v="0.30549999999999999"/>
    <n v="50.607906999999997"/>
    <n v="0.1222"/>
    <n v="61"/>
    <s v="not outlier"/>
    <s v="not outlier"/>
    <s v="not outlier"/>
    <s v="not outlier"/>
  </r>
  <r>
    <x v="0"/>
    <x v="1"/>
    <x v="1"/>
    <x v="12"/>
    <x v="2"/>
    <n v="0.2248"/>
    <n v="41.788139000000001"/>
    <n v="8.9899999999999994E-2"/>
    <n v="60"/>
    <s v="not outlier"/>
    <s v="not outlier"/>
    <s v="not outlier"/>
    <s v="not outlier"/>
  </r>
  <r>
    <x v="0"/>
    <x v="2"/>
    <x v="2"/>
    <x v="13"/>
    <x v="2"/>
    <n v="0.47989999999999999"/>
    <n v="43.137400999999997"/>
    <n v="0.24"/>
    <n v="0"/>
    <s v="not outlier"/>
    <s v="not outlier"/>
    <s v="not outlier"/>
    <s v="not outlier"/>
  </r>
  <r>
    <x v="0"/>
    <x v="7"/>
    <x v="2"/>
    <x v="13"/>
    <x v="2"/>
    <n v="0.53869999999999996"/>
    <n v="47.024197000000001"/>
    <n v="0.26929999999999998"/>
    <n v="121"/>
    <s v="not outlier"/>
    <s v="not outlier"/>
    <s v="not outlier"/>
    <s v="not outlier"/>
  </r>
  <r>
    <x v="0"/>
    <x v="3"/>
    <x v="0"/>
    <x v="14"/>
    <x v="5"/>
    <n v="1.6000000000000001E-3"/>
    <n v="0.21092"/>
    <n v="2.9999999999999997E-4"/>
    <n v="4"/>
    <s v="not outlier"/>
    <s v="not outlier"/>
    <s v="not outlier"/>
    <s v="not outlier"/>
  </r>
  <r>
    <x v="0"/>
    <x v="3"/>
    <x v="0"/>
    <x v="14"/>
    <x v="1"/>
    <n v="2.2326000000000001"/>
    <n v="287.86845399999999"/>
    <n v="0.78149999999999997"/>
    <n v="150"/>
    <s v="not outlier"/>
    <s v="not outlier"/>
    <s v="not outlier"/>
    <s v="not outlier"/>
  </r>
  <r>
    <x v="0"/>
    <x v="4"/>
    <x v="0"/>
    <x v="14"/>
    <x v="5"/>
    <n v="4.0000000000000002E-4"/>
    <n v="4.9662999999999999E-2"/>
    <n v="1E-4"/>
    <n v="1"/>
    <s v="not outlier"/>
    <s v="not outlier"/>
    <s v="not outlier"/>
    <s v="not outlier"/>
  </r>
  <r>
    <x v="0"/>
    <x v="4"/>
    <x v="0"/>
    <x v="14"/>
    <x v="1"/>
    <n v="1.3841000000000001"/>
    <n v="238.90414200000001"/>
    <n v="0.4844"/>
    <n v="158"/>
    <s v="not outlier"/>
    <s v="not outlier"/>
    <s v="not outlier"/>
    <s v="not outlier"/>
  </r>
  <r>
    <x v="0"/>
    <x v="10"/>
    <x v="0"/>
    <x v="14"/>
    <x v="5"/>
    <n v="2.0000000000000001E-4"/>
    <n v="2.4798000000000001E-2"/>
    <n v="1E-4"/>
    <n v="2"/>
    <s v="not outlier"/>
    <s v="not outlier"/>
    <s v="not outlier"/>
    <s v="not outlier"/>
  </r>
  <r>
    <x v="0"/>
    <x v="10"/>
    <x v="0"/>
    <x v="14"/>
    <x v="1"/>
    <n v="0.76290000000000002"/>
    <n v="151.89261300000001"/>
    <n v="0.26700000000000002"/>
    <n v="114"/>
    <s v="not outlier"/>
    <s v="not outlier"/>
    <s v="not outlier"/>
    <s v="not outlier"/>
  </r>
  <r>
    <x v="0"/>
    <x v="11"/>
    <x v="0"/>
    <x v="14"/>
    <x v="1"/>
    <n v="0.86809999999999998"/>
    <n v="172.28099900000001"/>
    <n v="0.3039"/>
    <n v="121"/>
    <s v="not outlier"/>
    <s v="not outlier"/>
    <s v="not outlier"/>
    <s v="not outlier"/>
  </r>
  <r>
    <x v="0"/>
    <x v="2"/>
    <x v="1"/>
    <x v="15"/>
    <x v="6"/>
    <n v="6.7999999999999996E-3"/>
    <n v="2.200698"/>
    <n v="1.9E-3"/>
    <n v="4"/>
    <s v="not outlier"/>
    <s v="not outlier"/>
    <s v="not outlier"/>
    <s v="not outlier"/>
  </r>
  <r>
    <x v="0"/>
    <x v="2"/>
    <x v="1"/>
    <x v="15"/>
    <x v="2"/>
    <n v="0.56479999999999997"/>
    <n v="71.031833000000006"/>
    <n v="0.22589999999999999"/>
    <n v="78"/>
    <s v="not outlier"/>
    <s v="not outlier"/>
    <s v="not outlier"/>
    <s v="not outlier"/>
  </r>
  <r>
    <x v="0"/>
    <x v="3"/>
    <x v="1"/>
    <x v="15"/>
    <x v="6"/>
    <n v="6.1999999999999998E-3"/>
    <n v="2.0046979999999999"/>
    <n v="1.6999999999999999E-3"/>
    <n v="4"/>
    <s v="not outlier"/>
    <s v="not outlier"/>
    <s v="not outlier"/>
    <s v="not outlier"/>
  </r>
  <r>
    <x v="0"/>
    <x v="3"/>
    <x v="1"/>
    <x v="15"/>
    <x v="2"/>
    <n v="0.87439999999999996"/>
    <n v="106.29976499999999"/>
    <n v="0.3498"/>
    <n v="108"/>
    <s v="not outlier"/>
    <s v="not outlier"/>
    <s v="not outlier"/>
    <s v="not outlier"/>
  </r>
  <r>
    <x v="0"/>
    <x v="3"/>
    <x v="2"/>
    <x v="15"/>
    <x v="2"/>
    <n v="0.3508"/>
    <n v="40.453398"/>
    <n v="0.14030000000000001"/>
    <n v="282"/>
    <s v="not outlier"/>
    <s v="not outlier"/>
    <s v="not outlier"/>
    <s v="not outlier"/>
  </r>
  <r>
    <x v="0"/>
    <x v="4"/>
    <x v="1"/>
    <x v="15"/>
    <x v="6"/>
    <n v="9.9000000000000008E-3"/>
    <n v="3.2036440000000002"/>
    <n v="2.7000000000000001E-3"/>
    <n v="2"/>
    <s v="not outlier"/>
    <s v="not outlier"/>
    <s v="not outlier"/>
    <s v="not outlier"/>
  </r>
  <r>
    <x v="0"/>
    <x v="4"/>
    <x v="1"/>
    <x v="15"/>
    <x v="2"/>
    <n v="1.0074000000000001"/>
    <n v="121.778651"/>
    <n v="0.40289999999999998"/>
    <n v="114"/>
    <s v="not outlier"/>
    <s v="not outlier"/>
    <s v="not outlier"/>
    <s v="not outlier"/>
  </r>
  <r>
    <x v="0"/>
    <x v="4"/>
    <x v="2"/>
    <x v="15"/>
    <x v="2"/>
    <n v="0.42"/>
    <n v="48.423850999999999"/>
    <n v="0.16800000000000001"/>
    <n v="292"/>
    <s v="not outlier"/>
    <s v="not outlier"/>
    <s v="not outlier"/>
    <s v="not outlier"/>
  </r>
  <r>
    <x v="0"/>
    <x v="5"/>
    <x v="1"/>
    <x v="15"/>
    <x v="6"/>
    <n v="1.11E-2"/>
    <n v="3.6488230000000001"/>
    <n v="3.0999999999999999E-3"/>
    <n v="4"/>
    <s v="not outlier"/>
    <s v="not outlier"/>
    <s v="not outlier"/>
    <s v="not outlier"/>
  </r>
  <r>
    <x v="0"/>
    <x v="5"/>
    <x v="1"/>
    <x v="15"/>
    <x v="2"/>
    <n v="0.85609999999999997"/>
    <n v="102.900452"/>
    <n v="0.34239999999999998"/>
    <n v="113"/>
    <s v="not outlier"/>
    <s v="not outlier"/>
    <s v="not outlier"/>
    <s v="not outlier"/>
  </r>
  <r>
    <x v="0"/>
    <x v="5"/>
    <x v="2"/>
    <x v="15"/>
    <x v="6"/>
    <n v="6.9999999999999999E-4"/>
    <n v="0.25945600000000002"/>
    <n v="2.0000000000000001E-4"/>
    <n v="2"/>
    <s v="not outlier"/>
    <s v="not outlier"/>
    <s v="not outlier"/>
    <s v="not outlier"/>
  </r>
  <r>
    <x v="0"/>
    <x v="5"/>
    <x v="2"/>
    <x v="15"/>
    <x v="2"/>
    <n v="0.46750000000000003"/>
    <n v="50.164253000000002"/>
    <n v="0.187"/>
    <n v="307"/>
    <s v="not outlier"/>
    <s v="not outlier"/>
    <s v="not outlier"/>
    <s v="not outlier"/>
  </r>
  <r>
    <x v="0"/>
    <x v="6"/>
    <x v="1"/>
    <x v="15"/>
    <x v="6"/>
    <n v="8.0999999999999996E-3"/>
    <n v="2.6134539999999999"/>
    <n v="2.3E-3"/>
    <n v="3"/>
    <s v="not outlier"/>
    <s v="not outlier"/>
    <s v="not outlier"/>
    <s v="not outlier"/>
  </r>
  <r>
    <x v="0"/>
    <x v="6"/>
    <x v="1"/>
    <x v="15"/>
    <x v="2"/>
    <n v="0.76259999999999994"/>
    <n v="92.107812999999993"/>
    <n v="0.30499999999999999"/>
    <n v="115"/>
    <s v="not outlier"/>
    <s v="not outlier"/>
    <s v="not outlier"/>
    <s v="not outlier"/>
  </r>
  <r>
    <x v="0"/>
    <x v="6"/>
    <x v="2"/>
    <x v="15"/>
    <x v="6"/>
    <n v="1.2999999999999999E-3"/>
    <n v="0.42992900000000001"/>
    <n v="2.9999999999999997E-4"/>
    <n v="2"/>
    <s v="not outlier"/>
    <s v="not outlier"/>
    <s v="not outlier"/>
    <s v="not outlier"/>
  </r>
  <r>
    <x v="0"/>
    <x v="6"/>
    <x v="2"/>
    <x v="15"/>
    <x v="2"/>
    <n v="0.55410000000000004"/>
    <n v="65.790073000000007"/>
    <n v="0.22170000000000001"/>
    <n v="334"/>
    <s v="not outlier"/>
    <s v="not outlier"/>
    <s v="not outlier"/>
    <s v="not outlier"/>
  </r>
  <r>
    <x v="0"/>
    <x v="7"/>
    <x v="1"/>
    <x v="15"/>
    <x v="6"/>
    <n v="4.7999999999999996E-3"/>
    <n v="1.560646"/>
    <n v="1.4E-3"/>
    <n v="4"/>
    <s v="not outlier"/>
    <s v="not outlier"/>
    <s v="not outlier"/>
    <s v="not outlier"/>
  </r>
  <r>
    <x v="0"/>
    <x v="7"/>
    <x v="1"/>
    <x v="15"/>
    <x v="2"/>
    <n v="0.76719999999999999"/>
    <n v="92.905343000000002"/>
    <n v="0.30690000000000001"/>
    <n v="117"/>
    <s v="not outlier"/>
    <s v="not outlier"/>
    <s v="not outlier"/>
    <s v="not outlier"/>
  </r>
  <r>
    <x v="0"/>
    <x v="7"/>
    <x v="2"/>
    <x v="15"/>
    <x v="6"/>
    <n v="2.7000000000000001E-3"/>
    <n v="1.081717"/>
    <n v="6.9999999999999999E-4"/>
    <n v="2"/>
    <s v="not outlier"/>
    <s v="not outlier"/>
    <s v="not outlier"/>
    <s v="not outlier"/>
  </r>
  <r>
    <x v="0"/>
    <x v="7"/>
    <x v="2"/>
    <x v="15"/>
    <x v="2"/>
    <n v="0.51570000000000005"/>
    <n v="56.308770000000003"/>
    <n v="0.20630000000000001"/>
    <n v="338"/>
    <s v="not outlier"/>
    <s v="not outlier"/>
    <s v="not outlier"/>
    <s v="not outlier"/>
  </r>
  <r>
    <x v="0"/>
    <x v="8"/>
    <x v="1"/>
    <x v="15"/>
    <x v="6"/>
    <n v="6.1999999999999998E-3"/>
    <n v="1.9862649999999999"/>
    <n v="1.6999999999999999E-3"/>
    <n v="3"/>
    <s v="not outlier"/>
    <s v="not outlier"/>
    <s v="not outlier"/>
    <s v="not outlier"/>
  </r>
  <r>
    <x v="0"/>
    <x v="8"/>
    <x v="1"/>
    <x v="15"/>
    <x v="2"/>
    <n v="0.78590000000000004"/>
    <n v="93.897745999999998"/>
    <n v="0.31440000000000001"/>
    <n v="117"/>
    <s v="not outlier"/>
    <s v="not outlier"/>
    <s v="not outlier"/>
    <s v="not outlier"/>
  </r>
  <r>
    <x v="0"/>
    <x v="8"/>
    <x v="2"/>
    <x v="15"/>
    <x v="6"/>
    <n v="5.3E-3"/>
    <n v="1.9222790000000001"/>
    <n v="1.5E-3"/>
    <n v="2"/>
    <s v="not outlier"/>
    <s v="not outlier"/>
    <s v="not outlier"/>
    <s v="not outlier"/>
  </r>
  <r>
    <x v="0"/>
    <x v="8"/>
    <x v="2"/>
    <x v="15"/>
    <x v="2"/>
    <n v="0.64539999999999997"/>
    <n v="70.732262000000006"/>
    <n v="0.2581"/>
    <n v="422"/>
    <s v="not outlier"/>
    <s v="not outlier"/>
    <s v="not outlier"/>
    <s v="not outlier"/>
  </r>
  <r>
    <x v="0"/>
    <x v="9"/>
    <x v="1"/>
    <x v="15"/>
    <x v="6"/>
    <n v="7.6E-3"/>
    <n v="2.4637349999999998"/>
    <n v="2.2000000000000001E-3"/>
    <n v="3"/>
    <s v="not outlier"/>
    <s v="not outlier"/>
    <s v="not outlier"/>
    <s v="not outlier"/>
  </r>
  <r>
    <x v="0"/>
    <x v="9"/>
    <x v="1"/>
    <x v="15"/>
    <x v="2"/>
    <n v="0.73160000000000003"/>
    <n v="88.740459999999999"/>
    <n v="0.29270000000000002"/>
    <n v="116"/>
    <s v="not outlier"/>
    <s v="not outlier"/>
    <s v="not outlier"/>
    <s v="not outlier"/>
  </r>
  <r>
    <x v="0"/>
    <x v="9"/>
    <x v="2"/>
    <x v="15"/>
    <x v="6"/>
    <n v="9.1000000000000004E-3"/>
    <n v="3.2979310000000002"/>
    <n v="2.5000000000000001E-3"/>
    <n v="4"/>
    <s v="not outlier"/>
    <s v="not outlier"/>
    <s v="not outlier"/>
    <s v="not outlier"/>
  </r>
  <r>
    <x v="0"/>
    <x v="9"/>
    <x v="2"/>
    <x v="15"/>
    <x v="2"/>
    <n v="0.70140000000000002"/>
    <n v="85.608891"/>
    <n v="0.28050000000000003"/>
    <n v="397"/>
    <s v="not outlier"/>
    <s v="not outlier"/>
    <s v="not outlier"/>
    <s v="not outlier"/>
  </r>
  <r>
    <x v="0"/>
    <x v="10"/>
    <x v="1"/>
    <x v="15"/>
    <x v="6"/>
    <n v="4.3E-3"/>
    <n v="1.373928"/>
    <n v="1.2999999999999999E-3"/>
    <n v="3"/>
    <s v="not outlier"/>
    <s v="not outlier"/>
    <s v="not outlier"/>
    <s v="not outlier"/>
  </r>
  <r>
    <x v="0"/>
    <x v="10"/>
    <x v="1"/>
    <x v="15"/>
    <x v="2"/>
    <n v="0.76380000000000003"/>
    <n v="92.426348000000004"/>
    <n v="0.30549999999999999"/>
    <n v="121"/>
    <s v="not outlier"/>
    <s v="not outlier"/>
    <s v="not outlier"/>
    <s v="not outlier"/>
  </r>
  <r>
    <x v="0"/>
    <x v="10"/>
    <x v="2"/>
    <x v="15"/>
    <x v="6"/>
    <n v="2.2000000000000001E-3"/>
    <n v="0.85402199999999995"/>
    <n v="5.9999999999999995E-4"/>
    <n v="2"/>
    <s v="not outlier"/>
    <s v="not outlier"/>
    <s v="not outlier"/>
    <s v="not outlier"/>
  </r>
  <r>
    <x v="0"/>
    <x v="10"/>
    <x v="2"/>
    <x v="15"/>
    <x v="2"/>
    <n v="0.47610000000000002"/>
    <n v="55.913784999999997"/>
    <n v="0.19040000000000001"/>
    <n v="334"/>
    <s v="not outlier"/>
    <s v="not outlier"/>
    <s v="not outlier"/>
    <s v="not outlier"/>
  </r>
  <r>
    <x v="0"/>
    <x v="11"/>
    <x v="1"/>
    <x v="15"/>
    <x v="6"/>
    <n v="8.5000000000000006E-3"/>
    <n v="2.76735"/>
    <n v="2.3999999999999998E-3"/>
    <n v="2"/>
    <s v="not outlier"/>
    <s v="not outlier"/>
    <s v="not outlier"/>
    <s v="not outlier"/>
  </r>
  <r>
    <x v="0"/>
    <x v="11"/>
    <x v="1"/>
    <x v="15"/>
    <x v="2"/>
    <n v="0.86599999999999999"/>
    <n v="105.254914"/>
    <n v="0.34639999999999999"/>
    <n v="118"/>
    <s v="not outlier"/>
    <s v="not outlier"/>
    <s v="not outlier"/>
    <s v="not outlier"/>
  </r>
  <r>
    <x v="0"/>
    <x v="11"/>
    <x v="2"/>
    <x v="15"/>
    <x v="6"/>
    <n v="1.6000000000000001E-3"/>
    <n v="0.64330100000000001"/>
    <n v="5.0000000000000001E-4"/>
    <n v="2"/>
    <s v="not outlier"/>
    <s v="not outlier"/>
    <s v="not outlier"/>
    <s v="not outlier"/>
  </r>
  <r>
    <x v="0"/>
    <x v="11"/>
    <x v="2"/>
    <x v="15"/>
    <x v="2"/>
    <n v="0.51939999999999997"/>
    <n v="68.158990000000003"/>
    <n v="0.2077"/>
    <n v="270"/>
    <s v="not outlier"/>
    <s v="not outlier"/>
    <s v="not outlier"/>
    <s v="not outlier"/>
  </r>
  <r>
    <x v="0"/>
    <x v="0"/>
    <x v="1"/>
    <x v="15"/>
    <x v="6"/>
    <n v="9.2999999999999992E-3"/>
    <n v="2.947238"/>
    <n v="2.5999999999999999E-3"/>
    <n v="3"/>
    <s v="not outlier"/>
    <s v="not outlier"/>
    <s v="not outlier"/>
    <s v="not outlier"/>
  </r>
  <r>
    <x v="0"/>
    <x v="0"/>
    <x v="1"/>
    <x v="15"/>
    <x v="2"/>
    <n v="0.91449999999999998"/>
    <n v="111.77260200000001"/>
    <n v="0.36580000000000001"/>
    <n v="123"/>
    <s v="not outlier"/>
    <s v="not outlier"/>
    <s v="not outlier"/>
    <s v="not outlier"/>
  </r>
  <r>
    <x v="0"/>
    <x v="0"/>
    <x v="2"/>
    <x v="15"/>
    <x v="6"/>
    <n v="4.1999999999999997E-3"/>
    <n v="1.5446660000000001"/>
    <n v="1.1999999999999999E-3"/>
    <n v="4"/>
    <s v="not outlier"/>
    <s v="not outlier"/>
    <s v="not outlier"/>
    <s v="not outlier"/>
  </r>
  <r>
    <x v="0"/>
    <x v="0"/>
    <x v="2"/>
    <x v="15"/>
    <x v="2"/>
    <n v="0.49969999999999998"/>
    <n v="65.708517000000001"/>
    <n v="0.19989999999999999"/>
    <n v="272"/>
    <s v="not outlier"/>
    <s v="not outlier"/>
    <s v="not outlier"/>
    <s v="not outlier"/>
  </r>
  <r>
    <x v="0"/>
    <x v="1"/>
    <x v="1"/>
    <x v="15"/>
    <x v="6"/>
    <n v="4.7999999999999996E-3"/>
    <n v="1.5882289999999999"/>
    <n v="1.4E-3"/>
    <n v="3"/>
    <s v="not outlier"/>
    <s v="not outlier"/>
    <s v="not outlier"/>
    <s v="not outlier"/>
  </r>
  <r>
    <x v="0"/>
    <x v="1"/>
    <x v="1"/>
    <x v="15"/>
    <x v="2"/>
    <n v="0.94569999999999999"/>
    <n v="117.209566"/>
    <n v="0.37830000000000003"/>
    <n v="119"/>
    <s v="not outlier"/>
    <s v="not outlier"/>
    <s v="not outlier"/>
    <s v="not outlier"/>
  </r>
  <r>
    <x v="0"/>
    <x v="1"/>
    <x v="2"/>
    <x v="15"/>
    <x v="6"/>
    <n v="2.8999999999999998E-3"/>
    <n v="1.1161300000000001"/>
    <n v="8.0000000000000004E-4"/>
    <n v="2"/>
    <s v="not outlier"/>
    <s v="not outlier"/>
    <s v="not outlier"/>
    <s v="not outlier"/>
  </r>
  <r>
    <x v="0"/>
    <x v="1"/>
    <x v="2"/>
    <x v="15"/>
    <x v="2"/>
    <n v="0.3372"/>
    <n v="35.861902000000001"/>
    <n v="0.13489999999999999"/>
    <n v="212"/>
    <s v="not outlier"/>
    <s v="not outlier"/>
    <s v="not outlier"/>
    <s v="not outlier"/>
  </r>
  <r>
    <x v="0"/>
    <x v="2"/>
    <x v="2"/>
    <x v="16"/>
    <x v="5"/>
    <n v="2.2000000000000001E-3"/>
    <n v="0.93014200000000002"/>
    <n v="4.0000000000000002E-4"/>
    <n v="2"/>
    <s v="not outlier"/>
    <s v="not outlier"/>
    <s v="not outlier"/>
    <s v="not outlier"/>
  </r>
  <r>
    <x v="0"/>
    <x v="2"/>
    <x v="2"/>
    <x v="16"/>
    <x v="2"/>
    <n v="0.34160000000000001"/>
    <n v="108.540446"/>
    <n v="0.13669999999999999"/>
    <n v="49"/>
    <s v="not outlier"/>
    <s v="not outlier"/>
    <s v="not outlier"/>
    <s v="not outlier"/>
  </r>
  <r>
    <x v="0"/>
    <x v="2"/>
    <x v="0"/>
    <x v="16"/>
    <x v="5"/>
    <n v="8.8000000000000005E-3"/>
    <n v="3.021369"/>
    <n v="1.6999999999999999E-3"/>
    <n v="10"/>
    <s v="not outlier"/>
    <s v="not outlier"/>
    <s v="not outlier"/>
    <s v="not outlier"/>
  </r>
  <r>
    <x v="0"/>
    <x v="2"/>
    <x v="0"/>
    <x v="16"/>
    <x v="2"/>
    <n v="1.7346999999999999"/>
    <n v="489.01997599999999"/>
    <n v="0.69379999999999997"/>
    <n v="223"/>
    <s v="not outlier"/>
    <s v="not outlier"/>
    <s v="not outlier"/>
    <s v="not outlier"/>
  </r>
  <r>
    <x v="0"/>
    <x v="3"/>
    <x v="2"/>
    <x v="16"/>
    <x v="5"/>
    <n v="6.7000000000000004E-2"/>
    <n v="22.854507999999999"/>
    <n v="1.2699999999999999E-2"/>
    <n v="51"/>
    <s v="not outlier"/>
    <s v="not outlier"/>
    <s v="not outlier"/>
    <s v="not outlier"/>
  </r>
  <r>
    <x v="0"/>
    <x v="3"/>
    <x v="2"/>
    <x v="16"/>
    <x v="2"/>
    <n v="0.41860000000000003"/>
    <n v="131.38103000000001"/>
    <n v="0.16739999999999999"/>
    <n v="84"/>
    <s v="not outlier"/>
    <s v="not outlier"/>
    <s v="not outlier"/>
    <s v="not outlier"/>
  </r>
  <r>
    <x v="0"/>
    <x v="3"/>
    <x v="0"/>
    <x v="16"/>
    <x v="5"/>
    <n v="1.7500000000000002E-2"/>
    <n v="6.4333460000000002"/>
    <n v="3.3E-3"/>
    <n v="13"/>
    <s v="not outlier"/>
    <s v="not outlier"/>
    <s v="not outlier"/>
    <s v="not outlier"/>
  </r>
  <r>
    <x v="0"/>
    <x v="3"/>
    <x v="0"/>
    <x v="16"/>
    <x v="2"/>
    <n v="1.8029999999999999"/>
    <n v="520.28328699999997"/>
    <n v="0.72109999999999996"/>
    <n v="238"/>
    <s v="not outlier"/>
    <s v="not outlier"/>
    <s v="not outlier"/>
    <s v="not outlier"/>
  </r>
  <r>
    <x v="0"/>
    <x v="4"/>
    <x v="2"/>
    <x v="16"/>
    <x v="5"/>
    <n v="5.7999999999999996E-3"/>
    <n v="1.6053360000000001"/>
    <n v="1.1000000000000001E-3"/>
    <n v="0"/>
    <s v="not outlier"/>
    <s v="not outlier"/>
    <s v="not outlier"/>
    <s v="not outlier"/>
  </r>
  <r>
    <x v="0"/>
    <x v="4"/>
    <x v="2"/>
    <x v="16"/>
    <x v="2"/>
    <n v="0.30649999999999999"/>
    <n v="93.23621"/>
    <n v="0.1226"/>
    <n v="0"/>
    <s v="not outlier"/>
    <s v="not outlier"/>
    <s v="not outlier"/>
    <s v="not outlier"/>
  </r>
  <r>
    <x v="0"/>
    <x v="4"/>
    <x v="0"/>
    <x v="16"/>
    <x v="5"/>
    <n v="3.2199999999999999E-2"/>
    <n v="7.8845869999999998"/>
    <n v="6.1000000000000004E-3"/>
    <n v="21"/>
    <s v="not outlier"/>
    <s v="not outlier"/>
    <s v="not outlier"/>
    <s v="not outlier"/>
  </r>
  <r>
    <x v="0"/>
    <x v="4"/>
    <x v="0"/>
    <x v="16"/>
    <x v="2"/>
    <n v="2.1444999999999999"/>
    <n v="603.62510699999996"/>
    <n v="0.85770000000000002"/>
    <n v="257"/>
    <s v="not outlier"/>
    <s v="not outlier"/>
    <s v="not outlier"/>
    <s v="not outlier"/>
  </r>
  <r>
    <x v="0"/>
    <x v="5"/>
    <x v="0"/>
    <x v="16"/>
    <x v="5"/>
    <n v="8.77E-2"/>
    <n v="10.945539999999999"/>
    <n v="1.66E-2"/>
    <n v="28"/>
    <s v="not outlier"/>
    <s v="not outlier"/>
    <s v="not outlier"/>
    <s v="not outlier"/>
  </r>
  <r>
    <x v="0"/>
    <x v="5"/>
    <x v="0"/>
    <x v="16"/>
    <x v="1"/>
    <n v="6.9999999999999999E-4"/>
    <n v="0.250637"/>
    <n v="2.0000000000000001E-4"/>
    <n v="1"/>
    <s v="not outlier"/>
    <s v="not outlier"/>
    <s v="not outlier"/>
    <s v="not outlier"/>
  </r>
  <r>
    <x v="0"/>
    <x v="5"/>
    <x v="0"/>
    <x v="16"/>
    <x v="2"/>
    <n v="1.7914000000000001"/>
    <n v="455.09659900000003"/>
    <n v="0.71660000000000001"/>
    <n v="262"/>
    <s v="not outlier"/>
    <s v="not outlier"/>
    <s v="not outlier"/>
    <s v="not outlier"/>
  </r>
  <r>
    <x v="0"/>
    <x v="6"/>
    <x v="0"/>
    <x v="16"/>
    <x v="5"/>
    <n v="3.5700000000000003E-2"/>
    <n v="5.7183679999999999"/>
    <n v="6.7999999999999996E-3"/>
    <n v="14"/>
    <s v="not outlier"/>
    <s v="not outlier"/>
    <s v="not outlier"/>
    <s v="not outlier"/>
  </r>
  <r>
    <x v="0"/>
    <x v="6"/>
    <x v="0"/>
    <x v="16"/>
    <x v="2"/>
    <n v="1.3731"/>
    <n v="365.60741100000001"/>
    <n v="0.54910000000000003"/>
    <n v="202"/>
    <s v="not outlier"/>
    <s v="not outlier"/>
    <s v="not outlier"/>
    <s v="not outlier"/>
  </r>
  <r>
    <x v="0"/>
    <x v="7"/>
    <x v="0"/>
    <x v="16"/>
    <x v="5"/>
    <n v="1.35E-2"/>
    <n v="3.2805589999999998"/>
    <n v="2.5999999999999999E-3"/>
    <n v="7"/>
    <s v="not outlier"/>
    <s v="not outlier"/>
    <s v="not outlier"/>
    <s v="not outlier"/>
  </r>
  <r>
    <x v="0"/>
    <x v="7"/>
    <x v="0"/>
    <x v="16"/>
    <x v="2"/>
    <n v="1.3282"/>
    <n v="371.495588"/>
    <n v="0.53129999999999999"/>
    <n v="220"/>
    <s v="not outlier"/>
    <s v="not outlier"/>
    <s v="not outlier"/>
    <s v="not outlier"/>
  </r>
  <r>
    <x v="0"/>
    <x v="8"/>
    <x v="2"/>
    <x v="16"/>
    <x v="5"/>
    <n v="2.9899999999999999E-2"/>
    <n v="10.112935"/>
    <n v="5.7000000000000002E-3"/>
    <n v="0"/>
    <s v="not outlier"/>
    <s v="not outlier"/>
    <s v="not outlier"/>
    <s v="not outlier"/>
  </r>
  <r>
    <x v="0"/>
    <x v="8"/>
    <x v="2"/>
    <x v="16"/>
    <x v="2"/>
    <n v="0.1454"/>
    <n v="46.945756000000003"/>
    <n v="5.8200000000000002E-2"/>
    <n v="0"/>
    <s v="not outlier"/>
    <s v="not outlier"/>
    <s v="not outlier"/>
    <s v="not outlier"/>
  </r>
  <r>
    <x v="0"/>
    <x v="8"/>
    <x v="0"/>
    <x v="16"/>
    <x v="5"/>
    <n v="0.02"/>
    <n v="3.3484560000000001"/>
    <n v="3.8E-3"/>
    <n v="7"/>
    <s v="not outlier"/>
    <s v="not outlier"/>
    <s v="not outlier"/>
    <s v="not outlier"/>
  </r>
  <r>
    <x v="0"/>
    <x v="8"/>
    <x v="0"/>
    <x v="16"/>
    <x v="1"/>
    <n v="6.9999999999999999E-4"/>
    <n v="0.24201700000000001"/>
    <n v="2.0000000000000001E-4"/>
    <n v="1"/>
    <s v="not outlier"/>
    <s v="not outlier"/>
    <s v="not outlier"/>
    <s v="not outlier"/>
  </r>
  <r>
    <x v="0"/>
    <x v="8"/>
    <x v="0"/>
    <x v="16"/>
    <x v="2"/>
    <n v="1.3619000000000001"/>
    <n v="374.90537799999998"/>
    <n v="0.54479999999999995"/>
    <n v="235"/>
    <s v="not outlier"/>
    <s v="not outlier"/>
    <s v="not outlier"/>
    <s v="not outlier"/>
  </r>
  <r>
    <x v="0"/>
    <x v="9"/>
    <x v="2"/>
    <x v="16"/>
    <x v="5"/>
    <n v="6.6500000000000004E-2"/>
    <n v="22.486045000000001"/>
    <n v="1.26E-2"/>
    <n v="0"/>
    <s v="not outlier"/>
    <s v="not outlier"/>
    <s v="not outlier"/>
    <s v="not outlier"/>
  </r>
  <r>
    <x v="0"/>
    <x v="9"/>
    <x v="2"/>
    <x v="16"/>
    <x v="2"/>
    <n v="0.15840000000000001"/>
    <n v="50.113329999999998"/>
    <n v="6.3500000000000001E-2"/>
    <n v="0"/>
    <s v="not outlier"/>
    <s v="not outlier"/>
    <s v="not outlier"/>
    <s v="not outlier"/>
  </r>
  <r>
    <x v="0"/>
    <x v="9"/>
    <x v="0"/>
    <x v="16"/>
    <x v="5"/>
    <n v="1.6400000000000001E-2"/>
    <n v="2.9158759999999999"/>
    <n v="3.0999999999999999E-3"/>
    <n v="7"/>
    <s v="not outlier"/>
    <s v="not outlier"/>
    <s v="not outlier"/>
    <s v="not outlier"/>
  </r>
  <r>
    <x v="0"/>
    <x v="9"/>
    <x v="0"/>
    <x v="16"/>
    <x v="1"/>
    <n v="6.9999999999999999E-4"/>
    <n v="0.183668"/>
    <n v="2.0000000000000001E-4"/>
    <n v="1"/>
    <s v="not outlier"/>
    <s v="not outlier"/>
    <s v="not outlier"/>
    <s v="not outlier"/>
  </r>
  <r>
    <x v="0"/>
    <x v="9"/>
    <x v="0"/>
    <x v="16"/>
    <x v="2"/>
    <n v="1.1977"/>
    <n v="345.45659899999998"/>
    <n v="0.47920000000000001"/>
    <n v="201"/>
    <s v="not outlier"/>
    <s v="not outlier"/>
    <s v="not outlier"/>
    <s v="not outlier"/>
  </r>
  <r>
    <x v="0"/>
    <x v="10"/>
    <x v="2"/>
    <x v="16"/>
    <x v="5"/>
    <n v="6.2199999999999998E-2"/>
    <n v="20.959745999999999"/>
    <n v="1.18E-2"/>
    <n v="73"/>
    <s v="not outlier"/>
    <s v="not outlier"/>
    <s v="not outlier"/>
    <s v="not outlier"/>
  </r>
  <r>
    <x v="0"/>
    <x v="10"/>
    <x v="2"/>
    <x v="16"/>
    <x v="2"/>
    <n v="0.17460000000000001"/>
    <n v="59.082552"/>
    <n v="6.9800000000000001E-2"/>
    <n v="74"/>
    <s v="not outlier"/>
    <s v="not outlier"/>
    <s v="not outlier"/>
    <s v="not outlier"/>
  </r>
  <r>
    <x v="0"/>
    <x v="10"/>
    <x v="0"/>
    <x v="16"/>
    <x v="5"/>
    <n v="1.6299999999999999E-2"/>
    <n v="2.0425580000000001"/>
    <n v="3.0999999999999999E-3"/>
    <n v="4"/>
    <s v="not outlier"/>
    <s v="not outlier"/>
    <s v="not outlier"/>
    <s v="not outlier"/>
  </r>
  <r>
    <x v="0"/>
    <x v="10"/>
    <x v="0"/>
    <x v="16"/>
    <x v="1"/>
    <n v="6.9999999999999999E-4"/>
    <n v="0.25594099999999997"/>
    <n v="2.0000000000000001E-4"/>
    <n v="1"/>
    <s v="not outlier"/>
    <s v="not outlier"/>
    <s v="not outlier"/>
    <s v="not outlier"/>
  </r>
  <r>
    <x v="0"/>
    <x v="10"/>
    <x v="0"/>
    <x v="16"/>
    <x v="2"/>
    <n v="1.0472999999999999"/>
    <n v="309.44093400000003"/>
    <n v="0.41889999999999999"/>
    <n v="170"/>
    <s v="not outlier"/>
    <s v="not outlier"/>
    <s v="not outlier"/>
    <s v="not outlier"/>
  </r>
  <r>
    <x v="0"/>
    <x v="11"/>
    <x v="2"/>
    <x v="16"/>
    <x v="5"/>
    <n v="6.3399999999999998E-2"/>
    <n v="21.322638999999999"/>
    <n v="1.21E-2"/>
    <n v="0"/>
    <s v="not outlier"/>
    <s v="not outlier"/>
    <s v="not outlier"/>
    <s v="not outlier"/>
  </r>
  <r>
    <x v="0"/>
    <x v="11"/>
    <x v="2"/>
    <x v="16"/>
    <x v="2"/>
    <n v="0.18809999999999999"/>
    <n v="65.471207000000007"/>
    <n v="7.5300000000000006E-2"/>
    <n v="0"/>
    <s v="not outlier"/>
    <s v="not outlier"/>
    <s v="not outlier"/>
    <s v="not outlier"/>
  </r>
  <r>
    <x v="0"/>
    <x v="11"/>
    <x v="0"/>
    <x v="16"/>
    <x v="5"/>
    <n v="2.7000000000000001E-3"/>
    <n v="0.56320400000000004"/>
    <n v="5.0000000000000001E-4"/>
    <n v="4"/>
    <s v="not outlier"/>
    <s v="not outlier"/>
    <s v="not outlier"/>
    <s v="not outlier"/>
  </r>
  <r>
    <x v="0"/>
    <x v="11"/>
    <x v="0"/>
    <x v="16"/>
    <x v="1"/>
    <n v="3.3E-3"/>
    <n v="1.2797069999999999"/>
    <n v="1.1999999999999999E-3"/>
    <n v="2"/>
    <s v="not outlier"/>
    <s v="not outlier"/>
    <s v="not outlier"/>
    <s v="not outlier"/>
  </r>
  <r>
    <x v="0"/>
    <x v="11"/>
    <x v="0"/>
    <x v="16"/>
    <x v="2"/>
    <n v="1.0028999999999999"/>
    <n v="318.321438"/>
    <n v="0.40129999999999999"/>
    <n v="151"/>
    <s v="not outlier"/>
    <s v="not outlier"/>
    <s v="not outlier"/>
    <s v="not outlier"/>
  </r>
  <r>
    <x v="0"/>
    <x v="0"/>
    <x v="2"/>
    <x v="16"/>
    <x v="5"/>
    <n v="9.2499999999999999E-2"/>
    <n v="30.896571999999999"/>
    <n v="1.7600000000000001E-2"/>
    <n v="0"/>
    <s v="not outlier"/>
    <s v="not outlier"/>
    <s v="not outlier"/>
    <s v="not outlier"/>
  </r>
  <r>
    <x v="0"/>
    <x v="0"/>
    <x v="2"/>
    <x v="16"/>
    <x v="2"/>
    <n v="0.31979999999999997"/>
    <n v="103.77124999999999"/>
    <n v="0.128"/>
    <n v="0"/>
    <s v="not outlier"/>
    <s v="not outlier"/>
    <s v="not outlier"/>
    <s v="not outlier"/>
  </r>
  <r>
    <x v="0"/>
    <x v="0"/>
    <x v="0"/>
    <x v="16"/>
    <x v="5"/>
    <n v="6.9999999999999999E-4"/>
    <n v="0.24201700000000001"/>
    <n v="1E-4"/>
    <n v="2"/>
    <s v="not outlier"/>
    <s v="not outlier"/>
    <s v="not outlier"/>
    <s v="not outlier"/>
  </r>
  <r>
    <x v="0"/>
    <x v="0"/>
    <x v="0"/>
    <x v="16"/>
    <x v="1"/>
    <n v="1.8E-3"/>
    <n v="0.694689"/>
    <n v="5.9999999999999995E-4"/>
    <n v="1"/>
    <s v="not outlier"/>
    <s v="not outlier"/>
    <s v="not outlier"/>
    <s v="not outlier"/>
  </r>
  <r>
    <x v="0"/>
    <x v="0"/>
    <x v="0"/>
    <x v="16"/>
    <x v="2"/>
    <n v="0.9728"/>
    <n v="287.26506799999999"/>
    <n v="0.38919999999999999"/>
    <n v="150"/>
    <s v="not outlier"/>
    <s v="not outlier"/>
    <s v="not outlier"/>
    <s v="not outlier"/>
  </r>
  <r>
    <x v="0"/>
    <x v="1"/>
    <x v="0"/>
    <x v="16"/>
    <x v="1"/>
    <n v="2.0000000000000001E-4"/>
    <n v="7.3136000000000007E-2"/>
    <n v="1E-4"/>
    <n v="1"/>
    <s v="not outlier"/>
    <s v="not outlier"/>
    <s v="not outlier"/>
    <s v="not outlier"/>
  </r>
  <r>
    <x v="0"/>
    <x v="1"/>
    <x v="0"/>
    <x v="16"/>
    <x v="2"/>
    <n v="0.62039999999999995"/>
    <n v="191.647874"/>
    <n v="0.24809999999999999"/>
    <n v="124"/>
    <s v="not outlier"/>
    <s v="not outlier"/>
    <s v="not outlier"/>
    <s v="not outlier"/>
  </r>
  <r>
    <x v="0"/>
    <x v="2"/>
    <x v="2"/>
    <x v="17"/>
    <x v="6"/>
    <n v="1.0783"/>
    <n v="51.908766"/>
    <n v="0.30199999999999999"/>
    <n v="613"/>
    <s v="not outlier"/>
    <s v="not outlier"/>
    <s v="not outlier"/>
    <s v="not outlier"/>
  </r>
  <r>
    <x v="0"/>
    <x v="7"/>
    <x v="2"/>
    <x v="17"/>
    <x v="6"/>
    <n v="1.0837000000000001"/>
    <n v="49.519426000000003"/>
    <n v="0.3034"/>
    <n v="701"/>
    <s v="not outlier"/>
    <s v="not outlier"/>
    <s v="not outlier"/>
    <s v="not outlier"/>
  </r>
  <r>
    <x v="0"/>
    <x v="10"/>
    <x v="2"/>
    <x v="17"/>
    <x v="6"/>
    <n v="1.3202"/>
    <n v="62.586761000000003"/>
    <n v="0.36969999999999997"/>
    <n v="830"/>
    <s v="not outlier"/>
    <s v="not outlier"/>
    <s v="not outlier"/>
    <s v="not outlier"/>
  </r>
  <r>
    <x v="0"/>
    <x v="2"/>
    <x v="1"/>
    <x v="18"/>
    <x v="5"/>
    <n v="0.37069999999999997"/>
    <n v="56.153613999999997"/>
    <n v="7.0400000000000004E-2"/>
    <n v="0"/>
    <s v="not outlier"/>
    <s v="not outlier"/>
    <s v="not outlier"/>
    <s v="not outlier"/>
  </r>
  <r>
    <x v="0"/>
    <x v="3"/>
    <x v="1"/>
    <x v="18"/>
    <x v="5"/>
    <n v="0.33189999999999997"/>
    <n v="50.762267000000001"/>
    <n v="6.3100000000000003E-2"/>
    <n v="0"/>
    <s v="not outlier"/>
    <s v="not outlier"/>
    <s v="not outlier"/>
    <s v="not outlier"/>
  </r>
  <r>
    <x v="0"/>
    <x v="4"/>
    <x v="1"/>
    <x v="18"/>
    <x v="5"/>
    <n v="0.3775"/>
    <n v="58.161957999999998"/>
    <n v="7.17E-2"/>
    <n v="0"/>
    <s v="not outlier"/>
    <s v="not outlier"/>
    <s v="not outlier"/>
    <s v="not outlier"/>
  </r>
  <r>
    <x v="0"/>
    <x v="4"/>
    <x v="1"/>
    <x v="18"/>
    <x v="1"/>
    <n v="6.9999999999999999E-4"/>
    <n v="9.4486000000000001E-2"/>
    <n v="2.9999999999999997E-4"/>
    <n v="0"/>
    <s v="not outlier"/>
    <s v="not outlier"/>
    <s v="not outlier"/>
    <s v="not outlier"/>
  </r>
  <r>
    <x v="0"/>
    <x v="5"/>
    <x v="1"/>
    <x v="18"/>
    <x v="5"/>
    <n v="0.2712"/>
    <n v="41.763936999999999"/>
    <n v="5.1499999999999997E-2"/>
    <n v="0"/>
    <s v="not outlier"/>
    <s v="not outlier"/>
    <s v="not outlier"/>
    <s v="not outlier"/>
  </r>
  <r>
    <x v="0"/>
    <x v="6"/>
    <x v="1"/>
    <x v="18"/>
    <x v="5"/>
    <n v="0.23960000000000001"/>
    <n v="37.023186000000003"/>
    <n v="4.5499999999999999E-2"/>
    <n v="0"/>
    <s v="not outlier"/>
    <s v="not outlier"/>
    <s v="not outlier"/>
    <s v="not outlier"/>
  </r>
  <r>
    <x v="0"/>
    <x v="6"/>
    <x v="1"/>
    <x v="18"/>
    <x v="1"/>
    <n v="1.1000000000000001E-3"/>
    <n v="0.119351"/>
    <n v="4.0000000000000002E-4"/>
    <n v="0"/>
    <s v="not outlier"/>
    <s v="not outlier"/>
    <s v="not outlier"/>
    <s v="not outlier"/>
  </r>
  <r>
    <x v="0"/>
    <x v="8"/>
    <x v="1"/>
    <x v="18"/>
    <x v="5"/>
    <n v="0.2089"/>
    <n v="35.509419000000001"/>
    <n v="3.9699999999999999E-2"/>
    <n v="0"/>
    <s v="not outlier"/>
    <s v="not outlier"/>
    <s v="not outlier"/>
    <s v="not outlier"/>
  </r>
  <r>
    <x v="0"/>
    <x v="8"/>
    <x v="1"/>
    <x v="18"/>
    <x v="1"/>
    <n v="1.1000000000000001E-3"/>
    <n v="0.14985200000000001"/>
    <n v="4.0000000000000002E-4"/>
    <n v="0"/>
    <s v="not outlier"/>
    <s v="not outlier"/>
    <s v="not outlier"/>
    <s v="not outlier"/>
  </r>
  <r>
    <x v="0"/>
    <x v="10"/>
    <x v="1"/>
    <x v="18"/>
    <x v="5"/>
    <n v="0.21640000000000001"/>
    <n v="35.386023000000002"/>
    <n v="4.1099999999999998E-2"/>
    <n v="0"/>
    <s v="not outlier"/>
    <s v="not outlier"/>
    <s v="not outlier"/>
    <s v="not outlier"/>
  </r>
  <r>
    <x v="0"/>
    <x v="10"/>
    <x v="1"/>
    <x v="18"/>
    <x v="1"/>
    <n v="1.2999999999999999E-3"/>
    <n v="0.175645"/>
    <n v="5.0000000000000001E-4"/>
    <n v="0"/>
    <s v="not outlier"/>
    <s v="not outlier"/>
    <s v="not outlier"/>
    <s v="not outlier"/>
  </r>
  <r>
    <x v="0"/>
    <x v="11"/>
    <x v="1"/>
    <x v="18"/>
    <x v="5"/>
    <n v="0.2288"/>
    <n v="36.775134999999999"/>
    <n v="4.3499999999999997E-2"/>
    <n v="0"/>
    <s v="not outlier"/>
    <s v="not outlier"/>
    <s v="not outlier"/>
    <s v="not outlier"/>
  </r>
  <r>
    <x v="0"/>
    <x v="11"/>
    <x v="1"/>
    <x v="18"/>
    <x v="1"/>
    <n v="1.2999999999999999E-3"/>
    <n v="0.18559100000000001"/>
    <n v="5.0000000000000001E-4"/>
    <n v="0"/>
    <s v="not outlier"/>
    <s v="not outlier"/>
    <s v="not outlier"/>
    <s v="not outlier"/>
  </r>
  <r>
    <x v="0"/>
    <x v="0"/>
    <x v="1"/>
    <x v="18"/>
    <x v="5"/>
    <n v="0.22969999999999999"/>
    <n v="39.360475000000001"/>
    <n v="4.36E-2"/>
    <n v="0"/>
    <s v="not outlier"/>
    <s v="not outlier"/>
    <s v="not outlier"/>
    <s v="not outlier"/>
  </r>
  <r>
    <x v="0"/>
    <x v="0"/>
    <x v="1"/>
    <x v="18"/>
    <x v="1"/>
    <n v="2.3E-3"/>
    <n v="0.327685"/>
    <n v="8.9999999999999998E-4"/>
    <n v="0"/>
    <s v="not outlier"/>
    <s v="not outlier"/>
    <s v="not outlier"/>
    <s v="not outlier"/>
  </r>
  <r>
    <x v="0"/>
    <x v="1"/>
    <x v="1"/>
    <x v="18"/>
    <x v="5"/>
    <n v="0.29680000000000001"/>
    <n v="50.525289000000001"/>
    <n v="5.6399999999999999E-2"/>
    <n v="0"/>
    <s v="not outlier"/>
    <s v="not outlier"/>
    <s v="not outlier"/>
    <s v="not outlier"/>
  </r>
  <r>
    <x v="0"/>
    <x v="1"/>
    <x v="1"/>
    <x v="18"/>
    <x v="1"/>
    <n v="5.0000000000000001E-3"/>
    <n v="0.61836999999999998"/>
    <n v="2E-3"/>
    <n v="0"/>
    <s v="not outlier"/>
    <s v="not outlier"/>
    <s v="not outlier"/>
    <s v="not outlier"/>
  </r>
  <r>
    <x v="0"/>
    <x v="2"/>
    <x v="1"/>
    <x v="19"/>
    <x v="2"/>
    <n v="0.24199999999999999"/>
    <n v="61.805145000000003"/>
    <n v="9.6799999999999997E-2"/>
    <n v="96"/>
    <s v="not outlier"/>
    <s v="not outlier"/>
    <s v="not outlier"/>
    <s v="not outlier"/>
  </r>
  <r>
    <x v="0"/>
    <x v="3"/>
    <x v="1"/>
    <x v="19"/>
    <x v="2"/>
    <n v="0.23449999999999999"/>
    <n v="57.967151000000001"/>
    <n v="9.3799999999999994E-2"/>
    <n v="93"/>
    <s v="not outlier"/>
    <s v="not outlier"/>
    <s v="not outlier"/>
    <s v="not outlier"/>
  </r>
  <r>
    <x v="0"/>
    <x v="4"/>
    <x v="1"/>
    <x v="19"/>
    <x v="2"/>
    <n v="0.3357"/>
    <n v="78.294403000000003"/>
    <n v="0.1343"/>
    <n v="96"/>
    <s v="not outlier"/>
    <s v="not outlier"/>
    <s v="not outlier"/>
    <s v="not outlier"/>
  </r>
  <r>
    <x v="0"/>
    <x v="5"/>
    <x v="1"/>
    <x v="19"/>
    <x v="2"/>
    <n v="0.30159999999999998"/>
    <n v="68.126831999999993"/>
    <n v="0.1206"/>
    <n v="105"/>
    <s v="not outlier"/>
    <s v="not outlier"/>
    <s v="not outlier"/>
    <s v="not outlier"/>
  </r>
  <r>
    <x v="0"/>
    <x v="5"/>
    <x v="2"/>
    <x v="19"/>
    <x v="2"/>
    <n v="0.21260000000000001"/>
    <n v="55.786411000000001"/>
    <n v="8.5099999999999995E-2"/>
    <n v="104"/>
    <s v="not outlier"/>
    <s v="not outlier"/>
    <s v="not outlier"/>
    <s v="not outlier"/>
  </r>
  <r>
    <x v="0"/>
    <x v="6"/>
    <x v="1"/>
    <x v="19"/>
    <x v="2"/>
    <n v="0.65090000000000003"/>
    <n v="126.123622"/>
    <n v="0.26040000000000002"/>
    <n v="138"/>
    <s v="not outlier"/>
    <s v="not outlier"/>
    <s v="not outlier"/>
    <s v="not outlier"/>
  </r>
  <r>
    <x v="0"/>
    <x v="6"/>
    <x v="2"/>
    <x v="19"/>
    <x v="2"/>
    <n v="0.14530000000000001"/>
    <n v="41.459525999999997"/>
    <n v="5.8099999999999999E-2"/>
    <n v="0"/>
    <s v="not outlier"/>
    <s v="not outlier"/>
    <s v="not outlier"/>
    <s v="not outlier"/>
  </r>
  <r>
    <x v="0"/>
    <x v="7"/>
    <x v="1"/>
    <x v="19"/>
    <x v="2"/>
    <n v="0.5585"/>
    <n v="117.64838"/>
    <n v="0.22339999999999999"/>
    <n v="164"/>
    <s v="not outlier"/>
    <s v="not outlier"/>
    <s v="not outlier"/>
    <s v="not outlier"/>
  </r>
  <r>
    <x v="0"/>
    <x v="8"/>
    <x v="1"/>
    <x v="19"/>
    <x v="2"/>
    <n v="0.55979999999999996"/>
    <n v="112.794113"/>
    <n v="0.22389999999999999"/>
    <n v="183"/>
    <s v="not outlier"/>
    <s v="not outlier"/>
    <s v="not outlier"/>
    <s v="not outlier"/>
  </r>
  <r>
    <x v="0"/>
    <x v="9"/>
    <x v="1"/>
    <x v="19"/>
    <x v="2"/>
    <n v="0.69740000000000002"/>
    <n v="127.709397"/>
    <n v="0.27889999999999998"/>
    <n v="187"/>
    <s v="not outlier"/>
    <s v="not outlier"/>
    <s v="not outlier"/>
    <s v="not outlier"/>
  </r>
  <r>
    <x v="0"/>
    <x v="10"/>
    <x v="1"/>
    <x v="19"/>
    <x v="2"/>
    <n v="0.47449999999999998"/>
    <n v="93.170169000000001"/>
    <n v="0.1898"/>
    <n v="181"/>
    <s v="not outlier"/>
    <s v="not outlier"/>
    <s v="not outlier"/>
    <s v="not outlier"/>
  </r>
  <r>
    <x v="0"/>
    <x v="11"/>
    <x v="1"/>
    <x v="19"/>
    <x v="2"/>
    <n v="0.59019999999999995"/>
    <n v="116.50214699999999"/>
    <n v="0.2361"/>
    <n v="209"/>
    <s v="not outlier"/>
    <s v="not outlier"/>
    <s v="not outlier"/>
    <s v="not outlier"/>
  </r>
  <r>
    <x v="0"/>
    <x v="0"/>
    <x v="1"/>
    <x v="19"/>
    <x v="2"/>
    <n v="0.45989999999999998"/>
    <n v="98.216325999999995"/>
    <n v="0.18390000000000001"/>
    <n v="194"/>
    <s v="not outlier"/>
    <s v="not outlier"/>
    <s v="not outlier"/>
    <s v="not outlier"/>
  </r>
  <r>
    <x v="0"/>
    <x v="1"/>
    <x v="1"/>
    <x v="19"/>
    <x v="2"/>
    <n v="0.40260000000000001"/>
    <n v="87.407708"/>
    <n v="0.16109999999999999"/>
    <n v="202"/>
    <s v="not outlier"/>
    <s v="not outlier"/>
    <s v="not outlier"/>
    <s v="not outlier"/>
  </r>
  <r>
    <x v="0"/>
    <x v="2"/>
    <x v="1"/>
    <x v="20"/>
    <x v="1"/>
    <n v="1.6929000000000001"/>
    <n v="253.64291900000001"/>
    <n v="0.62639999999999996"/>
    <n v="95"/>
    <s v="not outlier"/>
    <s v="not outlier"/>
    <s v="not outlier"/>
    <s v="not outlier"/>
  </r>
  <r>
    <x v="0"/>
    <x v="2"/>
    <x v="2"/>
    <x v="20"/>
    <x v="1"/>
    <n v="1.2559"/>
    <n v="207.23231899999999"/>
    <n v="0.46479999999999999"/>
    <n v="355"/>
    <s v="not outlier"/>
    <s v="not outlier"/>
    <s v="not outlier"/>
    <s v="not outlier"/>
  </r>
  <r>
    <x v="0"/>
    <x v="2"/>
    <x v="0"/>
    <x v="20"/>
    <x v="1"/>
    <n v="5.5746000000000002"/>
    <n v="811.85141999999996"/>
    <n v="2.0626000000000002"/>
    <n v="709"/>
    <s v="not outlier"/>
    <s v="not outlier"/>
    <s v="not outlier"/>
    <s v="not outlier"/>
  </r>
  <r>
    <x v="0"/>
    <x v="3"/>
    <x v="1"/>
    <x v="20"/>
    <x v="1"/>
    <n v="1.8528"/>
    <n v="281.485434"/>
    <n v="0.6855"/>
    <n v="93"/>
    <s v="not outlier"/>
    <s v="not outlier"/>
    <s v="not outlier"/>
    <s v="not outlier"/>
  </r>
  <r>
    <x v="0"/>
    <x v="3"/>
    <x v="2"/>
    <x v="20"/>
    <x v="1"/>
    <n v="1.0449999999999999"/>
    <n v="178.409536"/>
    <n v="0.3866"/>
    <n v="253"/>
    <s v="not outlier"/>
    <s v="not outlier"/>
    <s v="not outlier"/>
    <s v="not outlier"/>
  </r>
  <r>
    <x v="0"/>
    <x v="3"/>
    <x v="0"/>
    <x v="20"/>
    <x v="1"/>
    <n v="10.983700000000001"/>
    <n v="1386.7354989999999"/>
    <n v="4.0640000000000001"/>
    <n v="919"/>
    <s v="not outlier"/>
    <s v="not outlier"/>
    <s v="not outlier"/>
    <s v="not outlier"/>
  </r>
  <r>
    <x v="0"/>
    <x v="4"/>
    <x v="1"/>
    <x v="20"/>
    <x v="1"/>
    <n v="2.1223000000000001"/>
    <n v="317.591342"/>
    <n v="0.7853"/>
    <n v="95"/>
    <s v="not outlier"/>
    <s v="not outlier"/>
    <s v="not outlier"/>
    <s v="not outlier"/>
  </r>
  <r>
    <x v="0"/>
    <x v="4"/>
    <x v="2"/>
    <x v="20"/>
    <x v="1"/>
    <n v="0.74860000000000004"/>
    <n v="124.803203"/>
    <n v="0.27700000000000002"/>
    <n v="253"/>
    <s v="not outlier"/>
    <s v="not outlier"/>
    <s v="not outlier"/>
    <s v="not outlier"/>
  </r>
  <r>
    <x v="0"/>
    <x v="4"/>
    <x v="0"/>
    <x v="20"/>
    <x v="1"/>
    <n v="8.5074000000000005"/>
    <n v="1124.5899529999999"/>
    <n v="3.1476999999999999"/>
    <n v="869"/>
    <s v="not outlier"/>
    <s v="not outlier"/>
    <s v="not outlier"/>
    <s v="not outlier"/>
  </r>
  <r>
    <x v="0"/>
    <x v="5"/>
    <x v="1"/>
    <x v="20"/>
    <x v="1"/>
    <n v="1.8156000000000001"/>
    <n v="283.72120799999999"/>
    <n v="0.67169999999999996"/>
    <n v="115"/>
    <s v="not outlier"/>
    <s v="not outlier"/>
    <s v="not outlier"/>
    <s v="not outlier"/>
  </r>
  <r>
    <x v="0"/>
    <x v="5"/>
    <x v="2"/>
    <x v="20"/>
    <x v="1"/>
    <n v="1.1032999999999999"/>
    <n v="186.01915199999999"/>
    <n v="0.40820000000000001"/>
    <n v="406"/>
    <s v="not outlier"/>
    <s v="not outlier"/>
    <s v="not outlier"/>
    <s v="not outlier"/>
  </r>
  <r>
    <x v="0"/>
    <x v="5"/>
    <x v="0"/>
    <x v="20"/>
    <x v="1"/>
    <n v="4.6311"/>
    <n v="722.76364899999999"/>
    <n v="1.7135"/>
    <n v="743"/>
    <s v="not outlier"/>
    <s v="not outlier"/>
    <s v="not outlier"/>
    <s v="not outlier"/>
  </r>
  <r>
    <x v="0"/>
    <x v="6"/>
    <x v="1"/>
    <x v="20"/>
    <x v="1"/>
    <n v="2.1726000000000001"/>
    <n v="330.982913"/>
    <n v="0.80379999999999996"/>
    <n v="138"/>
    <s v="not outlier"/>
    <s v="not outlier"/>
    <s v="not outlier"/>
    <s v="not outlier"/>
  </r>
  <r>
    <x v="0"/>
    <x v="6"/>
    <x v="2"/>
    <x v="20"/>
    <x v="1"/>
    <n v="1.528"/>
    <n v="224.94618399999999"/>
    <n v="0.56540000000000001"/>
    <n v="327"/>
    <s v="not outlier"/>
    <s v="not outlier"/>
    <s v="not outlier"/>
    <s v="not outlier"/>
  </r>
  <r>
    <x v="0"/>
    <x v="6"/>
    <x v="0"/>
    <x v="20"/>
    <x v="1"/>
    <n v="6.3243"/>
    <n v="868.844336"/>
    <n v="2.34"/>
    <n v="827"/>
    <s v="not outlier"/>
    <s v="not outlier"/>
    <s v="not outlier"/>
    <s v="not outlier"/>
  </r>
  <r>
    <x v="0"/>
    <x v="7"/>
    <x v="1"/>
    <x v="20"/>
    <x v="1"/>
    <n v="2.7663000000000002"/>
    <n v="391.48222600000003"/>
    <n v="1.0235000000000001"/>
    <n v="150"/>
    <s v="not outlier"/>
    <s v="not outlier"/>
    <s v="not outlier"/>
    <s v="not outlier"/>
  </r>
  <r>
    <x v="0"/>
    <x v="7"/>
    <x v="2"/>
    <x v="20"/>
    <x v="1"/>
    <n v="1.3844000000000001"/>
    <n v="236.517256"/>
    <n v="0.51229999999999998"/>
    <n v="320"/>
    <s v="not outlier"/>
    <s v="not outlier"/>
    <s v="not outlier"/>
    <s v="not outlier"/>
  </r>
  <r>
    <x v="0"/>
    <x v="7"/>
    <x v="0"/>
    <x v="20"/>
    <x v="1"/>
    <n v="8.0562000000000005"/>
    <n v="1209.3945510000001"/>
    <n v="2.9807999999999999"/>
    <n v="630"/>
    <s v="not outlier"/>
    <s v="not outlier"/>
    <s v="not outlier"/>
    <s v="not outlier"/>
  </r>
  <r>
    <x v="0"/>
    <x v="8"/>
    <x v="1"/>
    <x v="20"/>
    <x v="1"/>
    <n v="2.7746"/>
    <n v="382.44563799999997"/>
    <n v="1.0266999999999999"/>
    <n v="151"/>
    <s v="not outlier"/>
    <s v="not outlier"/>
    <s v="not outlier"/>
    <s v="not outlier"/>
  </r>
  <r>
    <x v="0"/>
    <x v="8"/>
    <x v="2"/>
    <x v="20"/>
    <x v="1"/>
    <n v="0.79969999999999997"/>
    <n v="132.96428599999999"/>
    <n v="0.2959"/>
    <n v="484"/>
    <s v="not outlier"/>
    <s v="not outlier"/>
    <s v="not outlier"/>
    <s v="not outlier"/>
  </r>
  <r>
    <x v="0"/>
    <x v="8"/>
    <x v="0"/>
    <x v="20"/>
    <x v="1"/>
    <n v="2.5478999999999998"/>
    <n v="411.200988"/>
    <n v="0.94269999999999998"/>
    <n v="718"/>
    <s v="not outlier"/>
    <s v="not outlier"/>
    <s v="not outlier"/>
    <s v="not outlier"/>
  </r>
  <r>
    <x v="0"/>
    <x v="9"/>
    <x v="1"/>
    <x v="20"/>
    <x v="1"/>
    <n v="2.5219999999999998"/>
    <n v="373.79846400000002"/>
    <n v="0.93310000000000004"/>
    <n v="153"/>
    <s v="not outlier"/>
    <s v="not outlier"/>
    <s v="not outlier"/>
    <s v="not outlier"/>
  </r>
  <r>
    <x v="0"/>
    <x v="9"/>
    <x v="2"/>
    <x v="20"/>
    <x v="1"/>
    <n v="1.1263000000000001"/>
    <n v="178.45250200000001"/>
    <n v="0.41670000000000001"/>
    <n v="409"/>
    <s v="not outlier"/>
    <s v="not outlier"/>
    <s v="not outlier"/>
    <s v="not outlier"/>
  </r>
  <r>
    <x v="0"/>
    <x v="9"/>
    <x v="0"/>
    <x v="20"/>
    <x v="1"/>
    <n v="2.5182000000000002"/>
    <n v="415.78386399999999"/>
    <n v="0.93169999999999997"/>
    <n v="479"/>
    <s v="not outlier"/>
    <s v="not outlier"/>
    <s v="not outlier"/>
    <s v="not outlier"/>
  </r>
  <r>
    <x v="0"/>
    <x v="10"/>
    <x v="1"/>
    <x v="20"/>
    <x v="1"/>
    <n v="2.4628999999999999"/>
    <n v="369.87360899999999"/>
    <n v="0.9113"/>
    <n v="162"/>
    <s v="not outlier"/>
    <s v="not outlier"/>
    <s v="not outlier"/>
    <s v="not outlier"/>
  </r>
  <r>
    <x v="0"/>
    <x v="10"/>
    <x v="2"/>
    <x v="20"/>
    <x v="1"/>
    <n v="0.62429999999999997"/>
    <n v="99.389678000000004"/>
    <n v="0.23100000000000001"/>
    <n v="234"/>
    <s v="not outlier"/>
    <s v="not outlier"/>
    <s v="not outlier"/>
    <s v="not outlier"/>
  </r>
  <r>
    <x v="0"/>
    <x v="10"/>
    <x v="0"/>
    <x v="20"/>
    <x v="1"/>
    <n v="2.9929000000000001"/>
    <n v="496.05571300000003"/>
    <n v="1.1073999999999999"/>
    <n v="574"/>
    <s v="not outlier"/>
    <s v="not outlier"/>
    <s v="not outlier"/>
    <s v="not outlier"/>
  </r>
  <r>
    <x v="0"/>
    <x v="11"/>
    <x v="1"/>
    <x v="20"/>
    <x v="1"/>
    <n v="2.7065000000000001"/>
    <n v="367.06660799999997"/>
    <n v="1.0014000000000001"/>
    <n v="167"/>
    <s v="not outlier"/>
    <s v="not outlier"/>
    <s v="not outlier"/>
    <s v="not outlier"/>
  </r>
  <r>
    <x v="0"/>
    <x v="11"/>
    <x v="2"/>
    <x v="20"/>
    <x v="1"/>
    <n v="0.76800000000000002"/>
    <n v="129.93482800000001"/>
    <n v="0.28410000000000002"/>
    <n v="201"/>
    <s v="not outlier"/>
    <s v="not outlier"/>
    <s v="not outlier"/>
    <s v="not outlier"/>
  </r>
  <r>
    <x v="0"/>
    <x v="11"/>
    <x v="0"/>
    <x v="20"/>
    <x v="1"/>
    <n v="2.4586000000000001"/>
    <n v="381.16135500000001"/>
    <n v="0.90969999999999995"/>
    <n v="584"/>
    <s v="not outlier"/>
    <s v="not outlier"/>
    <s v="not outlier"/>
    <s v="not outlier"/>
  </r>
  <r>
    <x v="0"/>
    <x v="0"/>
    <x v="1"/>
    <x v="20"/>
    <x v="1"/>
    <n v="1.8088"/>
    <n v="249.37645599999999"/>
    <n v="0.6694"/>
    <n v="160"/>
    <s v="not outlier"/>
    <s v="not outlier"/>
    <s v="not outlier"/>
    <s v="not outlier"/>
  </r>
  <r>
    <x v="0"/>
    <x v="0"/>
    <x v="2"/>
    <x v="20"/>
    <x v="1"/>
    <n v="0.72909999999999997"/>
    <n v="122.897301"/>
    <n v="0.2697"/>
    <n v="195"/>
    <s v="not outlier"/>
    <s v="not outlier"/>
    <s v="not outlier"/>
    <s v="not outlier"/>
  </r>
  <r>
    <x v="0"/>
    <x v="0"/>
    <x v="0"/>
    <x v="20"/>
    <x v="1"/>
    <n v="3.1013000000000002"/>
    <n v="405.38521600000001"/>
    <n v="1.1475"/>
    <n v="432"/>
    <s v="not outlier"/>
    <s v="not outlier"/>
    <s v="not outlier"/>
    <s v="not outlier"/>
  </r>
  <r>
    <x v="0"/>
    <x v="1"/>
    <x v="1"/>
    <x v="20"/>
    <x v="1"/>
    <n v="1.1941999999999999"/>
    <n v="162.46889400000001"/>
    <n v="0.44190000000000002"/>
    <n v="133"/>
    <s v="not outlier"/>
    <s v="not outlier"/>
    <s v="not outlier"/>
    <s v="not outlier"/>
  </r>
  <r>
    <x v="0"/>
    <x v="1"/>
    <x v="2"/>
    <x v="20"/>
    <x v="1"/>
    <n v="1.0039"/>
    <n v="159.75604799999999"/>
    <n v="0.37140000000000001"/>
    <n v="460"/>
    <s v="not outlier"/>
    <s v="not outlier"/>
    <s v="not outlier"/>
    <s v="not outlier"/>
  </r>
  <r>
    <x v="0"/>
    <x v="1"/>
    <x v="0"/>
    <x v="20"/>
    <x v="1"/>
    <n v="2.1985000000000001"/>
    <n v="309.21940499999999"/>
    <n v="0.81340000000000001"/>
    <n v="511"/>
    <s v="not outlier"/>
    <s v="not outlier"/>
    <s v="not outlier"/>
    <s v="not outlier"/>
  </r>
  <r>
    <x v="0"/>
    <x v="1"/>
    <x v="2"/>
    <x v="21"/>
    <x v="1"/>
    <n v="0.51149999999999995"/>
    <n v="35.519098999999997"/>
    <n v="0.1867"/>
    <n v="0"/>
    <s v="not outlier"/>
    <s v="not outlier"/>
    <s v="not outlier"/>
    <s v="not outlier"/>
  </r>
  <r>
    <x v="0"/>
    <x v="5"/>
    <x v="2"/>
    <x v="22"/>
    <x v="2"/>
    <n v="0.33460000000000001"/>
    <n v="58.388658999999997"/>
    <n v="0.1673"/>
    <n v="0"/>
    <s v="not outlier"/>
    <s v="not outlier"/>
    <s v="not outlier"/>
    <s v="not outlier"/>
  </r>
  <r>
    <x v="0"/>
    <x v="6"/>
    <x v="2"/>
    <x v="23"/>
    <x v="1"/>
    <n v="0.70879999999999999"/>
    <n v="42.527850000000001"/>
    <n v="0.24809999999999999"/>
    <n v="188"/>
    <s v="not outlier"/>
    <s v="not outlier"/>
    <s v="not outlier"/>
    <s v="not outlier"/>
  </r>
  <r>
    <x v="0"/>
    <x v="3"/>
    <x v="2"/>
    <x v="24"/>
    <x v="3"/>
    <n v="0.1532"/>
    <n v="27.976054999999999"/>
    <n v="4.9099999999999998E-2"/>
    <n v="0"/>
    <s v="not outlier"/>
    <s v="not outlier"/>
    <s v="not outlier"/>
    <s v="not outlier"/>
  </r>
  <r>
    <x v="0"/>
    <x v="3"/>
    <x v="2"/>
    <x v="24"/>
    <x v="2"/>
    <n v="2.9499999999999998E-2"/>
    <n v="2.7168909999999999"/>
    <n v="1.18E-2"/>
    <n v="0"/>
    <s v="not outlier"/>
    <s v="not outlier"/>
    <s v="not outlier"/>
    <s v="not outlier"/>
  </r>
  <r>
    <x v="0"/>
    <x v="2"/>
    <x v="0"/>
    <x v="25"/>
    <x v="5"/>
    <n v="0.34050000000000002"/>
    <n v="46.280242000000001"/>
    <n v="6.13E-2"/>
    <n v="63"/>
    <s v="not outlier"/>
    <s v="not outlier"/>
    <s v="not outlier"/>
    <s v="not outlier"/>
  </r>
  <r>
    <x v="0"/>
    <x v="2"/>
    <x v="0"/>
    <x v="25"/>
    <x v="1"/>
    <n v="0.74890000000000001"/>
    <n v="144.09554900000001"/>
    <n v="0.26219999999999999"/>
    <n v="67"/>
    <s v="not outlier"/>
    <s v="not outlier"/>
    <s v="not outlier"/>
    <s v="not outlier"/>
  </r>
  <r>
    <x v="0"/>
    <x v="3"/>
    <x v="2"/>
    <x v="25"/>
    <x v="5"/>
    <n v="2.2700000000000001E-2"/>
    <n v="3.238388"/>
    <n v="4.1000000000000003E-3"/>
    <n v="0"/>
    <s v="not outlier"/>
    <s v="not outlier"/>
    <s v="not outlier"/>
    <s v="not outlier"/>
  </r>
  <r>
    <x v="0"/>
    <x v="3"/>
    <x v="2"/>
    <x v="25"/>
    <x v="1"/>
    <n v="0.18310000000000001"/>
    <n v="36.294018000000001"/>
    <n v="6.4100000000000004E-2"/>
    <n v="0"/>
    <s v="not outlier"/>
    <s v="not outlier"/>
    <s v="not outlier"/>
    <s v="not outlier"/>
  </r>
  <r>
    <x v="0"/>
    <x v="5"/>
    <x v="0"/>
    <x v="25"/>
    <x v="5"/>
    <n v="0.35120000000000001"/>
    <n v="54.916409000000002"/>
    <n v="6.3200000000000006E-2"/>
    <n v="0"/>
    <s v="not outlier"/>
    <s v="not outlier"/>
    <s v="not outlier"/>
    <s v="not outlier"/>
  </r>
  <r>
    <x v="0"/>
    <x v="5"/>
    <x v="0"/>
    <x v="25"/>
    <x v="1"/>
    <n v="0.62539999999999996"/>
    <n v="129.90525500000001"/>
    <n v="0.21879999999999999"/>
    <n v="0"/>
    <s v="not outlier"/>
    <s v="not outlier"/>
    <s v="not outlier"/>
    <s v="not outlier"/>
  </r>
  <r>
    <x v="0"/>
    <x v="7"/>
    <x v="0"/>
    <x v="25"/>
    <x v="5"/>
    <n v="0.39269999999999999"/>
    <n v="60.613095000000001"/>
    <n v="7.0699999999999999E-2"/>
    <n v="0"/>
    <s v="not outlier"/>
    <s v="not outlier"/>
    <s v="not outlier"/>
    <s v="not outlier"/>
  </r>
  <r>
    <x v="0"/>
    <x v="7"/>
    <x v="0"/>
    <x v="25"/>
    <x v="1"/>
    <n v="0.55210000000000004"/>
    <n v="120.995908"/>
    <n v="0.1933"/>
    <n v="0"/>
    <s v="not outlier"/>
    <s v="not outlier"/>
    <s v="not outlier"/>
    <s v="not outlier"/>
  </r>
  <r>
    <x v="0"/>
    <x v="8"/>
    <x v="0"/>
    <x v="25"/>
    <x v="5"/>
    <n v="0.29099999999999998"/>
    <n v="49.084923000000003"/>
    <n v="5.2400000000000002E-2"/>
    <n v="0"/>
    <s v="not outlier"/>
    <s v="not outlier"/>
    <s v="not outlier"/>
    <s v="not outlier"/>
  </r>
  <r>
    <x v="0"/>
    <x v="8"/>
    <x v="0"/>
    <x v="25"/>
    <x v="1"/>
    <n v="0.65839999999999999"/>
    <n v="140.649292"/>
    <n v="0.23039999999999999"/>
    <n v="0"/>
    <s v="not outlier"/>
    <s v="not outlier"/>
    <s v="not outlier"/>
    <s v="not outlier"/>
  </r>
  <r>
    <x v="0"/>
    <x v="9"/>
    <x v="0"/>
    <x v="25"/>
    <x v="5"/>
    <n v="0.24660000000000001"/>
    <n v="41.636364"/>
    <n v="4.4400000000000002E-2"/>
    <n v="0"/>
    <s v="not outlier"/>
    <s v="not outlier"/>
    <s v="not outlier"/>
    <s v="not outlier"/>
  </r>
  <r>
    <x v="0"/>
    <x v="9"/>
    <x v="0"/>
    <x v="25"/>
    <x v="1"/>
    <n v="0.55979999999999996"/>
    <n v="128.825793"/>
    <n v="0.19589999999999999"/>
    <n v="0"/>
    <s v="not outlier"/>
    <s v="not outlier"/>
    <s v="not outlier"/>
    <s v="not outlier"/>
  </r>
  <r>
    <x v="0"/>
    <x v="10"/>
    <x v="0"/>
    <x v="25"/>
    <x v="5"/>
    <n v="0.34150000000000003"/>
    <n v="57.675272"/>
    <n v="6.1499999999999999E-2"/>
    <n v="0"/>
    <s v="not outlier"/>
    <s v="not outlier"/>
    <s v="not outlier"/>
    <s v="not outlier"/>
  </r>
  <r>
    <x v="0"/>
    <x v="10"/>
    <x v="0"/>
    <x v="25"/>
    <x v="1"/>
    <n v="0.68510000000000004"/>
    <n v="159.26425599999999"/>
    <n v="0.23980000000000001"/>
    <n v="0"/>
    <s v="not outlier"/>
    <s v="not outlier"/>
    <s v="not outlier"/>
    <s v="not outlier"/>
  </r>
  <r>
    <x v="0"/>
    <x v="11"/>
    <x v="0"/>
    <x v="25"/>
    <x v="5"/>
    <n v="0.36109999999999998"/>
    <n v="62.499037999999999"/>
    <n v="6.5000000000000002E-2"/>
    <n v="0"/>
    <s v="not outlier"/>
    <s v="not outlier"/>
    <s v="not outlier"/>
    <s v="not outlier"/>
  </r>
  <r>
    <x v="0"/>
    <x v="11"/>
    <x v="0"/>
    <x v="25"/>
    <x v="1"/>
    <n v="0.68810000000000004"/>
    <n v="160.841014"/>
    <n v="0.24079999999999999"/>
    <n v="0"/>
    <s v="not outlier"/>
    <s v="not outlier"/>
    <s v="not outlier"/>
    <s v="not outlier"/>
  </r>
  <r>
    <x v="0"/>
    <x v="0"/>
    <x v="2"/>
    <x v="25"/>
    <x v="5"/>
    <n v="3.2500000000000001E-2"/>
    <n v="5.8138490000000003"/>
    <n v="5.7999999999999996E-3"/>
    <n v="0"/>
    <s v="not outlier"/>
    <s v="not outlier"/>
    <s v="not outlier"/>
    <s v="not outlier"/>
  </r>
  <r>
    <x v="0"/>
    <x v="0"/>
    <x v="2"/>
    <x v="25"/>
    <x v="1"/>
    <n v="0.2228"/>
    <n v="51.098505000000003"/>
    <n v="7.8E-2"/>
    <n v="0"/>
    <s v="not outlier"/>
    <s v="not outlier"/>
    <s v="not outlier"/>
    <s v="not outlier"/>
  </r>
  <r>
    <x v="0"/>
    <x v="0"/>
    <x v="0"/>
    <x v="25"/>
    <x v="5"/>
    <n v="0.38250000000000001"/>
    <n v="68.448018000000005"/>
    <n v="6.88E-2"/>
    <n v="80"/>
    <s v="not outlier"/>
    <s v="not outlier"/>
    <s v="not outlier"/>
    <s v="not outlier"/>
  </r>
  <r>
    <x v="0"/>
    <x v="0"/>
    <x v="0"/>
    <x v="25"/>
    <x v="1"/>
    <n v="1.0277000000000001"/>
    <n v="215.00571099999999"/>
    <n v="0.35970000000000002"/>
    <n v="86"/>
    <s v="not outlier"/>
    <s v="not outlier"/>
    <s v="not outlier"/>
    <s v="not outlier"/>
  </r>
  <r>
    <x v="0"/>
    <x v="1"/>
    <x v="2"/>
    <x v="25"/>
    <x v="5"/>
    <n v="3.7199999999999997E-2"/>
    <n v="6.7132240000000003"/>
    <n v="6.7000000000000002E-3"/>
    <n v="0"/>
    <s v="not outlier"/>
    <s v="not outlier"/>
    <s v="not outlier"/>
    <s v="not outlier"/>
  </r>
  <r>
    <x v="0"/>
    <x v="1"/>
    <x v="2"/>
    <x v="25"/>
    <x v="1"/>
    <n v="0.1953"/>
    <n v="45.258333"/>
    <n v="6.8400000000000002E-2"/>
    <n v="0"/>
    <s v="not outlier"/>
    <s v="not outlier"/>
    <s v="not outlier"/>
    <s v="not outlier"/>
  </r>
  <r>
    <x v="0"/>
    <x v="1"/>
    <x v="0"/>
    <x v="25"/>
    <x v="5"/>
    <n v="0.35270000000000001"/>
    <n v="63.560267000000003"/>
    <n v="6.3500000000000001E-2"/>
    <n v="81"/>
    <s v="not outlier"/>
    <s v="not outlier"/>
    <s v="not outlier"/>
    <s v="not outlier"/>
  </r>
  <r>
    <x v="0"/>
    <x v="1"/>
    <x v="0"/>
    <x v="25"/>
    <x v="1"/>
    <n v="0.76939999999999997"/>
    <n v="174.461142"/>
    <n v="0.26929999999999998"/>
    <n v="87"/>
    <s v="not outlier"/>
    <s v="not outlier"/>
    <s v="not outlier"/>
    <s v="not outlier"/>
  </r>
  <r>
    <x v="0"/>
    <x v="2"/>
    <x v="1"/>
    <x v="26"/>
    <x v="5"/>
    <n v="3.4855999999999998"/>
    <n v="328.75562600000001"/>
    <n v="0.62739999999999996"/>
    <n v="96"/>
    <s v="not outlier"/>
    <s v="not outlier"/>
    <s v="not outlier"/>
    <s v="not outlier"/>
  </r>
  <r>
    <x v="0"/>
    <x v="2"/>
    <x v="2"/>
    <x v="26"/>
    <x v="5"/>
    <n v="2.0960999999999999"/>
    <n v="177.535357"/>
    <n v="0.37730000000000002"/>
    <n v="298"/>
    <s v="not outlier"/>
    <s v="not outlier"/>
    <s v="not outlier"/>
    <s v="not outlier"/>
  </r>
  <r>
    <x v="0"/>
    <x v="2"/>
    <x v="0"/>
    <x v="26"/>
    <x v="5"/>
    <n v="3.1911999999999998"/>
    <n v="241.683626"/>
    <n v="0.57440000000000002"/>
    <n v="179"/>
    <s v="not outlier"/>
    <s v="not outlier"/>
    <s v="not outlier"/>
    <s v="not outlier"/>
  </r>
  <r>
    <x v="0"/>
    <x v="3"/>
    <x v="1"/>
    <x v="26"/>
    <x v="5"/>
    <n v="3.1436000000000002"/>
    <n v="306.87880100000001"/>
    <n v="0.56589999999999996"/>
    <n v="89"/>
    <s v="not outlier"/>
    <s v="not outlier"/>
    <s v="not outlier"/>
    <s v="not outlier"/>
  </r>
  <r>
    <x v="0"/>
    <x v="3"/>
    <x v="2"/>
    <x v="26"/>
    <x v="5"/>
    <n v="1.0259"/>
    <n v="91.413190999999998"/>
    <n v="0.1847"/>
    <n v="233"/>
    <s v="not outlier"/>
    <s v="not outlier"/>
    <s v="not outlier"/>
    <s v="not outlier"/>
  </r>
  <r>
    <x v="0"/>
    <x v="4"/>
    <x v="1"/>
    <x v="26"/>
    <x v="5"/>
    <n v="3.3967999999999998"/>
    <n v="329.87308200000001"/>
    <n v="0.61140000000000005"/>
    <n v="93"/>
    <s v="not outlier"/>
    <s v="not outlier"/>
    <s v="not outlier"/>
    <s v="not outlier"/>
  </r>
  <r>
    <x v="0"/>
    <x v="4"/>
    <x v="2"/>
    <x v="26"/>
    <x v="5"/>
    <n v="1.1978"/>
    <n v="108.865611"/>
    <n v="0.21560000000000001"/>
    <n v="239"/>
    <s v="not outlier"/>
    <s v="not outlier"/>
    <s v="not outlier"/>
    <s v="not outlier"/>
  </r>
  <r>
    <x v="0"/>
    <x v="5"/>
    <x v="1"/>
    <x v="26"/>
    <x v="5"/>
    <n v="2.9287999999999998"/>
    <n v="285.83133199999997"/>
    <n v="0.5272"/>
    <n v="94"/>
    <s v="not outlier"/>
    <s v="not outlier"/>
    <s v="not outlier"/>
    <s v="not outlier"/>
  </r>
  <r>
    <x v="0"/>
    <x v="5"/>
    <x v="2"/>
    <x v="26"/>
    <x v="5"/>
    <n v="1.1104000000000001"/>
    <n v="98.750619999999998"/>
    <n v="0.19989999999999999"/>
    <n v="243"/>
    <s v="not outlier"/>
    <s v="not outlier"/>
    <s v="not outlier"/>
    <s v="not outlier"/>
  </r>
  <r>
    <x v="0"/>
    <x v="6"/>
    <x v="1"/>
    <x v="26"/>
    <x v="5"/>
    <n v="3.2212999999999998"/>
    <n v="305.89853199999999"/>
    <n v="0.57979999999999998"/>
    <n v="95"/>
    <s v="not outlier"/>
    <s v="not outlier"/>
    <s v="not outlier"/>
    <s v="not outlier"/>
  </r>
  <r>
    <x v="0"/>
    <x v="6"/>
    <x v="2"/>
    <x v="26"/>
    <x v="5"/>
    <n v="1.3652"/>
    <n v="128.12374399999999"/>
    <n v="0.2457"/>
    <n v="245"/>
    <s v="not outlier"/>
    <s v="not outlier"/>
    <s v="not outlier"/>
    <s v="not outlier"/>
  </r>
  <r>
    <x v="0"/>
    <x v="7"/>
    <x v="1"/>
    <x v="26"/>
    <x v="5"/>
    <n v="3.9369999999999998"/>
    <n v="360.47724399999998"/>
    <n v="0.7087"/>
    <n v="98"/>
    <s v="not outlier"/>
    <s v="not outlier"/>
    <s v="not outlier"/>
    <s v="not outlier"/>
  </r>
  <r>
    <x v="0"/>
    <x v="7"/>
    <x v="2"/>
    <x v="26"/>
    <x v="5"/>
    <n v="1.34"/>
    <n v="120.12206"/>
    <n v="0.2412"/>
    <n v="367"/>
    <s v="not outlier"/>
    <s v="not outlier"/>
    <s v="not outlier"/>
    <s v="not outlier"/>
  </r>
  <r>
    <x v="0"/>
    <x v="8"/>
    <x v="1"/>
    <x v="26"/>
    <x v="5"/>
    <n v="3.0070999999999999"/>
    <n v="290.43078500000001"/>
    <n v="0.5413"/>
    <n v="97"/>
    <s v="not outlier"/>
    <s v="not outlier"/>
    <s v="not outlier"/>
    <s v="not outlier"/>
  </r>
  <r>
    <x v="0"/>
    <x v="8"/>
    <x v="2"/>
    <x v="26"/>
    <x v="5"/>
    <n v="1.3448"/>
    <n v="119.129525"/>
    <n v="0.24199999999999999"/>
    <n v="394"/>
    <s v="not outlier"/>
    <s v="not outlier"/>
    <s v="not outlier"/>
    <s v="not outlier"/>
  </r>
  <r>
    <x v="0"/>
    <x v="8"/>
    <x v="0"/>
    <x v="26"/>
    <x v="5"/>
    <n v="1.5679000000000001"/>
    <n v="154.4753"/>
    <n v="0.28220000000000001"/>
    <n v="201"/>
    <s v="not outlier"/>
    <s v="not outlier"/>
    <s v="not outlier"/>
    <s v="not outlier"/>
  </r>
  <r>
    <x v="0"/>
    <x v="9"/>
    <x v="1"/>
    <x v="26"/>
    <x v="5"/>
    <n v="2.8443000000000001"/>
    <n v="284.90218499999997"/>
    <n v="0.51200000000000001"/>
    <n v="97"/>
    <s v="not outlier"/>
    <s v="not outlier"/>
    <s v="not outlier"/>
    <s v="not outlier"/>
  </r>
  <r>
    <x v="0"/>
    <x v="9"/>
    <x v="2"/>
    <x v="26"/>
    <x v="5"/>
    <n v="1.1651"/>
    <n v="103.196774"/>
    <n v="0.2097"/>
    <n v="256"/>
    <s v="not outlier"/>
    <s v="not outlier"/>
    <s v="not outlier"/>
    <s v="not outlier"/>
  </r>
  <r>
    <x v="0"/>
    <x v="9"/>
    <x v="0"/>
    <x v="26"/>
    <x v="5"/>
    <n v="1.4419999999999999"/>
    <n v="152.140199"/>
    <n v="0.2596"/>
    <n v="190"/>
    <s v="not outlier"/>
    <s v="not outlier"/>
    <s v="not outlier"/>
    <s v="not outlier"/>
  </r>
  <r>
    <x v="0"/>
    <x v="10"/>
    <x v="1"/>
    <x v="26"/>
    <x v="5"/>
    <n v="2.7854999999999999"/>
    <n v="291.05724500000002"/>
    <n v="0.50149999999999995"/>
    <n v="98"/>
    <s v="not outlier"/>
    <s v="not outlier"/>
    <s v="not outlier"/>
    <s v="not outlier"/>
  </r>
  <r>
    <x v="0"/>
    <x v="10"/>
    <x v="2"/>
    <x v="26"/>
    <x v="5"/>
    <n v="1.1543000000000001"/>
    <n v="102.77844899999999"/>
    <n v="0.20780000000000001"/>
    <n v="259"/>
    <s v="not outlier"/>
    <s v="not outlier"/>
    <s v="not outlier"/>
    <s v="not outlier"/>
  </r>
  <r>
    <x v="0"/>
    <x v="11"/>
    <x v="1"/>
    <x v="26"/>
    <x v="5"/>
    <n v="2.7048999999999999"/>
    <n v="285.144203"/>
    <n v="0.4869"/>
    <n v="101"/>
    <s v="not outlier"/>
    <s v="not outlier"/>
    <s v="not outlier"/>
    <s v="not outlier"/>
  </r>
  <r>
    <x v="0"/>
    <x v="11"/>
    <x v="2"/>
    <x v="26"/>
    <x v="5"/>
    <n v="1.1305000000000001"/>
    <n v="100.54479600000001"/>
    <n v="0.2034"/>
    <n v="177"/>
    <s v="not outlier"/>
    <s v="not outlier"/>
    <s v="not outlier"/>
    <s v="not outlier"/>
  </r>
  <r>
    <x v="0"/>
    <x v="0"/>
    <x v="1"/>
    <x v="26"/>
    <x v="5"/>
    <n v="2.7119"/>
    <n v="283.88014399999997"/>
    <n v="0.48809999999999998"/>
    <n v="103"/>
    <s v="not outlier"/>
    <s v="not outlier"/>
    <s v="not outlier"/>
    <s v="not outlier"/>
  </r>
  <r>
    <x v="0"/>
    <x v="0"/>
    <x v="2"/>
    <x v="26"/>
    <x v="5"/>
    <n v="2.8003999999999998"/>
    <n v="304.455579"/>
    <n v="0.50409999999999999"/>
    <n v="257"/>
    <s v="not outlier"/>
    <s v="not outlier"/>
    <s v="not outlier"/>
    <s v="not outlier"/>
  </r>
  <r>
    <x v="0"/>
    <x v="1"/>
    <x v="1"/>
    <x v="26"/>
    <x v="5"/>
    <n v="2.8290999999999999"/>
    <n v="306.53553399999998"/>
    <n v="0.50919999999999999"/>
    <n v="103"/>
    <s v="not outlier"/>
    <s v="not outlier"/>
    <s v="not outlier"/>
    <s v="not outlier"/>
  </r>
  <r>
    <x v="0"/>
    <x v="1"/>
    <x v="2"/>
    <x v="26"/>
    <x v="5"/>
    <n v="1.5923"/>
    <n v="134.403459"/>
    <n v="0.28660000000000002"/>
    <n v="220"/>
    <s v="not outlier"/>
    <s v="not outlier"/>
    <s v="not outlier"/>
    <s v="not outlier"/>
  </r>
  <r>
    <x v="0"/>
    <x v="2"/>
    <x v="1"/>
    <x v="27"/>
    <x v="1"/>
    <n v="2.8313000000000001"/>
    <n v="200.763102"/>
    <n v="1.0193000000000001"/>
    <n v="191"/>
    <s v="not outlier"/>
    <s v="not outlier"/>
    <s v="not outlier"/>
    <s v="not outlier"/>
  </r>
  <r>
    <x v="0"/>
    <x v="2"/>
    <x v="2"/>
    <x v="27"/>
    <x v="1"/>
    <n v="52.790100000000002"/>
    <n v="3000.9626050000002"/>
    <n v="19.0044"/>
    <n v="5948"/>
    <s v="outlier"/>
    <s v="outlier"/>
    <s v="outlier"/>
    <s v="outlier"/>
  </r>
  <r>
    <x v="0"/>
    <x v="2"/>
    <x v="0"/>
    <x v="27"/>
    <x v="1"/>
    <n v="55.337499999999999"/>
    <n v="3197.0532509999998"/>
    <n v="19.921500000000002"/>
    <n v="6724"/>
    <s v="outlier"/>
    <s v="outlier"/>
    <s v="outlier"/>
    <s v="outlier"/>
  </r>
  <r>
    <x v="0"/>
    <x v="3"/>
    <x v="1"/>
    <x v="27"/>
    <x v="1"/>
    <n v="2.4809999999999999"/>
    <n v="184.941745"/>
    <n v="0.8931"/>
    <n v="168"/>
    <s v="not outlier"/>
    <s v="not outlier"/>
    <s v="not outlier"/>
    <s v="not outlier"/>
  </r>
  <r>
    <x v="0"/>
    <x v="3"/>
    <x v="2"/>
    <x v="27"/>
    <x v="1"/>
    <n v="39.954599999999999"/>
    <n v="2210.363738"/>
    <n v="14.383599999999999"/>
    <n v="5524"/>
    <s v="outlier"/>
    <s v="outlier"/>
    <s v="outlier"/>
    <s v="outlier"/>
  </r>
  <r>
    <x v="0"/>
    <x v="3"/>
    <x v="0"/>
    <x v="27"/>
    <x v="1"/>
    <n v="43.391399999999997"/>
    <n v="2388.3426169999998"/>
    <n v="15.620900000000001"/>
    <n v="6043"/>
    <s v="outlier"/>
    <s v="outlier"/>
    <s v="outlier"/>
    <s v="outlier"/>
  </r>
  <r>
    <x v="0"/>
    <x v="4"/>
    <x v="1"/>
    <x v="27"/>
    <x v="1"/>
    <n v="2.6175999999999999"/>
    <n v="197.90961999999999"/>
    <n v="0.94230000000000003"/>
    <n v="128"/>
    <s v="not outlier"/>
    <s v="not outlier"/>
    <s v="not outlier"/>
    <s v="not outlier"/>
  </r>
  <r>
    <x v="0"/>
    <x v="4"/>
    <x v="2"/>
    <x v="27"/>
    <x v="1"/>
    <n v="15.8856"/>
    <n v="1072.2208250000001"/>
    <n v="5.7187999999999999"/>
    <n v="3521"/>
    <s v="not outlier"/>
    <s v="not outlier"/>
    <s v="not outlier"/>
    <s v="outlier"/>
  </r>
  <r>
    <x v="0"/>
    <x v="4"/>
    <x v="0"/>
    <x v="27"/>
    <x v="1"/>
    <n v="20.995999999999999"/>
    <n v="1306.620265"/>
    <n v="7.5586000000000002"/>
    <n v="3778"/>
    <s v="not outlier"/>
    <s v="not outlier"/>
    <s v="outlier"/>
    <s v="outlier"/>
  </r>
  <r>
    <x v="0"/>
    <x v="5"/>
    <x v="1"/>
    <x v="27"/>
    <x v="1"/>
    <n v="2.3170999999999999"/>
    <n v="172.71895000000001"/>
    <n v="0.83409999999999995"/>
    <n v="119"/>
    <s v="not outlier"/>
    <s v="not outlier"/>
    <s v="not outlier"/>
    <s v="not outlier"/>
  </r>
  <r>
    <x v="0"/>
    <x v="5"/>
    <x v="2"/>
    <x v="27"/>
    <x v="1"/>
    <n v="17.1067"/>
    <n v="1076.4419350000001"/>
    <n v="6.1584000000000003"/>
    <n v="2626"/>
    <s v="not outlier"/>
    <s v="not outlier"/>
    <s v="not outlier"/>
    <s v="not outlier"/>
  </r>
  <r>
    <x v="0"/>
    <x v="5"/>
    <x v="0"/>
    <x v="27"/>
    <x v="1"/>
    <n v="18.3218"/>
    <n v="1168.5843609999999"/>
    <n v="6.5957999999999997"/>
    <n v="2651"/>
    <s v="not outlier"/>
    <s v="not outlier"/>
    <s v="not outlier"/>
    <s v="not outlier"/>
  </r>
  <r>
    <x v="0"/>
    <x v="6"/>
    <x v="1"/>
    <x v="27"/>
    <x v="1"/>
    <n v="1.8592"/>
    <n v="140.87174899999999"/>
    <n v="0.66920000000000002"/>
    <n v="105"/>
    <s v="not outlier"/>
    <s v="not outlier"/>
    <s v="not outlier"/>
    <s v="not outlier"/>
  </r>
  <r>
    <x v="0"/>
    <x v="6"/>
    <x v="2"/>
    <x v="27"/>
    <x v="1"/>
    <n v="14.6881"/>
    <n v="881.70830999999998"/>
    <n v="5.2877999999999998"/>
    <n v="2350"/>
    <s v="not outlier"/>
    <s v="not outlier"/>
    <s v="not outlier"/>
    <s v="not outlier"/>
  </r>
  <r>
    <x v="0"/>
    <x v="6"/>
    <x v="0"/>
    <x v="27"/>
    <x v="1"/>
    <n v="16.150099999999998"/>
    <n v="985.10154799999998"/>
    <n v="5.8140000000000001"/>
    <n v="2207"/>
    <s v="not outlier"/>
    <s v="not outlier"/>
    <s v="not outlier"/>
    <s v="not outlier"/>
  </r>
  <r>
    <x v="0"/>
    <x v="7"/>
    <x v="1"/>
    <x v="27"/>
    <x v="1"/>
    <n v="2.1413000000000002"/>
    <n v="156.110209"/>
    <n v="0.77090000000000003"/>
    <n v="100"/>
    <s v="not outlier"/>
    <s v="not outlier"/>
    <s v="not outlier"/>
    <s v="not outlier"/>
  </r>
  <r>
    <x v="0"/>
    <x v="7"/>
    <x v="2"/>
    <x v="27"/>
    <x v="1"/>
    <n v="18.790299999999998"/>
    <n v="1016.720657"/>
    <n v="6.7645"/>
    <n v="2074"/>
    <s v="not outlier"/>
    <s v="not outlier"/>
    <s v="not outlier"/>
    <s v="not outlier"/>
  </r>
  <r>
    <x v="0"/>
    <x v="7"/>
    <x v="0"/>
    <x v="27"/>
    <x v="1"/>
    <n v="31.279399999999999"/>
    <n v="1824.2965959999999"/>
    <n v="11.2606"/>
    <n v="2090"/>
    <s v="outlier"/>
    <s v="not outlier"/>
    <s v="outlier"/>
    <s v="not outlier"/>
  </r>
  <r>
    <x v="0"/>
    <x v="8"/>
    <x v="1"/>
    <x v="27"/>
    <x v="1"/>
    <n v="3.0331999999999999"/>
    <n v="201.709554"/>
    <n v="1.0919000000000001"/>
    <n v="172"/>
    <s v="not outlier"/>
    <s v="not outlier"/>
    <s v="not outlier"/>
    <s v="not outlier"/>
  </r>
  <r>
    <x v="0"/>
    <x v="8"/>
    <x v="2"/>
    <x v="27"/>
    <x v="1"/>
    <n v="8.89"/>
    <n v="612.199476"/>
    <n v="3.2004000000000001"/>
    <n v="1973"/>
    <s v="not outlier"/>
    <s v="not outlier"/>
    <s v="not outlier"/>
    <s v="not outlier"/>
  </r>
  <r>
    <x v="0"/>
    <x v="8"/>
    <x v="0"/>
    <x v="27"/>
    <x v="1"/>
    <n v="21.8827"/>
    <n v="1520.411846"/>
    <n v="7.8777999999999997"/>
    <n v="2063"/>
    <s v="not outlier"/>
    <s v="not outlier"/>
    <s v="outlier"/>
    <s v="not outlier"/>
  </r>
  <r>
    <x v="0"/>
    <x v="9"/>
    <x v="1"/>
    <x v="27"/>
    <x v="1"/>
    <n v="8.5170999999999992"/>
    <n v="418.47555899999998"/>
    <n v="3.0661999999999998"/>
    <n v="172"/>
    <s v="not outlier"/>
    <s v="not outlier"/>
    <s v="not outlier"/>
    <s v="not outlier"/>
  </r>
  <r>
    <x v="0"/>
    <x v="9"/>
    <x v="2"/>
    <x v="27"/>
    <x v="1"/>
    <n v="14.2728"/>
    <n v="797.20818899999995"/>
    <n v="5.1383000000000001"/>
    <n v="2058"/>
    <s v="not outlier"/>
    <s v="not outlier"/>
    <s v="not outlier"/>
    <s v="not outlier"/>
  </r>
  <r>
    <x v="0"/>
    <x v="9"/>
    <x v="0"/>
    <x v="27"/>
    <x v="1"/>
    <n v="31.6173"/>
    <n v="1907.5230429999999"/>
    <n v="11.382199999999999"/>
    <n v="1997"/>
    <s v="outlier"/>
    <s v="not outlier"/>
    <s v="outlier"/>
    <s v="not outlier"/>
  </r>
  <r>
    <x v="0"/>
    <x v="10"/>
    <x v="1"/>
    <x v="27"/>
    <x v="1"/>
    <n v="5.6566000000000001"/>
    <n v="335.49988100000002"/>
    <n v="2.0364"/>
    <n v="174"/>
    <s v="not outlier"/>
    <s v="not outlier"/>
    <s v="not outlier"/>
    <s v="not outlier"/>
  </r>
  <r>
    <x v="0"/>
    <x v="10"/>
    <x v="2"/>
    <x v="27"/>
    <x v="1"/>
    <n v="8.1877999999999993"/>
    <n v="600.12229000000002"/>
    <n v="2.9476"/>
    <n v="1787"/>
    <s v="not outlier"/>
    <s v="not outlier"/>
    <s v="not outlier"/>
    <s v="not outlier"/>
  </r>
  <r>
    <x v="0"/>
    <x v="10"/>
    <x v="0"/>
    <x v="27"/>
    <x v="1"/>
    <n v="26.433"/>
    <n v="1826.3910060000001"/>
    <n v="9.5158000000000005"/>
    <n v="2081"/>
    <s v="outlier"/>
    <s v="not outlier"/>
    <s v="outlier"/>
    <s v="not outlier"/>
  </r>
  <r>
    <x v="0"/>
    <x v="11"/>
    <x v="1"/>
    <x v="27"/>
    <x v="1"/>
    <n v="9.4437999999999995"/>
    <n v="458.54192799999998"/>
    <n v="3.3997000000000002"/>
    <n v="171"/>
    <s v="not outlier"/>
    <s v="not outlier"/>
    <s v="not outlier"/>
    <s v="not outlier"/>
  </r>
  <r>
    <x v="0"/>
    <x v="11"/>
    <x v="2"/>
    <x v="27"/>
    <x v="1"/>
    <n v="18.396799999999999"/>
    <n v="987.11645699999997"/>
    <n v="6.6227999999999998"/>
    <n v="1872"/>
    <s v="not outlier"/>
    <s v="not outlier"/>
    <s v="not outlier"/>
    <s v="not outlier"/>
  </r>
  <r>
    <x v="0"/>
    <x v="11"/>
    <x v="0"/>
    <x v="27"/>
    <x v="1"/>
    <n v="28.3202"/>
    <n v="1773.8757390000001"/>
    <n v="10.1952"/>
    <n v="2129"/>
    <s v="outlier"/>
    <s v="not outlier"/>
    <s v="outlier"/>
    <s v="not outlier"/>
  </r>
  <r>
    <x v="0"/>
    <x v="0"/>
    <x v="1"/>
    <x v="27"/>
    <x v="1"/>
    <n v="4.9584999999999999"/>
    <n v="300.08249499999999"/>
    <n v="1.7850999999999999"/>
    <n v="175"/>
    <s v="not outlier"/>
    <s v="not outlier"/>
    <s v="not outlier"/>
    <s v="not outlier"/>
  </r>
  <r>
    <x v="0"/>
    <x v="0"/>
    <x v="2"/>
    <x v="27"/>
    <x v="1"/>
    <n v="8.8801000000000005"/>
    <n v="646.05694500000004"/>
    <n v="3.1968000000000001"/>
    <n v="1860"/>
    <s v="not outlier"/>
    <s v="not outlier"/>
    <s v="not outlier"/>
    <s v="not outlier"/>
  </r>
  <r>
    <x v="0"/>
    <x v="0"/>
    <x v="0"/>
    <x v="27"/>
    <x v="1"/>
    <n v="18.704899999999999"/>
    <n v="1373.5066429999999"/>
    <n v="6.7337999999999996"/>
    <n v="2071"/>
    <s v="not outlier"/>
    <s v="not outlier"/>
    <s v="not outlier"/>
    <s v="not outlier"/>
  </r>
  <r>
    <x v="0"/>
    <x v="1"/>
    <x v="1"/>
    <x v="27"/>
    <x v="1"/>
    <n v="4.4035000000000002"/>
    <n v="282.29456699999997"/>
    <n v="1.5852999999999999"/>
    <n v="225"/>
    <s v="not outlier"/>
    <s v="not outlier"/>
    <s v="not outlier"/>
    <s v="not outlier"/>
  </r>
  <r>
    <x v="0"/>
    <x v="1"/>
    <x v="2"/>
    <x v="27"/>
    <x v="1"/>
    <n v="7.5570000000000004"/>
    <n v="574.50500699999998"/>
    <n v="2.7206000000000001"/>
    <n v="1595"/>
    <s v="not outlier"/>
    <s v="not outlier"/>
    <s v="not outlier"/>
    <s v="not outlier"/>
  </r>
  <r>
    <x v="0"/>
    <x v="1"/>
    <x v="0"/>
    <x v="27"/>
    <x v="1"/>
    <n v="18.111799999999999"/>
    <n v="1362.937588"/>
    <n v="6.5202999999999998"/>
    <n v="2078"/>
    <s v="not outlier"/>
    <s v="not outlier"/>
    <s v="not outlier"/>
    <s v="not outlier"/>
  </r>
  <r>
    <x v="1"/>
    <x v="5"/>
    <x v="0"/>
    <x v="0"/>
    <x v="0"/>
    <n v="0.1671"/>
    <n v="83.729709999999997"/>
    <n v="3.3399999999999999E-2"/>
    <n v="0"/>
    <s v="not outlier"/>
    <s v="not outlier"/>
    <s v="not outlier"/>
    <s v="not outlier"/>
  </r>
  <r>
    <x v="1"/>
    <x v="5"/>
    <x v="0"/>
    <x v="0"/>
    <x v="1"/>
    <n v="0.24410000000000001"/>
    <n v="124.68517799999999"/>
    <n v="8.5500000000000007E-2"/>
    <n v="0"/>
    <s v="not outlier"/>
    <s v="not outlier"/>
    <s v="not outlier"/>
    <s v="not outlier"/>
  </r>
  <r>
    <x v="1"/>
    <x v="0"/>
    <x v="0"/>
    <x v="0"/>
    <x v="0"/>
    <n v="0.2777"/>
    <n v="139.08552900000001"/>
    <n v="5.5599999999999997E-2"/>
    <n v="0"/>
    <s v="not outlier"/>
    <s v="not outlier"/>
    <s v="not outlier"/>
    <s v="not outlier"/>
  </r>
  <r>
    <x v="1"/>
    <x v="0"/>
    <x v="0"/>
    <x v="0"/>
    <x v="1"/>
    <n v="0.25569999999999998"/>
    <n v="129.39920799999999"/>
    <n v="8.9399999999999993E-2"/>
    <n v="0"/>
    <s v="not outlier"/>
    <s v="not outlier"/>
    <s v="not outlier"/>
    <s v="not outlier"/>
  </r>
  <r>
    <x v="1"/>
    <x v="2"/>
    <x v="1"/>
    <x v="1"/>
    <x v="0"/>
    <n v="3.3614999999999999"/>
    <n v="224.65112199999999"/>
    <n v="0.77310000000000001"/>
    <n v="366"/>
    <s v="not outlier"/>
    <s v="not outlier"/>
    <s v="not outlier"/>
    <s v="not outlier"/>
  </r>
  <r>
    <x v="1"/>
    <x v="2"/>
    <x v="1"/>
    <x v="1"/>
    <x v="2"/>
    <n v="1.4148000000000001"/>
    <n v="172.73904099999999"/>
    <n v="0.63670000000000004"/>
    <n v="281"/>
    <s v="not outlier"/>
    <s v="not outlier"/>
    <s v="not outlier"/>
    <s v="not outlier"/>
  </r>
  <r>
    <x v="1"/>
    <x v="2"/>
    <x v="2"/>
    <x v="1"/>
    <x v="0"/>
    <n v="3.3679999999999999"/>
    <n v="248.80781500000001"/>
    <n v="0.77470000000000006"/>
    <n v="1602"/>
    <s v="not outlier"/>
    <s v="not outlier"/>
    <s v="not outlier"/>
    <s v="not outlier"/>
  </r>
  <r>
    <x v="1"/>
    <x v="2"/>
    <x v="2"/>
    <x v="1"/>
    <x v="2"/>
    <n v="0.64419999999999999"/>
    <n v="121.949721"/>
    <n v="0.28989999999999999"/>
    <n v="498"/>
    <s v="not outlier"/>
    <s v="not outlier"/>
    <s v="not outlier"/>
    <s v="not outlier"/>
  </r>
  <r>
    <x v="1"/>
    <x v="2"/>
    <x v="0"/>
    <x v="1"/>
    <x v="0"/>
    <n v="2.7810999999999999"/>
    <n v="190.90902500000001"/>
    <n v="0.63970000000000005"/>
    <n v="842"/>
    <s v="not outlier"/>
    <s v="not outlier"/>
    <s v="not outlier"/>
    <s v="not outlier"/>
  </r>
  <r>
    <x v="1"/>
    <x v="2"/>
    <x v="0"/>
    <x v="1"/>
    <x v="2"/>
    <n v="5.3559000000000001"/>
    <n v="807.00975100000005"/>
    <n v="2.4102000000000001"/>
    <n v="1879"/>
    <s v="not outlier"/>
    <s v="not outlier"/>
    <s v="not outlier"/>
    <s v="not outlier"/>
  </r>
  <r>
    <x v="1"/>
    <x v="3"/>
    <x v="1"/>
    <x v="1"/>
    <x v="0"/>
    <n v="2.4279000000000002"/>
    <n v="182.747544"/>
    <n v="0.55840000000000001"/>
    <n v="343"/>
    <s v="not outlier"/>
    <s v="not outlier"/>
    <s v="not outlier"/>
    <s v="not outlier"/>
  </r>
  <r>
    <x v="1"/>
    <x v="3"/>
    <x v="1"/>
    <x v="1"/>
    <x v="2"/>
    <n v="0.70809999999999995"/>
    <n v="89.899091999999996"/>
    <n v="0.31859999999999999"/>
    <n v="208"/>
    <s v="not outlier"/>
    <s v="not outlier"/>
    <s v="not outlier"/>
    <s v="not outlier"/>
  </r>
  <r>
    <x v="1"/>
    <x v="3"/>
    <x v="2"/>
    <x v="1"/>
    <x v="0"/>
    <n v="4.0811000000000002"/>
    <n v="299.708529"/>
    <n v="0.93869999999999998"/>
    <n v="1955"/>
    <s v="not outlier"/>
    <s v="not outlier"/>
    <s v="not outlier"/>
    <s v="not outlier"/>
  </r>
  <r>
    <x v="1"/>
    <x v="3"/>
    <x v="2"/>
    <x v="1"/>
    <x v="2"/>
    <n v="0.5181"/>
    <n v="82.924092000000002"/>
    <n v="0.2331"/>
    <n v="507"/>
    <s v="not outlier"/>
    <s v="not outlier"/>
    <s v="not outlier"/>
    <s v="not outlier"/>
  </r>
  <r>
    <x v="1"/>
    <x v="3"/>
    <x v="0"/>
    <x v="1"/>
    <x v="0"/>
    <n v="2.9780000000000002"/>
    <n v="170.088854"/>
    <n v="0.68489999999999995"/>
    <n v="800"/>
    <s v="not outlier"/>
    <s v="not outlier"/>
    <s v="not outlier"/>
    <s v="not outlier"/>
  </r>
  <r>
    <x v="1"/>
    <x v="3"/>
    <x v="0"/>
    <x v="1"/>
    <x v="2"/>
    <n v="3.2412000000000001"/>
    <n v="503.77652399999999"/>
    <n v="1.4584999999999999"/>
    <n v="2043"/>
    <s v="not outlier"/>
    <s v="not outlier"/>
    <s v="not outlier"/>
    <s v="not outlier"/>
  </r>
  <r>
    <x v="1"/>
    <x v="4"/>
    <x v="1"/>
    <x v="1"/>
    <x v="0"/>
    <n v="2.5792999999999999"/>
    <n v="194.22379799999999"/>
    <n v="0.59319999999999995"/>
    <n v="310"/>
    <s v="not outlier"/>
    <s v="not outlier"/>
    <s v="not outlier"/>
    <s v="not outlier"/>
  </r>
  <r>
    <x v="1"/>
    <x v="4"/>
    <x v="1"/>
    <x v="1"/>
    <x v="2"/>
    <n v="0.41339999999999999"/>
    <n v="59.907001000000001"/>
    <n v="0.186"/>
    <n v="148"/>
    <s v="not outlier"/>
    <s v="not outlier"/>
    <s v="not outlier"/>
    <s v="not outlier"/>
  </r>
  <r>
    <x v="1"/>
    <x v="4"/>
    <x v="2"/>
    <x v="1"/>
    <x v="0"/>
    <n v="6.6417000000000002"/>
    <n v="461.54479700000002"/>
    <n v="1.5276000000000001"/>
    <n v="2390"/>
    <s v="not outlier"/>
    <s v="not outlier"/>
    <s v="not outlier"/>
    <s v="not outlier"/>
  </r>
  <r>
    <x v="1"/>
    <x v="4"/>
    <x v="2"/>
    <x v="1"/>
    <x v="2"/>
    <n v="0.52949999999999997"/>
    <n v="85.414349000000001"/>
    <n v="0.23830000000000001"/>
    <n v="446"/>
    <s v="not outlier"/>
    <s v="not outlier"/>
    <s v="not outlier"/>
    <s v="not outlier"/>
  </r>
  <r>
    <x v="1"/>
    <x v="4"/>
    <x v="0"/>
    <x v="1"/>
    <x v="0"/>
    <n v="3.2189999999999999"/>
    <n v="151.43410599999999"/>
    <n v="0.74039999999999995"/>
    <n v="707"/>
    <s v="not outlier"/>
    <s v="not outlier"/>
    <s v="not outlier"/>
    <s v="not outlier"/>
  </r>
  <r>
    <x v="1"/>
    <x v="4"/>
    <x v="0"/>
    <x v="1"/>
    <x v="2"/>
    <n v="2.5952000000000002"/>
    <n v="395.922213"/>
    <n v="1.1677999999999999"/>
    <n v="1904"/>
    <s v="not outlier"/>
    <s v="not outlier"/>
    <s v="not outlier"/>
    <s v="not outlier"/>
  </r>
  <r>
    <x v="1"/>
    <x v="5"/>
    <x v="1"/>
    <x v="1"/>
    <x v="0"/>
    <n v="2.1124000000000001"/>
    <n v="138.82256000000001"/>
    <n v="0.4859"/>
    <n v="260"/>
    <s v="not outlier"/>
    <s v="not outlier"/>
    <s v="not outlier"/>
    <s v="not outlier"/>
  </r>
  <r>
    <x v="1"/>
    <x v="5"/>
    <x v="1"/>
    <x v="1"/>
    <x v="2"/>
    <n v="0.55410000000000004"/>
    <n v="59.119019999999999"/>
    <n v="0.24929999999999999"/>
    <n v="100"/>
    <s v="not outlier"/>
    <s v="not outlier"/>
    <s v="not outlier"/>
    <s v="not outlier"/>
  </r>
  <r>
    <x v="1"/>
    <x v="5"/>
    <x v="2"/>
    <x v="1"/>
    <x v="0"/>
    <n v="5.1908000000000003"/>
    <n v="360.73378200000002"/>
    <n v="1.1939"/>
    <n v="1868"/>
    <s v="not outlier"/>
    <s v="not outlier"/>
    <s v="not outlier"/>
    <s v="not outlier"/>
  </r>
  <r>
    <x v="1"/>
    <x v="5"/>
    <x v="2"/>
    <x v="1"/>
    <x v="2"/>
    <n v="0.70299999999999996"/>
    <n v="79.828062000000003"/>
    <n v="0.31630000000000003"/>
    <n v="461"/>
    <s v="not outlier"/>
    <s v="not outlier"/>
    <s v="not outlier"/>
    <s v="not outlier"/>
  </r>
  <r>
    <x v="1"/>
    <x v="5"/>
    <x v="0"/>
    <x v="1"/>
    <x v="0"/>
    <n v="2.0750000000000002"/>
    <n v="96.486401000000001"/>
    <n v="0.4773"/>
    <n v="421"/>
    <s v="not outlier"/>
    <s v="not outlier"/>
    <s v="not outlier"/>
    <s v="not outlier"/>
  </r>
  <r>
    <x v="1"/>
    <x v="5"/>
    <x v="0"/>
    <x v="1"/>
    <x v="2"/>
    <n v="3.1939000000000002"/>
    <n v="374.99953299999999"/>
    <n v="1.4373"/>
    <n v="1777"/>
    <s v="not outlier"/>
    <s v="not outlier"/>
    <s v="not outlier"/>
    <s v="not outlier"/>
  </r>
  <r>
    <x v="1"/>
    <x v="6"/>
    <x v="1"/>
    <x v="1"/>
    <x v="0"/>
    <n v="1.2445999999999999"/>
    <n v="82.654955000000001"/>
    <n v="0.28620000000000001"/>
    <n v="205"/>
    <s v="not outlier"/>
    <s v="not outlier"/>
    <s v="not outlier"/>
    <s v="not outlier"/>
  </r>
  <r>
    <x v="1"/>
    <x v="6"/>
    <x v="1"/>
    <x v="1"/>
    <x v="2"/>
    <n v="1.3680000000000001"/>
    <n v="98.160893999999999"/>
    <n v="0.61560000000000004"/>
    <n v="85"/>
    <s v="not outlier"/>
    <s v="not outlier"/>
    <s v="not outlier"/>
    <s v="not outlier"/>
  </r>
  <r>
    <x v="1"/>
    <x v="6"/>
    <x v="2"/>
    <x v="1"/>
    <x v="0"/>
    <n v="4.1646000000000001"/>
    <n v="281.72460000000001"/>
    <n v="0.95789999999999997"/>
    <n v="1325"/>
    <s v="not outlier"/>
    <s v="not outlier"/>
    <s v="not outlier"/>
    <s v="not outlier"/>
  </r>
  <r>
    <x v="1"/>
    <x v="6"/>
    <x v="2"/>
    <x v="1"/>
    <x v="2"/>
    <n v="1.0117"/>
    <n v="87.100711000000004"/>
    <n v="0.45529999999999998"/>
    <n v="386"/>
    <s v="not outlier"/>
    <s v="not outlier"/>
    <s v="not outlier"/>
    <s v="not outlier"/>
  </r>
  <r>
    <x v="1"/>
    <x v="6"/>
    <x v="0"/>
    <x v="1"/>
    <x v="0"/>
    <n v="1.9198999999999999"/>
    <n v="60.751409000000002"/>
    <n v="0.44159999999999999"/>
    <n v="247"/>
    <s v="not outlier"/>
    <s v="not outlier"/>
    <s v="not outlier"/>
    <s v="not outlier"/>
  </r>
  <r>
    <x v="1"/>
    <x v="6"/>
    <x v="0"/>
    <x v="1"/>
    <x v="2"/>
    <n v="4.5819999999999999"/>
    <n v="432.96244000000002"/>
    <n v="2.0619000000000001"/>
    <n v="1403"/>
    <s v="not outlier"/>
    <s v="not outlier"/>
    <s v="not outlier"/>
    <s v="not outlier"/>
  </r>
  <r>
    <x v="1"/>
    <x v="7"/>
    <x v="1"/>
    <x v="1"/>
    <x v="0"/>
    <n v="0.96430000000000005"/>
    <n v="67.866183000000007"/>
    <n v="0.2218"/>
    <n v="149"/>
    <s v="not outlier"/>
    <s v="not outlier"/>
    <s v="not outlier"/>
    <s v="not outlier"/>
  </r>
  <r>
    <x v="1"/>
    <x v="7"/>
    <x v="1"/>
    <x v="1"/>
    <x v="2"/>
    <n v="0.71889999999999998"/>
    <n v="59.064649000000003"/>
    <n v="0.32350000000000001"/>
    <n v="68"/>
    <s v="not outlier"/>
    <s v="not outlier"/>
    <s v="not outlier"/>
    <s v="not outlier"/>
  </r>
  <r>
    <x v="1"/>
    <x v="7"/>
    <x v="2"/>
    <x v="1"/>
    <x v="0"/>
    <n v="4.6757"/>
    <n v="315.49719700000003"/>
    <n v="1.0753999999999999"/>
    <n v="1483"/>
    <s v="not outlier"/>
    <s v="not outlier"/>
    <s v="not outlier"/>
    <s v="not outlier"/>
  </r>
  <r>
    <x v="1"/>
    <x v="7"/>
    <x v="2"/>
    <x v="1"/>
    <x v="2"/>
    <n v="0.62690000000000001"/>
    <n v="75.852483000000007"/>
    <n v="0.28199999999999997"/>
    <n v="279"/>
    <s v="not outlier"/>
    <s v="not outlier"/>
    <s v="not outlier"/>
    <s v="not outlier"/>
  </r>
  <r>
    <x v="1"/>
    <x v="7"/>
    <x v="0"/>
    <x v="1"/>
    <x v="0"/>
    <n v="1.2585999999999999"/>
    <n v="54.751505999999999"/>
    <n v="0.28949999999999998"/>
    <n v="356"/>
    <s v="not outlier"/>
    <s v="not outlier"/>
    <s v="not outlier"/>
    <s v="not outlier"/>
  </r>
  <r>
    <x v="1"/>
    <x v="7"/>
    <x v="0"/>
    <x v="1"/>
    <x v="2"/>
    <n v="2.8264"/>
    <n v="304.73167799999999"/>
    <n v="1.2719"/>
    <n v="1133"/>
    <s v="not outlier"/>
    <s v="not outlier"/>
    <s v="not outlier"/>
    <s v="not outlier"/>
  </r>
  <r>
    <x v="1"/>
    <x v="8"/>
    <x v="1"/>
    <x v="1"/>
    <x v="0"/>
    <n v="0.56740000000000002"/>
    <n v="36.606650999999999"/>
    <n v="0.1305"/>
    <n v="83"/>
    <s v="not outlier"/>
    <s v="not outlier"/>
    <s v="not outlier"/>
    <s v="not outlier"/>
  </r>
  <r>
    <x v="1"/>
    <x v="8"/>
    <x v="1"/>
    <x v="1"/>
    <x v="2"/>
    <n v="0.52010000000000001"/>
    <n v="51.047383000000004"/>
    <n v="0.2341"/>
    <n v="66"/>
    <s v="not outlier"/>
    <s v="not outlier"/>
    <s v="not outlier"/>
    <s v="not outlier"/>
  </r>
  <r>
    <x v="1"/>
    <x v="8"/>
    <x v="2"/>
    <x v="1"/>
    <x v="0"/>
    <n v="4.3243999999999998"/>
    <n v="287.87442099999998"/>
    <n v="0.99460000000000004"/>
    <n v="1115"/>
    <s v="not outlier"/>
    <s v="not outlier"/>
    <s v="not outlier"/>
    <s v="not outlier"/>
  </r>
  <r>
    <x v="1"/>
    <x v="8"/>
    <x v="2"/>
    <x v="1"/>
    <x v="2"/>
    <n v="0.56310000000000004"/>
    <n v="42.496088999999998"/>
    <n v="0.25340000000000001"/>
    <n v="352"/>
    <s v="not outlier"/>
    <s v="not outlier"/>
    <s v="not outlier"/>
    <s v="not outlier"/>
  </r>
  <r>
    <x v="1"/>
    <x v="8"/>
    <x v="0"/>
    <x v="1"/>
    <x v="0"/>
    <n v="0.92889999999999995"/>
    <n v="27.907627000000002"/>
    <n v="0.21360000000000001"/>
    <n v="131"/>
    <s v="not outlier"/>
    <s v="not outlier"/>
    <s v="not outlier"/>
    <s v="not outlier"/>
  </r>
  <r>
    <x v="1"/>
    <x v="8"/>
    <x v="0"/>
    <x v="1"/>
    <x v="2"/>
    <n v="4.2949000000000002"/>
    <n v="346.08365600000002"/>
    <n v="1.9328000000000001"/>
    <n v="1404"/>
    <s v="not outlier"/>
    <s v="not outlier"/>
    <s v="not outlier"/>
    <s v="not outlier"/>
  </r>
  <r>
    <x v="1"/>
    <x v="9"/>
    <x v="1"/>
    <x v="1"/>
    <x v="0"/>
    <n v="0.17269999999999999"/>
    <n v="10.632906999999999"/>
    <n v="3.9699999999999999E-2"/>
    <n v="47"/>
    <s v="not outlier"/>
    <s v="not outlier"/>
    <s v="not outlier"/>
    <s v="not outlier"/>
  </r>
  <r>
    <x v="1"/>
    <x v="9"/>
    <x v="1"/>
    <x v="1"/>
    <x v="2"/>
    <n v="0.2233"/>
    <n v="29.563621000000001"/>
    <n v="0.10050000000000001"/>
    <n v="54"/>
    <s v="not outlier"/>
    <s v="not outlier"/>
    <s v="not outlier"/>
    <s v="not outlier"/>
  </r>
  <r>
    <x v="1"/>
    <x v="9"/>
    <x v="2"/>
    <x v="1"/>
    <x v="0"/>
    <n v="2.9912999999999998"/>
    <n v="208.89328599999999"/>
    <n v="0.68799999999999994"/>
    <n v="1140"/>
    <s v="not outlier"/>
    <s v="not outlier"/>
    <s v="not outlier"/>
    <s v="not outlier"/>
  </r>
  <r>
    <x v="1"/>
    <x v="9"/>
    <x v="2"/>
    <x v="1"/>
    <x v="2"/>
    <n v="0.78800000000000003"/>
    <n v="59.614590999999997"/>
    <n v="0.35460000000000003"/>
    <n v="397"/>
    <s v="not outlier"/>
    <s v="not outlier"/>
    <s v="not outlier"/>
    <s v="not outlier"/>
  </r>
  <r>
    <x v="1"/>
    <x v="9"/>
    <x v="0"/>
    <x v="1"/>
    <x v="0"/>
    <n v="0.84609999999999996"/>
    <n v="20.953447000000001"/>
    <n v="0.1946"/>
    <n v="105"/>
    <s v="not outlier"/>
    <s v="not outlier"/>
    <s v="not outlier"/>
    <s v="not outlier"/>
  </r>
  <r>
    <x v="1"/>
    <x v="9"/>
    <x v="0"/>
    <x v="1"/>
    <x v="2"/>
    <n v="2.2252999999999998"/>
    <n v="170.72738099999998"/>
    <n v="1.0014000000000001"/>
    <n v="1025"/>
    <s v="not outlier"/>
    <s v="not outlier"/>
    <s v="not outlier"/>
    <s v="not outlier"/>
  </r>
  <r>
    <x v="1"/>
    <x v="10"/>
    <x v="2"/>
    <x v="1"/>
    <x v="0"/>
    <n v="2.1857000000000002"/>
    <n v="149.31264300000001"/>
    <n v="0.50270000000000004"/>
    <n v="899"/>
    <s v="not outlier"/>
    <s v="not outlier"/>
    <s v="not outlier"/>
    <s v="not outlier"/>
  </r>
  <r>
    <x v="1"/>
    <x v="10"/>
    <x v="2"/>
    <x v="1"/>
    <x v="2"/>
    <n v="0.42749999999999999"/>
    <n v="35.983108999999999"/>
    <n v="0.19239999999999999"/>
    <n v="320"/>
    <s v="not outlier"/>
    <s v="not outlier"/>
    <s v="not outlier"/>
    <s v="not outlier"/>
  </r>
  <r>
    <x v="1"/>
    <x v="11"/>
    <x v="2"/>
    <x v="1"/>
    <x v="0"/>
    <n v="2.1932999999999998"/>
    <n v="156.285721"/>
    <n v="0.50449999999999995"/>
    <n v="739"/>
    <s v="not outlier"/>
    <s v="not outlier"/>
    <s v="not outlier"/>
    <s v="not outlier"/>
  </r>
  <r>
    <x v="1"/>
    <x v="11"/>
    <x v="2"/>
    <x v="1"/>
    <x v="2"/>
    <n v="0.20899999999999999"/>
    <n v="18.574318999999999"/>
    <n v="9.4E-2"/>
    <n v="193"/>
    <s v="not outlier"/>
    <s v="not outlier"/>
    <s v="not outlier"/>
    <s v="not outlier"/>
  </r>
  <r>
    <x v="1"/>
    <x v="0"/>
    <x v="2"/>
    <x v="1"/>
    <x v="0"/>
    <n v="2.0573000000000001"/>
    <n v="141.77735699999999"/>
    <n v="0.47320000000000001"/>
    <n v="673"/>
    <s v="not outlier"/>
    <s v="not outlier"/>
    <s v="not outlier"/>
    <s v="not outlier"/>
  </r>
  <r>
    <x v="1"/>
    <x v="0"/>
    <x v="2"/>
    <x v="1"/>
    <x v="2"/>
    <n v="0.1111"/>
    <n v="9.8325270000000007"/>
    <n v="0.05"/>
    <n v="111"/>
    <s v="not outlier"/>
    <s v="not outlier"/>
    <s v="not outlier"/>
    <s v="not outlier"/>
  </r>
  <r>
    <x v="1"/>
    <x v="1"/>
    <x v="2"/>
    <x v="1"/>
    <x v="0"/>
    <n v="1.9184000000000001"/>
    <n v="134.078957"/>
    <n v="0.44130000000000003"/>
    <n v="623"/>
    <s v="not outlier"/>
    <s v="not outlier"/>
    <s v="not outlier"/>
    <s v="not outlier"/>
  </r>
  <r>
    <x v="1"/>
    <x v="1"/>
    <x v="2"/>
    <x v="1"/>
    <x v="2"/>
    <n v="8.8700000000000001E-2"/>
    <n v="7.7540969999999998"/>
    <n v="3.9800000000000002E-2"/>
    <n v="134"/>
    <s v="not outlier"/>
    <s v="not outlier"/>
    <s v="not outlier"/>
    <s v="not outlier"/>
  </r>
  <r>
    <x v="1"/>
    <x v="2"/>
    <x v="1"/>
    <x v="2"/>
    <x v="0"/>
    <n v="5.0900000000000001E-2"/>
    <n v="5.6289210000000001"/>
    <n v="1.01E-2"/>
    <n v="6"/>
    <s v="not outlier"/>
    <s v="not outlier"/>
    <s v="not outlier"/>
    <s v="not outlier"/>
  </r>
  <r>
    <x v="1"/>
    <x v="2"/>
    <x v="1"/>
    <x v="2"/>
    <x v="2"/>
    <n v="32.549199999999999"/>
    <n v="5589.6700229999997"/>
    <n v="13.019600000000001"/>
    <n v="658"/>
    <s v="outlier"/>
    <s v="outlier"/>
    <s v="outlier"/>
    <s v="not outlier"/>
  </r>
  <r>
    <x v="1"/>
    <x v="2"/>
    <x v="2"/>
    <x v="2"/>
    <x v="0"/>
    <n v="1.09E-2"/>
    <n v="0.976688"/>
    <n v="2.2000000000000001E-3"/>
    <n v="2"/>
    <s v="not outlier"/>
    <s v="not outlier"/>
    <s v="not outlier"/>
    <s v="not outlier"/>
  </r>
  <r>
    <x v="1"/>
    <x v="2"/>
    <x v="2"/>
    <x v="2"/>
    <x v="2"/>
    <n v="6.601"/>
    <n v="1395.983538"/>
    <n v="2.6402999999999999"/>
    <n v="704"/>
    <s v="not outlier"/>
    <s v="not outlier"/>
    <s v="not outlier"/>
    <s v="not outlier"/>
  </r>
  <r>
    <x v="1"/>
    <x v="2"/>
    <x v="0"/>
    <x v="2"/>
    <x v="0"/>
    <n v="5.1999999999999998E-3"/>
    <n v="0.65536899999999998"/>
    <n v="1.1000000000000001E-3"/>
    <n v="2"/>
    <s v="not outlier"/>
    <s v="not outlier"/>
    <s v="not outlier"/>
    <s v="not outlier"/>
  </r>
  <r>
    <x v="1"/>
    <x v="2"/>
    <x v="0"/>
    <x v="2"/>
    <x v="2"/>
    <n v="49.695099999999996"/>
    <n v="8107.0834329999998"/>
    <n v="19.878"/>
    <n v="1820"/>
    <s v="outlier"/>
    <s v="outlier"/>
    <s v="outlier"/>
    <s v="not outlier"/>
  </r>
  <r>
    <x v="1"/>
    <x v="3"/>
    <x v="1"/>
    <x v="2"/>
    <x v="0"/>
    <n v="7.5300000000000006E-2"/>
    <n v="8.4115210000000005"/>
    <n v="1.5100000000000001E-2"/>
    <n v="10"/>
    <s v="not outlier"/>
    <s v="not outlier"/>
    <s v="not outlier"/>
    <s v="not outlier"/>
  </r>
  <r>
    <x v="1"/>
    <x v="3"/>
    <x v="1"/>
    <x v="2"/>
    <x v="2"/>
    <n v="21.940899999999999"/>
    <n v="4399.8657979999998"/>
    <n v="8.7763000000000009"/>
    <n v="668"/>
    <s v="not outlier"/>
    <s v="outlier"/>
    <s v="outlier"/>
    <s v="not outlier"/>
  </r>
  <r>
    <x v="1"/>
    <x v="3"/>
    <x v="2"/>
    <x v="2"/>
    <x v="0"/>
    <n v="4.4000000000000003E-3"/>
    <n v="0.38570199999999999"/>
    <n v="8.9999999999999998E-4"/>
    <n v="2"/>
    <s v="not outlier"/>
    <s v="not outlier"/>
    <s v="not outlier"/>
    <s v="not outlier"/>
  </r>
  <r>
    <x v="1"/>
    <x v="3"/>
    <x v="2"/>
    <x v="2"/>
    <x v="2"/>
    <n v="7.3704999999999998"/>
    <n v="1552.946177"/>
    <n v="2.9481999999999999"/>
    <n v="941"/>
    <s v="not outlier"/>
    <s v="not outlier"/>
    <s v="not outlier"/>
    <s v="not outlier"/>
  </r>
  <r>
    <x v="1"/>
    <x v="3"/>
    <x v="0"/>
    <x v="2"/>
    <x v="0"/>
    <n v="1.6500000000000001E-2"/>
    <n v="2.359302"/>
    <n v="3.3E-3"/>
    <n v="12"/>
    <s v="not outlier"/>
    <s v="not outlier"/>
    <s v="not outlier"/>
    <s v="not outlier"/>
  </r>
  <r>
    <x v="1"/>
    <x v="3"/>
    <x v="0"/>
    <x v="2"/>
    <x v="2"/>
    <n v="20.250499999999999"/>
    <n v="4419.9431420000001"/>
    <n v="8.1001999999999992"/>
    <n v="1675"/>
    <s v="not outlier"/>
    <s v="outlier"/>
    <s v="outlier"/>
    <s v="not outlier"/>
  </r>
  <r>
    <x v="1"/>
    <x v="4"/>
    <x v="1"/>
    <x v="2"/>
    <x v="0"/>
    <n v="7.2800000000000004E-2"/>
    <n v="8.9871909999999993"/>
    <n v="1.46E-2"/>
    <n v="11"/>
    <s v="not outlier"/>
    <s v="not outlier"/>
    <s v="not outlier"/>
    <s v="not outlier"/>
  </r>
  <r>
    <x v="1"/>
    <x v="4"/>
    <x v="1"/>
    <x v="2"/>
    <x v="2"/>
    <n v="25.665400000000002"/>
    <n v="5080.9327439999997"/>
    <n v="10.2662"/>
    <n v="664"/>
    <s v="outlier"/>
    <s v="outlier"/>
    <s v="outlier"/>
    <s v="not outlier"/>
  </r>
  <r>
    <x v="1"/>
    <x v="4"/>
    <x v="2"/>
    <x v="2"/>
    <x v="0"/>
    <n v="4.0000000000000001E-3"/>
    <n v="0.58707399999999998"/>
    <n v="8.0000000000000004E-4"/>
    <n v="1"/>
    <s v="not outlier"/>
    <s v="not outlier"/>
    <s v="not outlier"/>
    <s v="not outlier"/>
  </r>
  <r>
    <x v="1"/>
    <x v="4"/>
    <x v="2"/>
    <x v="2"/>
    <x v="2"/>
    <n v="5.984"/>
    <n v="1257.186042"/>
    <n v="2.3936000000000002"/>
    <n v="874"/>
    <s v="not outlier"/>
    <s v="not outlier"/>
    <s v="not outlier"/>
    <s v="not outlier"/>
  </r>
  <r>
    <x v="1"/>
    <x v="4"/>
    <x v="0"/>
    <x v="2"/>
    <x v="0"/>
    <n v="8.4000000000000005E-2"/>
    <n v="12.614995"/>
    <n v="1.6799999999999999E-2"/>
    <n v="48"/>
    <s v="not outlier"/>
    <s v="not outlier"/>
    <s v="not outlier"/>
    <s v="not outlier"/>
  </r>
  <r>
    <x v="1"/>
    <x v="4"/>
    <x v="0"/>
    <x v="2"/>
    <x v="2"/>
    <n v="36.168900000000001"/>
    <n v="6994.5482540000003"/>
    <n v="14.467599999999999"/>
    <n v="1692"/>
    <s v="outlier"/>
    <s v="outlier"/>
    <s v="outlier"/>
    <s v="not outlier"/>
  </r>
  <r>
    <x v="1"/>
    <x v="5"/>
    <x v="1"/>
    <x v="2"/>
    <x v="0"/>
    <n v="8.3500000000000005E-2"/>
    <n v="10.429016000000001"/>
    <n v="1.67E-2"/>
    <n v="11"/>
    <s v="not outlier"/>
    <s v="not outlier"/>
    <s v="not outlier"/>
    <s v="not outlier"/>
  </r>
  <r>
    <x v="1"/>
    <x v="5"/>
    <x v="1"/>
    <x v="2"/>
    <x v="2"/>
    <n v="15.4084"/>
    <n v="3419.5150130000002"/>
    <n v="6.1634000000000002"/>
    <n v="628"/>
    <s v="not outlier"/>
    <s v="outlier"/>
    <s v="not outlier"/>
    <s v="not outlier"/>
  </r>
  <r>
    <x v="1"/>
    <x v="5"/>
    <x v="2"/>
    <x v="2"/>
    <x v="0"/>
    <n v="5.8999999999999999E-3"/>
    <n v="0.77047699999999997"/>
    <n v="1.1999999999999999E-3"/>
    <n v="3"/>
    <s v="not outlier"/>
    <s v="not outlier"/>
    <s v="not outlier"/>
    <s v="not outlier"/>
  </r>
  <r>
    <x v="1"/>
    <x v="5"/>
    <x v="2"/>
    <x v="2"/>
    <x v="2"/>
    <n v="5.9627999999999997"/>
    <n v="1136.385272"/>
    <n v="2.3852000000000002"/>
    <n v="846"/>
    <s v="not outlier"/>
    <s v="not outlier"/>
    <s v="not outlier"/>
    <s v="not outlier"/>
  </r>
  <r>
    <x v="1"/>
    <x v="5"/>
    <x v="0"/>
    <x v="2"/>
    <x v="0"/>
    <n v="1.2159"/>
    <n v="130.73209199999999"/>
    <n v="0.2432"/>
    <n v="190"/>
    <s v="not outlier"/>
    <s v="not outlier"/>
    <s v="not outlier"/>
    <s v="not outlier"/>
  </r>
  <r>
    <x v="1"/>
    <x v="5"/>
    <x v="0"/>
    <x v="2"/>
    <x v="2"/>
    <n v="20.354199999999999"/>
    <n v="4574.9370220000001"/>
    <n v="8.1417000000000002"/>
    <n v="1774"/>
    <s v="not outlier"/>
    <s v="outlier"/>
    <s v="outlier"/>
    <s v="not outlier"/>
  </r>
  <r>
    <x v="1"/>
    <x v="6"/>
    <x v="1"/>
    <x v="2"/>
    <x v="0"/>
    <n v="8.7400000000000005E-2"/>
    <n v="10.906751"/>
    <n v="1.7399999999999999E-2"/>
    <n v="9"/>
    <s v="not outlier"/>
    <s v="not outlier"/>
    <s v="not outlier"/>
    <s v="not outlier"/>
  </r>
  <r>
    <x v="1"/>
    <x v="6"/>
    <x v="1"/>
    <x v="2"/>
    <x v="2"/>
    <n v="30.9377"/>
    <n v="5422.175792"/>
    <n v="12.3752"/>
    <n v="645"/>
    <s v="outlier"/>
    <s v="outlier"/>
    <s v="outlier"/>
    <s v="not outlier"/>
  </r>
  <r>
    <x v="1"/>
    <x v="6"/>
    <x v="2"/>
    <x v="2"/>
    <x v="0"/>
    <n v="1.21E-2"/>
    <n v="1.590881"/>
    <n v="2.3999999999999998E-3"/>
    <n v="8"/>
    <s v="not outlier"/>
    <s v="not outlier"/>
    <s v="not outlier"/>
    <s v="not outlier"/>
  </r>
  <r>
    <x v="1"/>
    <x v="6"/>
    <x v="2"/>
    <x v="2"/>
    <x v="2"/>
    <n v="5.9218999999999999"/>
    <n v="1154.483978"/>
    <n v="2.3687"/>
    <n v="904"/>
    <s v="not outlier"/>
    <s v="not outlier"/>
    <s v="not outlier"/>
    <s v="not outlier"/>
  </r>
  <r>
    <x v="1"/>
    <x v="6"/>
    <x v="0"/>
    <x v="2"/>
    <x v="0"/>
    <n v="1.0079"/>
    <n v="111.543779"/>
    <n v="0.2016"/>
    <n v="249"/>
    <s v="not outlier"/>
    <s v="not outlier"/>
    <s v="not outlier"/>
    <s v="not outlier"/>
  </r>
  <r>
    <x v="1"/>
    <x v="6"/>
    <x v="0"/>
    <x v="2"/>
    <x v="2"/>
    <n v="39.335599999999999"/>
    <n v="7424.9488259999998"/>
    <n v="15.734299999999999"/>
    <n v="1844"/>
    <s v="outlier"/>
    <s v="outlier"/>
    <s v="outlier"/>
    <s v="not outlier"/>
  </r>
  <r>
    <x v="1"/>
    <x v="7"/>
    <x v="1"/>
    <x v="2"/>
    <x v="0"/>
    <n v="8.5000000000000006E-2"/>
    <n v="10.520849999999999"/>
    <n v="1.7000000000000001E-2"/>
    <n v="11"/>
    <s v="not outlier"/>
    <s v="not outlier"/>
    <s v="not outlier"/>
    <s v="not outlier"/>
  </r>
  <r>
    <x v="1"/>
    <x v="7"/>
    <x v="1"/>
    <x v="2"/>
    <x v="2"/>
    <n v="27.608699999999999"/>
    <n v="4729.6307349999997"/>
    <n v="11.0434"/>
    <n v="654"/>
    <s v="outlier"/>
    <s v="outlier"/>
    <s v="outlier"/>
    <s v="not outlier"/>
  </r>
  <r>
    <x v="1"/>
    <x v="7"/>
    <x v="2"/>
    <x v="2"/>
    <x v="0"/>
    <n v="1.72E-2"/>
    <n v="1.9253960000000001"/>
    <n v="3.3999999999999998E-3"/>
    <n v="9"/>
    <s v="not outlier"/>
    <s v="not outlier"/>
    <s v="not outlier"/>
    <s v="not outlier"/>
  </r>
  <r>
    <x v="1"/>
    <x v="7"/>
    <x v="2"/>
    <x v="2"/>
    <x v="2"/>
    <n v="5.1814"/>
    <n v="1062.609031"/>
    <n v="2.0726"/>
    <n v="803"/>
    <s v="not outlier"/>
    <s v="not outlier"/>
    <s v="not outlier"/>
    <s v="not outlier"/>
  </r>
  <r>
    <x v="1"/>
    <x v="7"/>
    <x v="0"/>
    <x v="2"/>
    <x v="0"/>
    <n v="1.0266999999999999"/>
    <n v="114.790323"/>
    <n v="0.20530000000000001"/>
    <n v="280"/>
    <s v="not outlier"/>
    <s v="not outlier"/>
    <s v="not outlier"/>
    <s v="not outlier"/>
  </r>
  <r>
    <x v="1"/>
    <x v="7"/>
    <x v="0"/>
    <x v="2"/>
    <x v="2"/>
    <n v="20.5077"/>
    <n v="4603.9762289999999"/>
    <n v="8.2029999999999994"/>
    <n v="1767"/>
    <s v="not outlier"/>
    <s v="outlier"/>
    <s v="outlier"/>
    <s v="not outlier"/>
  </r>
  <r>
    <x v="1"/>
    <x v="8"/>
    <x v="1"/>
    <x v="2"/>
    <x v="0"/>
    <n v="8.2199999999999995E-2"/>
    <n v="10.547371999999999"/>
    <n v="1.6400000000000001E-2"/>
    <n v="11"/>
    <s v="not outlier"/>
    <s v="not outlier"/>
    <s v="not outlier"/>
    <s v="not outlier"/>
  </r>
  <r>
    <x v="1"/>
    <x v="8"/>
    <x v="1"/>
    <x v="2"/>
    <x v="2"/>
    <n v="31.148499999999999"/>
    <n v="5644.6854270000003"/>
    <n v="12.4594"/>
    <n v="754"/>
    <s v="outlier"/>
    <s v="outlier"/>
    <s v="outlier"/>
    <s v="not outlier"/>
  </r>
  <r>
    <x v="1"/>
    <x v="8"/>
    <x v="2"/>
    <x v="2"/>
    <x v="0"/>
    <n v="1.26E-2"/>
    <n v="1.6490320000000001"/>
    <n v="2.5000000000000001E-3"/>
    <n v="7"/>
    <s v="not outlier"/>
    <s v="not outlier"/>
    <s v="not outlier"/>
    <s v="not outlier"/>
  </r>
  <r>
    <x v="1"/>
    <x v="8"/>
    <x v="2"/>
    <x v="2"/>
    <x v="2"/>
    <n v="6.2702999999999998"/>
    <n v="1229.6147189999997"/>
    <n v="2.508"/>
    <n v="914"/>
    <s v="not outlier"/>
    <s v="not outlier"/>
    <s v="not outlier"/>
    <s v="not outlier"/>
  </r>
  <r>
    <x v="1"/>
    <x v="8"/>
    <x v="0"/>
    <x v="2"/>
    <x v="0"/>
    <n v="1.0229999999999999"/>
    <n v="116.463955"/>
    <n v="0.2046"/>
    <n v="252"/>
    <s v="not outlier"/>
    <s v="not outlier"/>
    <s v="not outlier"/>
    <s v="not outlier"/>
  </r>
  <r>
    <x v="1"/>
    <x v="8"/>
    <x v="0"/>
    <x v="2"/>
    <x v="2"/>
    <n v="38.808399999999999"/>
    <n v="6837.9572600000001"/>
    <n v="15.523300000000001"/>
    <n v="2278"/>
    <s v="outlier"/>
    <s v="outlier"/>
    <s v="outlier"/>
    <s v="not outlier"/>
  </r>
  <r>
    <x v="1"/>
    <x v="9"/>
    <x v="1"/>
    <x v="2"/>
    <x v="0"/>
    <n v="7.5600000000000001E-2"/>
    <n v="10.129644000000001"/>
    <n v="1.5100000000000001E-2"/>
    <n v="11"/>
    <s v="not outlier"/>
    <s v="not outlier"/>
    <s v="not outlier"/>
    <s v="not outlier"/>
  </r>
  <r>
    <x v="1"/>
    <x v="9"/>
    <x v="1"/>
    <x v="2"/>
    <x v="2"/>
    <n v="19.843800000000002"/>
    <n v="4048.5126"/>
    <n v="7.9375999999999998"/>
    <n v="737"/>
    <s v="not outlier"/>
    <s v="outlier"/>
    <s v="outlier"/>
    <s v="not outlier"/>
  </r>
  <r>
    <x v="1"/>
    <x v="9"/>
    <x v="2"/>
    <x v="2"/>
    <x v="0"/>
    <n v="1.09E-2"/>
    <n v="1.3807579999999999"/>
    <n v="2.2000000000000001E-3"/>
    <n v="6"/>
    <s v="not outlier"/>
    <s v="not outlier"/>
    <s v="not outlier"/>
    <s v="not outlier"/>
  </r>
  <r>
    <x v="1"/>
    <x v="9"/>
    <x v="2"/>
    <x v="2"/>
    <x v="2"/>
    <n v="4.3940999999999999"/>
    <n v="891.77874299999996"/>
    <n v="1.7577"/>
    <n v="710"/>
    <s v="not outlier"/>
    <s v="not outlier"/>
    <s v="not outlier"/>
    <s v="not outlier"/>
  </r>
  <r>
    <x v="1"/>
    <x v="9"/>
    <x v="0"/>
    <x v="2"/>
    <x v="0"/>
    <n v="1.1187"/>
    <n v="129.45026300000001"/>
    <n v="0.2238"/>
    <n v="226"/>
    <s v="not outlier"/>
    <s v="not outlier"/>
    <s v="not outlier"/>
    <s v="not outlier"/>
  </r>
  <r>
    <x v="1"/>
    <x v="9"/>
    <x v="0"/>
    <x v="2"/>
    <x v="2"/>
    <n v="30.881499999999999"/>
    <n v="6111.299986"/>
    <n v="12.3527"/>
    <n v="3561"/>
    <s v="outlier"/>
    <s v="outlier"/>
    <s v="outlier"/>
    <s v="outlier"/>
  </r>
  <r>
    <x v="1"/>
    <x v="10"/>
    <x v="1"/>
    <x v="2"/>
    <x v="0"/>
    <n v="8.6300000000000002E-2"/>
    <n v="11.195581000000001"/>
    <n v="1.72E-2"/>
    <n v="11"/>
    <s v="not outlier"/>
    <s v="not outlier"/>
    <s v="not outlier"/>
    <s v="not outlier"/>
  </r>
  <r>
    <x v="1"/>
    <x v="10"/>
    <x v="1"/>
    <x v="2"/>
    <x v="2"/>
    <n v="24.175999999999998"/>
    <n v="4509.2291679999998"/>
    <n v="9.6705000000000005"/>
    <n v="702"/>
    <s v="outlier"/>
    <s v="outlier"/>
    <s v="outlier"/>
    <s v="not outlier"/>
  </r>
  <r>
    <x v="1"/>
    <x v="10"/>
    <x v="2"/>
    <x v="2"/>
    <x v="0"/>
    <n v="0.30830000000000002"/>
    <n v="41.966569"/>
    <n v="6.1699999999999998E-2"/>
    <n v="33"/>
    <s v="not outlier"/>
    <s v="not outlier"/>
    <s v="not outlier"/>
    <s v="not outlier"/>
  </r>
  <r>
    <x v="1"/>
    <x v="10"/>
    <x v="2"/>
    <x v="2"/>
    <x v="2"/>
    <n v="5.4635999999999996"/>
    <n v="1037.09187"/>
    <n v="2.1854"/>
    <n v="810"/>
    <s v="not outlier"/>
    <s v="not outlier"/>
    <s v="not outlier"/>
    <s v="not outlier"/>
  </r>
  <r>
    <x v="1"/>
    <x v="10"/>
    <x v="0"/>
    <x v="2"/>
    <x v="0"/>
    <n v="0.96830000000000005"/>
    <n v="114.95761400000001"/>
    <n v="0.19370000000000001"/>
    <n v="253"/>
    <s v="not outlier"/>
    <s v="not outlier"/>
    <s v="not outlier"/>
    <s v="not outlier"/>
  </r>
  <r>
    <x v="1"/>
    <x v="10"/>
    <x v="0"/>
    <x v="2"/>
    <x v="2"/>
    <n v="37.5212"/>
    <n v="7067.4779660000004"/>
    <n v="15.0084"/>
    <n v="3877"/>
    <s v="outlier"/>
    <s v="outlier"/>
    <s v="outlier"/>
    <s v="outlier"/>
  </r>
  <r>
    <x v="1"/>
    <x v="11"/>
    <x v="1"/>
    <x v="2"/>
    <x v="0"/>
    <n v="0.1159"/>
    <n v="13.984016"/>
    <n v="2.3199999999999998E-2"/>
    <n v="11"/>
    <s v="not outlier"/>
    <s v="not outlier"/>
    <s v="not outlier"/>
    <s v="not outlier"/>
  </r>
  <r>
    <x v="1"/>
    <x v="11"/>
    <x v="1"/>
    <x v="2"/>
    <x v="2"/>
    <n v="40.456800000000001"/>
    <n v="6789.8870189999998"/>
    <n v="16.182700000000001"/>
    <n v="721"/>
    <s v="outlier"/>
    <s v="outlier"/>
    <s v="outlier"/>
    <s v="not outlier"/>
  </r>
  <r>
    <x v="1"/>
    <x v="11"/>
    <x v="2"/>
    <x v="2"/>
    <x v="0"/>
    <n v="8.2699999999999996E-2"/>
    <n v="10.970206000000001"/>
    <n v="1.6500000000000001E-2"/>
    <n v="31"/>
    <s v="not outlier"/>
    <s v="not outlier"/>
    <s v="not outlier"/>
    <s v="not outlier"/>
  </r>
  <r>
    <x v="1"/>
    <x v="11"/>
    <x v="2"/>
    <x v="2"/>
    <x v="2"/>
    <n v="7.9870000000000001"/>
    <n v="1451.274377"/>
    <n v="3.1949000000000001"/>
    <n v="1257"/>
    <s v="not outlier"/>
    <s v="not outlier"/>
    <s v="not outlier"/>
    <s v="not outlier"/>
  </r>
  <r>
    <x v="1"/>
    <x v="11"/>
    <x v="0"/>
    <x v="2"/>
    <x v="0"/>
    <n v="1.0006999999999999"/>
    <n v="112.16592900000001"/>
    <n v="0.20019999999999999"/>
    <n v="225"/>
    <s v="not outlier"/>
    <s v="not outlier"/>
    <s v="not outlier"/>
    <s v="not outlier"/>
  </r>
  <r>
    <x v="1"/>
    <x v="11"/>
    <x v="0"/>
    <x v="2"/>
    <x v="2"/>
    <n v="55.961500000000001"/>
    <n v="9577.5189370000007"/>
    <n v="22.384599999999999"/>
    <n v="4222"/>
    <s v="outlier"/>
    <s v="outlier"/>
    <s v="outlier"/>
    <s v="outlier"/>
  </r>
  <r>
    <x v="1"/>
    <x v="0"/>
    <x v="1"/>
    <x v="2"/>
    <x v="0"/>
    <n v="0.12039999999999999"/>
    <n v="15.142913"/>
    <n v="2.41E-2"/>
    <n v="11"/>
    <s v="not outlier"/>
    <s v="not outlier"/>
    <s v="not outlier"/>
    <s v="not outlier"/>
  </r>
  <r>
    <x v="1"/>
    <x v="0"/>
    <x v="1"/>
    <x v="2"/>
    <x v="2"/>
    <n v="57.123100000000001"/>
    <n v="7939.3939970000001"/>
    <n v="22.849299999999999"/>
    <n v="766"/>
    <s v="outlier"/>
    <s v="outlier"/>
    <s v="outlier"/>
    <s v="not outlier"/>
  </r>
  <r>
    <x v="1"/>
    <x v="0"/>
    <x v="2"/>
    <x v="2"/>
    <x v="0"/>
    <n v="2.6700000000000002E-2"/>
    <n v="3.1194350000000002"/>
    <n v="5.4000000000000003E-3"/>
    <n v="8"/>
    <s v="not outlier"/>
    <s v="not outlier"/>
    <s v="not outlier"/>
    <s v="not outlier"/>
  </r>
  <r>
    <x v="1"/>
    <x v="0"/>
    <x v="2"/>
    <x v="2"/>
    <x v="2"/>
    <n v="8.1548999999999996"/>
    <n v="1411.3826570000001"/>
    <n v="3.2618999999999998"/>
    <n v="1619"/>
    <s v="not outlier"/>
    <s v="not outlier"/>
    <s v="not outlier"/>
    <s v="not outlier"/>
  </r>
  <r>
    <x v="1"/>
    <x v="0"/>
    <x v="0"/>
    <x v="2"/>
    <x v="0"/>
    <n v="0.99129999999999996"/>
    <n v="116.18659599999999"/>
    <n v="0.1983"/>
    <n v="252"/>
    <s v="not outlier"/>
    <s v="not outlier"/>
    <s v="not outlier"/>
    <s v="not outlier"/>
  </r>
  <r>
    <x v="1"/>
    <x v="0"/>
    <x v="0"/>
    <x v="2"/>
    <x v="2"/>
    <n v="49.348700000000001"/>
    <n v="8723.8077009999997"/>
    <n v="19.7395"/>
    <n v="4650"/>
    <s v="outlier"/>
    <s v="outlier"/>
    <s v="outlier"/>
    <s v="outlier"/>
  </r>
  <r>
    <x v="1"/>
    <x v="1"/>
    <x v="1"/>
    <x v="2"/>
    <x v="0"/>
    <n v="0.126"/>
    <n v="15.565614"/>
    <n v="2.52E-2"/>
    <n v="11"/>
    <s v="not outlier"/>
    <s v="not outlier"/>
    <s v="not outlier"/>
    <s v="not outlier"/>
  </r>
  <r>
    <x v="1"/>
    <x v="1"/>
    <x v="1"/>
    <x v="2"/>
    <x v="2"/>
    <n v="48.531799999999997"/>
    <n v="7688.3169230000003"/>
    <n v="19.412700000000001"/>
    <n v="766"/>
    <s v="outlier"/>
    <s v="outlier"/>
    <s v="outlier"/>
    <s v="not outlier"/>
  </r>
  <r>
    <x v="1"/>
    <x v="1"/>
    <x v="2"/>
    <x v="2"/>
    <x v="0"/>
    <n v="6.4600000000000005E-2"/>
    <n v="9.8290120000000005"/>
    <n v="1.29E-2"/>
    <n v="19"/>
    <s v="not outlier"/>
    <s v="not outlier"/>
    <s v="not outlier"/>
    <s v="not outlier"/>
  </r>
  <r>
    <x v="1"/>
    <x v="1"/>
    <x v="2"/>
    <x v="2"/>
    <x v="2"/>
    <n v="7.1891999999999996"/>
    <n v="1308.7819750000001"/>
    <n v="2.8757000000000001"/>
    <n v="1638"/>
    <s v="not outlier"/>
    <s v="not outlier"/>
    <s v="not outlier"/>
    <s v="not outlier"/>
  </r>
  <r>
    <x v="1"/>
    <x v="1"/>
    <x v="0"/>
    <x v="2"/>
    <x v="0"/>
    <n v="1.3880999999999999"/>
    <n v="160.19565700000001"/>
    <n v="0.27760000000000001"/>
    <n v="278"/>
    <s v="not outlier"/>
    <s v="not outlier"/>
    <s v="not outlier"/>
    <s v="not outlier"/>
  </r>
  <r>
    <x v="1"/>
    <x v="1"/>
    <x v="0"/>
    <x v="2"/>
    <x v="2"/>
    <n v="38.947800000000001"/>
    <n v="7508.4035649999996"/>
    <n v="15.5791"/>
    <n v="4678"/>
    <s v="outlier"/>
    <s v="outlier"/>
    <s v="outlier"/>
    <s v="outlier"/>
  </r>
  <r>
    <x v="1"/>
    <x v="2"/>
    <x v="1"/>
    <x v="3"/>
    <x v="5"/>
    <n v="0.38590000000000002"/>
    <n v="35.374751000000003"/>
    <n v="6.9500000000000006E-2"/>
    <n v="88"/>
    <s v="not outlier"/>
    <s v="not outlier"/>
    <s v="not outlier"/>
    <s v="not outlier"/>
  </r>
  <r>
    <x v="1"/>
    <x v="2"/>
    <x v="1"/>
    <x v="3"/>
    <x v="2"/>
    <n v="1.9699999999999999E-2"/>
    <n v="3.0813090000000001"/>
    <n v="7.9000000000000008E-3"/>
    <n v="11"/>
    <s v="not outlier"/>
    <s v="not outlier"/>
    <s v="not outlier"/>
    <s v="not outlier"/>
  </r>
  <r>
    <x v="1"/>
    <x v="3"/>
    <x v="1"/>
    <x v="3"/>
    <x v="5"/>
    <n v="0.53129999999999999"/>
    <n v="46.850673999999998"/>
    <n v="9.5600000000000004E-2"/>
    <n v="87"/>
    <s v="not outlier"/>
    <s v="not outlier"/>
    <s v="not outlier"/>
    <s v="not outlier"/>
  </r>
  <r>
    <x v="1"/>
    <x v="3"/>
    <x v="1"/>
    <x v="3"/>
    <x v="2"/>
    <n v="1.06E-2"/>
    <n v="1.650026"/>
    <n v="4.1999999999999997E-3"/>
    <n v="8"/>
    <s v="not outlier"/>
    <s v="not outlier"/>
    <s v="not outlier"/>
    <s v="not outlier"/>
  </r>
  <r>
    <x v="1"/>
    <x v="4"/>
    <x v="1"/>
    <x v="3"/>
    <x v="5"/>
    <n v="0.3992"/>
    <n v="38.224321000000003"/>
    <n v="7.1900000000000006E-2"/>
    <n v="91"/>
    <s v="not outlier"/>
    <s v="not outlier"/>
    <s v="not outlier"/>
    <s v="not outlier"/>
  </r>
  <r>
    <x v="1"/>
    <x v="4"/>
    <x v="1"/>
    <x v="3"/>
    <x v="2"/>
    <n v="1.0999999999999999E-2"/>
    <n v="1.6126959999999999"/>
    <n v="4.4000000000000003E-3"/>
    <n v="6"/>
    <s v="not outlier"/>
    <s v="not outlier"/>
    <s v="not outlier"/>
    <s v="not outlier"/>
  </r>
  <r>
    <x v="1"/>
    <x v="5"/>
    <x v="1"/>
    <x v="3"/>
    <x v="5"/>
    <n v="0.53820000000000001"/>
    <n v="46.874411000000002"/>
    <n v="9.69E-2"/>
    <n v="91"/>
    <s v="not outlier"/>
    <s v="not outlier"/>
    <s v="not outlier"/>
    <s v="not outlier"/>
  </r>
  <r>
    <x v="1"/>
    <x v="5"/>
    <x v="1"/>
    <x v="3"/>
    <x v="2"/>
    <n v="1.7399999999999999E-2"/>
    <n v="2.096333"/>
    <n v="7.0000000000000001E-3"/>
    <n v="6"/>
    <s v="not outlier"/>
    <s v="not outlier"/>
    <s v="not outlier"/>
    <s v="not outlier"/>
  </r>
  <r>
    <x v="1"/>
    <x v="9"/>
    <x v="1"/>
    <x v="3"/>
    <x v="5"/>
    <n v="0.55679999999999996"/>
    <n v="37.274619000000001"/>
    <n v="0.1002"/>
    <n v="88"/>
    <s v="not outlier"/>
    <s v="not outlier"/>
    <s v="not outlier"/>
    <s v="not outlier"/>
  </r>
  <r>
    <x v="1"/>
    <x v="9"/>
    <x v="1"/>
    <x v="3"/>
    <x v="2"/>
    <n v="1.2999999999999999E-3"/>
    <n v="0.14441499999999999"/>
    <n v="5.0000000000000001E-4"/>
    <n v="1"/>
    <s v="not outlier"/>
    <s v="not outlier"/>
    <s v="not outlier"/>
    <s v="not outlier"/>
  </r>
  <r>
    <x v="1"/>
    <x v="10"/>
    <x v="1"/>
    <x v="3"/>
    <x v="5"/>
    <n v="0.49880000000000002"/>
    <n v="33.539597999999998"/>
    <n v="8.9800000000000005E-2"/>
    <n v="81"/>
    <s v="not outlier"/>
    <s v="not outlier"/>
    <s v="not outlier"/>
    <s v="not outlier"/>
  </r>
  <r>
    <x v="1"/>
    <x v="10"/>
    <x v="1"/>
    <x v="3"/>
    <x v="2"/>
    <n v="2.7000000000000001E-3"/>
    <n v="0.44929000000000002"/>
    <n v="1.1000000000000001E-3"/>
    <n v="2"/>
    <s v="not outlier"/>
    <s v="not outlier"/>
    <s v="not outlier"/>
    <s v="not outlier"/>
  </r>
  <r>
    <x v="1"/>
    <x v="11"/>
    <x v="1"/>
    <x v="3"/>
    <x v="5"/>
    <n v="0.40670000000000001"/>
    <n v="24.997520000000002"/>
    <n v="7.3200000000000001E-2"/>
    <n v="0"/>
    <s v="not outlier"/>
    <s v="not outlier"/>
    <s v="not outlier"/>
    <s v="not outlier"/>
  </r>
  <r>
    <x v="1"/>
    <x v="11"/>
    <x v="1"/>
    <x v="3"/>
    <x v="2"/>
    <n v="4.0000000000000002E-4"/>
    <n v="5.7619999999999998E-2"/>
    <n v="1E-4"/>
    <n v="0"/>
    <s v="not outlier"/>
    <s v="not outlier"/>
    <s v="not outlier"/>
    <s v="not outlier"/>
  </r>
  <r>
    <x v="1"/>
    <x v="10"/>
    <x v="1"/>
    <x v="28"/>
    <x v="2"/>
    <n v="0.1827"/>
    <n v="41.747625999999997"/>
    <n v="8.3099999999999993E-2"/>
    <n v="0"/>
    <s v="not outlier"/>
    <s v="not outlier"/>
    <s v="not outlier"/>
    <s v="not outlier"/>
  </r>
  <r>
    <x v="1"/>
    <x v="0"/>
    <x v="1"/>
    <x v="28"/>
    <x v="2"/>
    <n v="0.15529999999999999"/>
    <n v="31.865635000000001"/>
    <n v="7.0699999999999999E-2"/>
    <n v="0"/>
    <s v="not outlier"/>
    <s v="not outlier"/>
    <s v="not outlier"/>
    <s v="not outlier"/>
  </r>
  <r>
    <x v="1"/>
    <x v="1"/>
    <x v="1"/>
    <x v="28"/>
    <x v="2"/>
    <n v="0.38169999999999998"/>
    <n v="61.491981000000003"/>
    <n v="0.17369999999999999"/>
    <n v="0"/>
    <s v="not outlier"/>
    <s v="not outlier"/>
    <s v="not outlier"/>
    <s v="not outlier"/>
  </r>
  <r>
    <x v="1"/>
    <x v="7"/>
    <x v="0"/>
    <x v="29"/>
    <x v="6"/>
    <n v="0.49919999999999998"/>
    <n v="183.33368999999999"/>
    <n v="0.1249"/>
    <n v="0"/>
    <s v="not outlier"/>
    <s v="not outlier"/>
    <s v="not outlier"/>
    <s v="not outlier"/>
  </r>
  <r>
    <x v="1"/>
    <x v="7"/>
    <x v="0"/>
    <x v="29"/>
    <x v="2"/>
    <n v="0.16639999999999999"/>
    <n v="87.983642000000003"/>
    <n v="8.3199999999999996E-2"/>
    <n v="0"/>
    <s v="not outlier"/>
    <s v="not outlier"/>
    <s v="not outlier"/>
    <s v="not outlier"/>
  </r>
  <r>
    <x v="1"/>
    <x v="2"/>
    <x v="0"/>
    <x v="4"/>
    <x v="5"/>
    <n v="1.8007"/>
    <n v="496.77016099999997"/>
    <n v="0.34210000000000002"/>
    <n v="96"/>
    <s v="not outlier"/>
    <s v="not outlier"/>
    <s v="not outlier"/>
    <s v="not outlier"/>
  </r>
  <r>
    <x v="1"/>
    <x v="2"/>
    <x v="0"/>
    <x v="4"/>
    <x v="1"/>
    <n v="3.4299999999999997E-2"/>
    <n v="10.777786000000001"/>
    <n v="1.21E-2"/>
    <n v="8"/>
    <s v="not outlier"/>
    <s v="not outlier"/>
    <s v="not outlier"/>
    <s v="not outlier"/>
  </r>
  <r>
    <x v="1"/>
    <x v="2"/>
    <x v="0"/>
    <x v="4"/>
    <x v="2"/>
    <n v="7.1199999999999999E-2"/>
    <n v="35.072660999999997"/>
    <n v="3.56E-2"/>
    <n v="48"/>
    <s v="not outlier"/>
    <s v="not outlier"/>
    <s v="not outlier"/>
    <s v="not outlier"/>
  </r>
  <r>
    <x v="1"/>
    <x v="3"/>
    <x v="0"/>
    <x v="4"/>
    <x v="5"/>
    <n v="1.5409999999999999"/>
    <n v="407.29363699999999"/>
    <n v="0.2928"/>
    <n v="101"/>
    <s v="not outlier"/>
    <s v="not outlier"/>
    <s v="not outlier"/>
    <s v="not outlier"/>
  </r>
  <r>
    <x v="1"/>
    <x v="3"/>
    <x v="0"/>
    <x v="4"/>
    <x v="1"/>
    <n v="2.06E-2"/>
    <n v="6.792724999999999"/>
    <n v="7.3000000000000001E-3"/>
    <n v="7"/>
    <s v="not outlier"/>
    <s v="not outlier"/>
    <s v="not outlier"/>
    <s v="not outlier"/>
  </r>
  <r>
    <x v="1"/>
    <x v="3"/>
    <x v="0"/>
    <x v="4"/>
    <x v="2"/>
    <n v="7.3800000000000004E-2"/>
    <n v="36.475166000000002"/>
    <n v="3.6900000000000002E-2"/>
    <n v="54"/>
    <s v="not outlier"/>
    <s v="not outlier"/>
    <s v="not outlier"/>
    <s v="not outlier"/>
  </r>
  <r>
    <x v="1"/>
    <x v="4"/>
    <x v="0"/>
    <x v="4"/>
    <x v="5"/>
    <n v="1.7753000000000001"/>
    <n v="504.26181800000001"/>
    <n v="0.33729999999999999"/>
    <n v="95"/>
    <s v="not outlier"/>
    <s v="not outlier"/>
    <s v="not outlier"/>
    <s v="not outlier"/>
  </r>
  <r>
    <x v="1"/>
    <x v="4"/>
    <x v="0"/>
    <x v="4"/>
    <x v="1"/>
    <n v="1.9E-2"/>
    <n v="6.1212439999999999"/>
    <n v="6.7000000000000002E-3"/>
    <n v="8"/>
    <s v="not outlier"/>
    <s v="not outlier"/>
    <s v="not outlier"/>
    <s v="not outlier"/>
  </r>
  <r>
    <x v="1"/>
    <x v="4"/>
    <x v="0"/>
    <x v="4"/>
    <x v="2"/>
    <n v="9.6500000000000002E-2"/>
    <n v="47.773322"/>
    <n v="4.8300000000000003E-2"/>
    <n v="62"/>
    <s v="not outlier"/>
    <s v="not outlier"/>
    <s v="not outlier"/>
    <s v="not outlier"/>
  </r>
  <r>
    <x v="1"/>
    <x v="5"/>
    <x v="0"/>
    <x v="4"/>
    <x v="5"/>
    <n v="1.9362999999999999"/>
    <n v="590.07532900000001"/>
    <n v="0.36799999999999999"/>
    <n v="107"/>
    <s v="not outlier"/>
    <s v="not outlier"/>
    <s v="not outlier"/>
    <s v="not outlier"/>
  </r>
  <r>
    <x v="1"/>
    <x v="5"/>
    <x v="0"/>
    <x v="4"/>
    <x v="1"/>
    <n v="3.0700000000000002E-2"/>
    <n v="11.345499"/>
    <n v="1.09E-2"/>
    <n v="7"/>
    <s v="not outlier"/>
    <s v="not outlier"/>
    <s v="not outlier"/>
    <s v="not outlier"/>
  </r>
  <r>
    <x v="1"/>
    <x v="5"/>
    <x v="0"/>
    <x v="4"/>
    <x v="2"/>
    <n v="7.2900000000000006E-2"/>
    <n v="36.270744999999998"/>
    <n v="3.6499999999999998E-2"/>
    <n v="49"/>
    <s v="not outlier"/>
    <s v="not outlier"/>
    <s v="not outlier"/>
    <s v="not outlier"/>
  </r>
  <r>
    <x v="1"/>
    <x v="6"/>
    <x v="0"/>
    <x v="4"/>
    <x v="5"/>
    <n v="1.2937000000000001"/>
    <n v="382.59960000000001"/>
    <n v="0.2457"/>
    <n v="113"/>
    <s v="not outlier"/>
    <s v="not outlier"/>
    <s v="not outlier"/>
    <s v="not outlier"/>
  </r>
  <r>
    <x v="1"/>
    <x v="6"/>
    <x v="0"/>
    <x v="4"/>
    <x v="1"/>
    <n v="1.1299999999999999E-2"/>
    <n v="4.8052010000000003"/>
    <n v="4.0000000000000001E-3"/>
    <n v="4"/>
    <s v="not outlier"/>
    <s v="not outlier"/>
    <s v="not outlier"/>
    <s v="not outlier"/>
  </r>
  <r>
    <x v="1"/>
    <x v="6"/>
    <x v="0"/>
    <x v="4"/>
    <x v="2"/>
    <n v="4.9299999999999997E-2"/>
    <n v="24.562618000000001"/>
    <n v="2.46E-2"/>
    <n v="44"/>
    <s v="not outlier"/>
    <s v="not outlier"/>
    <s v="not outlier"/>
    <s v="not outlier"/>
  </r>
  <r>
    <x v="1"/>
    <x v="7"/>
    <x v="0"/>
    <x v="4"/>
    <x v="5"/>
    <n v="1.4055"/>
    <n v="441.05953799999997"/>
    <n v="0.2671"/>
    <n v="107"/>
    <s v="not outlier"/>
    <s v="not outlier"/>
    <s v="not outlier"/>
    <s v="not outlier"/>
  </r>
  <r>
    <x v="1"/>
    <x v="7"/>
    <x v="0"/>
    <x v="4"/>
    <x v="1"/>
    <n v="1.7600000000000001E-2"/>
    <n v="7.4547910000000002"/>
    <n v="6.1999999999999998E-3"/>
    <n v="5"/>
    <s v="not outlier"/>
    <s v="not outlier"/>
    <s v="not outlier"/>
    <s v="not outlier"/>
  </r>
  <r>
    <x v="1"/>
    <x v="7"/>
    <x v="0"/>
    <x v="4"/>
    <x v="2"/>
    <n v="5.0200000000000002E-2"/>
    <n v="25.818787"/>
    <n v="2.5100000000000001E-2"/>
    <n v="44"/>
    <s v="not outlier"/>
    <s v="not outlier"/>
    <s v="not outlier"/>
    <s v="not outlier"/>
  </r>
  <r>
    <x v="1"/>
    <x v="8"/>
    <x v="0"/>
    <x v="4"/>
    <x v="5"/>
    <n v="0.92989999999999995"/>
    <n v="287.86619899999999"/>
    <n v="0.17660000000000001"/>
    <n v="105"/>
    <s v="not outlier"/>
    <s v="not outlier"/>
    <s v="not outlier"/>
    <s v="not outlier"/>
  </r>
  <r>
    <x v="1"/>
    <x v="8"/>
    <x v="0"/>
    <x v="4"/>
    <x v="1"/>
    <n v="1.66E-2"/>
    <n v="6.9438370000000003"/>
    <n v="5.8999999999999999E-3"/>
    <n v="5"/>
    <s v="not outlier"/>
    <s v="not outlier"/>
    <s v="not outlier"/>
    <s v="not outlier"/>
  </r>
  <r>
    <x v="1"/>
    <x v="8"/>
    <x v="0"/>
    <x v="4"/>
    <x v="2"/>
    <n v="4.9299999999999997E-2"/>
    <n v="25.549583999999999"/>
    <n v="2.46E-2"/>
    <n v="34"/>
    <s v="not outlier"/>
    <s v="not outlier"/>
    <s v="not outlier"/>
    <s v="not outlier"/>
  </r>
  <r>
    <x v="1"/>
    <x v="9"/>
    <x v="0"/>
    <x v="4"/>
    <x v="5"/>
    <n v="0.65920000000000001"/>
    <n v="215.46899199999999"/>
    <n v="0.12529999999999999"/>
    <n v="105"/>
    <s v="not outlier"/>
    <s v="not outlier"/>
    <s v="not outlier"/>
    <s v="not outlier"/>
  </r>
  <r>
    <x v="1"/>
    <x v="9"/>
    <x v="0"/>
    <x v="4"/>
    <x v="1"/>
    <n v="1.26E-2"/>
    <n v="5.401491"/>
    <n v="4.4000000000000003E-3"/>
    <n v="4"/>
    <s v="not outlier"/>
    <s v="not outlier"/>
    <s v="not outlier"/>
    <s v="not outlier"/>
  </r>
  <r>
    <x v="1"/>
    <x v="9"/>
    <x v="0"/>
    <x v="4"/>
    <x v="2"/>
    <n v="6.5199999999999994E-2"/>
    <n v="33.784533000000003"/>
    <n v="3.2599999999999997E-2"/>
    <n v="47"/>
    <s v="not outlier"/>
    <s v="not outlier"/>
    <s v="not outlier"/>
    <s v="not outlier"/>
  </r>
  <r>
    <x v="1"/>
    <x v="10"/>
    <x v="0"/>
    <x v="4"/>
    <x v="5"/>
    <n v="1.3111999999999999"/>
    <n v="388.65413999999998"/>
    <n v="0.249"/>
    <n v="115"/>
    <s v="not outlier"/>
    <s v="not outlier"/>
    <s v="not outlier"/>
    <s v="not outlier"/>
  </r>
  <r>
    <x v="1"/>
    <x v="10"/>
    <x v="0"/>
    <x v="4"/>
    <x v="1"/>
    <n v="1.15E-2"/>
    <n v="4.9720930000000001"/>
    <n v="4.1999999999999997E-3"/>
    <n v="5"/>
    <s v="not outlier"/>
    <s v="not outlier"/>
    <s v="not outlier"/>
    <s v="not outlier"/>
  </r>
  <r>
    <x v="1"/>
    <x v="10"/>
    <x v="0"/>
    <x v="4"/>
    <x v="2"/>
    <n v="5.6599999999999998E-2"/>
    <n v="29.526423000000001"/>
    <n v="2.8299999999999999E-2"/>
    <n v="47"/>
    <s v="not outlier"/>
    <s v="not outlier"/>
    <s v="not outlier"/>
    <s v="not outlier"/>
  </r>
  <r>
    <x v="1"/>
    <x v="11"/>
    <x v="0"/>
    <x v="4"/>
    <x v="5"/>
    <n v="1.2161999999999999"/>
    <n v="378.99533500000001"/>
    <n v="0.2311"/>
    <n v="107"/>
    <s v="not outlier"/>
    <s v="not outlier"/>
    <s v="not outlier"/>
    <s v="not outlier"/>
  </r>
  <r>
    <x v="1"/>
    <x v="11"/>
    <x v="0"/>
    <x v="4"/>
    <x v="1"/>
    <n v="1.7600000000000001E-2"/>
    <n v="7.4601620000000004"/>
    <n v="6.1999999999999998E-3"/>
    <n v="4"/>
    <s v="not outlier"/>
    <s v="not outlier"/>
    <s v="not outlier"/>
    <s v="not outlier"/>
  </r>
  <r>
    <x v="1"/>
    <x v="11"/>
    <x v="0"/>
    <x v="4"/>
    <x v="2"/>
    <n v="4.6699999999999998E-2"/>
    <n v="23.810641"/>
    <n v="2.3300000000000001E-2"/>
    <n v="36"/>
    <s v="not outlier"/>
    <s v="not outlier"/>
    <s v="not outlier"/>
    <s v="not outlier"/>
  </r>
  <r>
    <x v="1"/>
    <x v="0"/>
    <x v="0"/>
    <x v="4"/>
    <x v="5"/>
    <n v="1.0677000000000001"/>
    <n v="321.767696"/>
    <n v="0.20269999999999999"/>
    <n v="108"/>
    <s v="not outlier"/>
    <s v="not outlier"/>
    <s v="not outlier"/>
    <s v="not outlier"/>
  </r>
  <r>
    <x v="1"/>
    <x v="0"/>
    <x v="0"/>
    <x v="4"/>
    <x v="1"/>
    <n v="1.6799999999999999E-2"/>
    <n v="7.1706029999999998"/>
    <n v="6.0000000000000001E-3"/>
    <n v="5"/>
    <s v="not outlier"/>
    <s v="not outlier"/>
    <s v="not outlier"/>
    <s v="not outlier"/>
  </r>
  <r>
    <x v="1"/>
    <x v="0"/>
    <x v="0"/>
    <x v="4"/>
    <x v="2"/>
    <n v="4.6600000000000003E-2"/>
    <n v="24.183679000000001"/>
    <n v="2.3300000000000001E-2"/>
    <n v="39"/>
    <s v="not outlier"/>
    <s v="not outlier"/>
    <s v="not outlier"/>
    <s v="not outlier"/>
  </r>
  <r>
    <x v="1"/>
    <x v="1"/>
    <x v="0"/>
    <x v="4"/>
    <x v="5"/>
    <n v="1.3044"/>
    <n v="385.36005399999999"/>
    <n v="0.24779999999999999"/>
    <n v="105"/>
    <s v="not outlier"/>
    <s v="not outlier"/>
    <s v="not outlier"/>
    <s v="not outlier"/>
  </r>
  <r>
    <x v="1"/>
    <x v="1"/>
    <x v="0"/>
    <x v="4"/>
    <x v="1"/>
    <n v="2.01E-2"/>
    <n v="8.7732209999999995"/>
    <n v="7.1999999999999998E-3"/>
    <n v="6"/>
    <s v="not outlier"/>
    <s v="not outlier"/>
    <s v="not outlier"/>
    <s v="not outlier"/>
  </r>
  <r>
    <x v="1"/>
    <x v="1"/>
    <x v="0"/>
    <x v="4"/>
    <x v="2"/>
    <n v="5.5100000000000003E-2"/>
    <n v="28.912296000000001"/>
    <n v="2.76E-2"/>
    <n v="44"/>
    <s v="not outlier"/>
    <s v="not outlier"/>
    <s v="not outlier"/>
    <s v="not outlier"/>
  </r>
  <r>
    <x v="1"/>
    <x v="2"/>
    <x v="0"/>
    <x v="6"/>
    <x v="5"/>
    <n v="6.9999999999999999E-4"/>
    <n v="0.330204"/>
    <n v="1E-4"/>
    <n v="0"/>
    <s v="not outlier"/>
    <s v="not outlier"/>
    <s v="not outlier"/>
    <s v="not outlier"/>
  </r>
  <r>
    <x v="1"/>
    <x v="2"/>
    <x v="0"/>
    <x v="6"/>
    <x v="1"/>
    <n v="5.7700000000000001E-2"/>
    <n v="27.053737000000002"/>
    <n v="2.0199999999999999E-2"/>
    <n v="0"/>
    <s v="not outlier"/>
    <s v="not outlier"/>
    <s v="not outlier"/>
    <s v="not outlier"/>
  </r>
  <r>
    <x v="1"/>
    <x v="2"/>
    <x v="0"/>
    <x v="6"/>
    <x v="2"/>
    <n v="0.29909999999999998"/>
    <n v="167.43448900000001"/>
    <n v="0.12559999999999999"/>
    <n v="0"/>
    <s v="not outlier"/>
    <s v="not outlier"/>
    <s v="not outlier"/>
    <s v="not outlier"/>
  </r>
  <r>
    <x v="1"/>
    <x v="3"/>
    <x v="0"/>
    <x v="6"/>
    <x v="5"/>
    <n v="1.2999999999999999E-3"/>
    <n v="0.660408"/>
    <n v="2.9999999999999997E-4"/>
    <n v="0"/>
    <s v="not outlier"/>
    <s v="not outlier"/>
    <s v="not outlier"/>
    <s v="not outlier"/>
  </r>
  <r>
    <x v="1"/>
    <x v="3"/>
    <x v="0"/>
    <x v="6"/>
    <x v="1"/>
    <n v="5.5100000000000003E-2"/>
    <n v="25.322154000000001"/>
    <n v="1.9300000000000001E-2"/>
    <n v="0"/>
    <s v="not outlier"/>
    <s v="not outlier"/>
    <s v="not outlier"/>
    <s v="not outlier"/>
  </r>
  <r>
    <x v="1"/>
    <x v="3"/>
    <x v="0"/>
    <x v="6"/>
    <x v="2"/>
    <n v="0.40989999999999999"/>
    <n v="222.27564100000001"/>
    <n v="0.1721"/>
    <n v="0"/>
    <s v="not outlier"/>
    <s v="not outlier"/>
    <s v="not outlier"/>
    <s v="not outlier"/>
  </r>
  <r>
    <x v="1"/>
    <x v="4"/>
    <x v="0"/>
    <x v="6"/>
    <x v="5"/>
    <n v="2E-3"/>
    <n v="0.99061299999999997"/>
    <n v="4.0000000000000002E-4"/>
    <n v="0"/>
    <s v="not outlier"/>
    <s v="not outlier"/>
    <s v="not outlier"/>
    <s v="not outlier"/>
  </r>
  <r>
    <x v="1"/>
    <x v="4"/>
    <x v="0"/>
    <x v="6"/>
    <x v="1"/>
    <n v="6.1899999999999997E-2"/>
    <n v="28.385296000000004"/>
    <n v="2.1600000000000001E-2"/>
    <n v="0"/>
    <s v="not outlier"/>
    <s v="not outlier"/>
    <s v="not outlier"/>
    <s v="not outlier"/>
  </r>
  <r>
    <x v="1"/>
    <x v="4"/>
    <x v="0"/>
    <x v="6"/>
    <x v="2"/>
    <n v="0.46129999999999999"/>
    <n v="255.430531"/>
    <n v="0.19370000000000001"/>
    <n v="0"/>
    <s v="not outlier"/>
    <s v="not outlier"/>
    <s v="not outlier"/>
    <s v="not outlier"/>
  </r>
  <r>
    <x v="1"/>
    <x v="5"/>
    <x v="0"/>
    <x v="6"/>
    <x v="5"/>
    <n v="6.9999999999999999E-4"/>
    <n v="0.330204"/>
    <n v="1E-4"/>
    <n v="0"/>
    <s v="not outlier"/>
    <s v="not outlier"/>
    <s v="not outlier"/>
    <s v="not outlier"/>
  </r>
  <r>
    <x v="1"/>
    <x v="5"/>
    <x v="0"/>
    <x v="6"/>
    <x v="1"/>
    <n v="8.3699999999999997E-2"/>
    <n v="38.515669000000003"/>
    <n v="2.93E-2"/>
    <n v="0"/>
    <s v="not outlier"/>
    <s v="not outlier"/>
    <s v="not outlier"/>
    <s v="not outlier"/>
  </r>
  <r>
    <x v="1"/>
    <x v="5"/>
    <x v="0"/>
    <x v="6"/>
    <x v="2"/>
    <n v="0.32790000000000002"/>
    <n v="191.16669099999999"/>
    <n v="0.13769999999999999"/>
    <n v="0"/>
    <s v="not outlier"/>
    <s v="not outlier"/>
    <s v="not outlier"/>
    <s v="not outlier"/>
  </r>
  <r>
    <x v="1"/>
    <x v="6"/>
    <x v="0"/>
    <x v="6"/>
    <x v="1"/>
    <n v="8.5300000000000001E-2"/>
    <n v="39.231243999999997"/>
    <n v="2.98E-2"/>
    <n v="0"/>
    <s v="not outlier"/>
    <s v="not outlier"/>
    <s v="not outlier"/>
    <s v="not outlier"/>
  </r>
  <r>
    <x v="1"/>
    <x v="6"/>
    <x v="0"/>
    <x v="6"/>
    <x v="2"/>
    <n v="0.39800000000000002"/>
    <n v="222.56314399999999"/>
    <n v="0.16719999999999999"/>
    <n v="0"/>
    <s v="not outlier"/>
    <s v="not outlier"/>
    <s v="not outlier"/>
    <s v="not outlier"/>
  </r>
  <r>
    <x v="1"/>
    <x v="8"/>
    <x v="0"/>
    <x v="6"/>
    <x v="1"/>
    <n v="7.4099999999999999E-2"/>
    <n v="34.415036999999998"/>
    <n v="2.5899999999999999E-2"/>
    <n v="0"/>
    <s v="not outlier"/>
    <s v="not outlier"/>
    <s v="not outlier"/>
    <s v="not outlier"/>
  </r>
  <r>
    <x v="1"/>
    <x v="8"/>
    <x v="0"/>
    <x v="6"/>
    <x v="2"/>
    <n v="0.27760000000000001"/>
    <n v="161.84455600000001"/>
    <n v="0.1166"/>
    <n v="0"/>
    <s v="not outlier"/>
    <s v="not outlier"/>
    <s v="not outlier"/>
    <s v="not outlier"/>
  </r>
  <r>
    <x v="1"/>
    <x v="9"/>
    <x v="0"/>
    <x v="6"/>
    <x v="5"/>
    <n v="1.2999999999999999E-3"/>
    <n v="0.660408"/>
    <n v="2.9999999999999997E-4"/>
    <n v="0"/>
    <s v="not outlier"/>
    <s v="not outlier"/>
    <s v="not outlier"/>
    <s v="not outlier"/>
  </r>
  <r>
    <x v="1"/>
    <x v="9"/>
    <x v="0"/>
    <x v="6"/>
    <x v="1"/>
    <n v="6.1499999999999999E-2"/>
    <n v="28.180940999999997"/>
    <n v="2.1499999999999998E-2"/>
    <n v="0"/>
    <s v="not outlier"/>
    <s v="not outlier"/>
    <s v="not outlier"/>
    <s v="not outlier"/>
  </r>
  <r>
    <x v="1"/>
    <x v="9"/>
    <x v="0"/>
    <x v="6"/>
    <x v="2"/>
    <n v="0.30449999999999999"/>
    <n v="177.71524500000004"/>
    <n v="0.12790000000000001"/>
    <n v="0"/>
    <s v="not outlier"/>
    <s v="not outlier"/>
    <s v="not outlier"/>
    <s v="not outlier"/>
  </r>
  <r>
    <x v="1"/>
    <x v="10"/>
    <x v="0"/>
    <x v="6"/>
    <x v="5"/>
    <n v="2.0999999999999999E-3"/>
    <n v="0.76722800000000002"/>
    <n v="4.0000000000000002E-4"/>
    <n v="3"/>
    <s v="not outlier"/>
    <s v="not outlier"/>
    <s v="not outlier"/>
    <s v="not outlier"/>
  </r>
  <r>
    <x v="1"/>
    <x v="10"/>
    <x v="0"/>
    <x v="6"/>
    <x v="1"/>
    <n v="0.1255"/>
    <n v="54.314748000000002"/>
    <n v="4.3900000000000002E-2"/>
    <n v="86"/>
    <s v="not outlier"/>
    <s v="not outlier"/>
    <s v="not outlier"/>
    <s v="not outlier"/>
  </r>
  <r>
    <x v="1"/>
    <x v="10"/>
    <x v="0"/>
    <x v="6"/>
    <x v="2"/>
    <n v="0.40360000000000001"/>
    <n v="228.47459499999999"/>
    <n v="0.16950000000000001"/>
    <n v="130"/>
    <s v="not outlier"/>
    <s v="not outlier"/>
    <s v="not outlier"/>
    <s v="not outlier"/>
  </r>
  <r>
    <x v="1"/>
    <x v="11"/>
    <x v="0"/>
    <x v="6"/>
    <x v="5"/>
    <n v="2.5999999999999999E-3"/>
    <n v="1.2736730000000001"/>
    <n v="5.0000000000000001E-4"/>
    <n v="1"/>
    <s v="not outlier"/>
    <s v="not outlier"/>
    <s v="not outlier"/>
    <s v="not outlier"/>
  </r>
  <r>
    <x v="1"/>
    <x v="11"/>
    <x v="0"/>
    <x v="6"/>
    <x v="1"/>
    <n v="0.1336"/>
    <n v="58.314528000000003"/>
    <n v="4.6699999999999998E-2"/>
    <n v="89"/>
    <s v="not outlier"/>
    <s v="not outlier"/>
    <s v="not outlier"/>
    <s v="not outlier"/>
  </r>
  <r>
    <x v="1"/>
    <x v="11"/>
    <x v="0"/>
    <x v="6"/>
    <x v="2"/>
    <n v="0.52339999999999998"/>
    <n v="283.69342599999999"/>
    <n v="0.21990000000000001"/>
    <n v="89"/>
    <s v="not outlier"/>
    <s v="not outlier"/>
    <s v="not outlier"/>
    <s v="not outlier"/>
  </r>
  <r>
    <x v="1"/>
    <x v="1"/>
    <x v="0"/>
    <x v="6"/>
    <x v="5"/>
    <n v="3.3E-3"/>
    <n v="1.6510210000000003"/>
    <n v="5.9999999999999995E-4"/>
    <n v="0"/>
    <s v="not outlier"/>
    <s v="not outlier"/>
    <s v="not outlier"/>
    <s v="not outlier"/>
  </r>
  <r>
    <x v="1"/>
    <x v="1"/>
    <x v="0"/>
    <x v="6"/>
    <x v="1"/>
    <n v="0.104"/>
    <n v="49.401865999999998"/>
    <n v="3.6400000000000002E-2"/>
    <n v="0"/>
    <s v="not outlier"/>
    <s v="not outlier"/>
    <s v="not outlier"/>
    <s v="not outlier"/>
  </r>
  <r>
    <x v="1"/>
    <x v="1"/>
    <x v="0"/>
    <x v="6"/>
    <x v="2"/>
    <n v="0.2762"/>
    <n v="154.51408900000001"/>
    <n v="0.11600000000000001"/>
    <n v="0"/>
    <s v="not outlier"/>
    <s v="not outlier"/>
    <s v="not outlier"/>
    <s v="not outlier"/>
  </r>
  <r>
    <x v="1"/>
    <x v="2"/>
    <x v="2"/>
    <x v="8"/>
    <x v="1"/>
    <n v="0.75460000000000005"/>
    <n v="69.099011000000004"/>
    <n v="0.2641"/>
    <n v="222"/>
    <s v="not outlier"/>
    <s v="not outlier"/>
    <s v="not outlier"/>
    <s v="not outlier"/>
  </r>
  <r>
    <x v="1"/>
    <x v="3"/>
    <x v="2"/>
    <x v="8"/>
    <x v="1"/>
    <n v="0.86280000000000001"/>
    <n v="77.771446999999995"/>
    <n v="0.30199999999999999"/>
    <n v="213"/>
    <s v="not outlier"/>
    <s v="not outlier"/>
    <s v="not outlier"/>
    <s v="not outlier"/>
  </r>
  <r>
    <x v="1"/>
    <x v="4"/>
    <x v="2"/>
    <x v="8"/>
    <x v="1"/>
    <n v="1.0598000000000001"/>
    <n v="97.765709999999999"/>
    <n v="0.371"/>
    <n v="221"/>
    <s v="not outlier"/>
    <s v="not outlier"/>
    <s v="not outlier"/>
    <s v="not outlier"/>
  </r>
  <r>
    <x v="1"/>
    <x v="5"/>
    <x v="2"/>
    <x v="8"/>
    <x v="1"/>
    <n v="1.0268999999999999"/>
    <n v="93.809292999999997"/>
    <n v="0.3594"/>
    <n v="525"/>
    <s v="not outlier"/>
    <s v="not outlier"/>
    <s v="not outlier"/>
    <s v="not outlier"/>
  </r>
  <r>
    <x v="1"/>
    <x v="6"/>
    <x v="1"/>
    <x v="8"/>
    <x v="1"/>
    <n v="1.1917"/>
    <n v="73.446700000000007"/>
    <n v="0.41710000000000003"/>
    <n v="107"/>
    <s v="not outlier"/>
    <s v="not outlier"/>
    <s v="not outlier"/>
    <s v="not outlier"/>
  </r>
  <r>
    <x v="1"/>
    <x v="6"/>
    <x v="2"/>
    <x v="8"/>
    <x v="1"/>
    <n v="8.7390000000000008"/>
    <n v="530.79929600000003"/>
    <n v="3.0586000000000002"/>
    <n v="2725"/>
    <s v="not outlier"/>
    <s v="not outlier"/>
    <s v="not outlier"/>
    <s v="outlier"/>
  </r>
  <r>
    <x v="1"/>
    <x v="6"/>
    <x v="0"/>
    <x v="8"/>
    <x v="1"/>
    <n v="13.682700000000001"/>
    <n v="829.92592400000001"/>
    <n v="4.7889999999999997"/>
    <n v="4261"/>
    <s v="not outlier"/>
    <s v="not outlier"/>
    <s v="not outlier"/>
    <s v="outlier"/>
  </r>
  <r>
    <x v="1"/>
    <x v="7"/>
    <x v="1"/>
    <x v="8"/>
    <x v="1"/>
    <n v="1.3838999999999999"/>
    <n v="79.551433000000003"/>
    <n v="0.4844"/>
    <n v="118"/>
    <s v="not outlier"/>
    <s v="not outlier"/>
    <s v="not outlier"/>
    <s v="not outlier"/>
  </r>
  <r>
    <x v="1"/>
    <x v="7"/>
    <x v="2"/>
    <x v="8"/>
    <x v="1"/>
    <n v="9.0986999999999991"/>
    <n v="522.36755200000005"/>
    <n v="3.1844999999999999"/>
    <n v="3345"/>
    <s v="not outlier"/>
    <s v="not outlier"/>
    <s v="not outlier"/>
    <s v="outlier"/>
  </r>
  <r>
    <x v="1"/>
    <x v="7"/>
    <x v="0"/>
    <x v="8"/>
    <x v="1"/>
    <n v="17.653400000000001"/>
    <n v="960.91475300000002"/>
    <n v="6.1787000000000001"/>
    <n v="5559"/>
    <s v="not outlier"/>
    <s v="not outlier"/>
    <s v="not outlier"/>
    <s v="outlier"/>
  </r>
  <r>
    <x v="1"/>
    <x v="8"/>
    <x v="1"/>
    <x v="8"/>
    <x v="1"/>
    <n v="1.1016999999999999"/>
    <n v="60.192714000000002"/>
    <n v="0.3856"/>
    <n v="103"/>
    <s v="not outlier"/>
    <s v="not outlier"/>
    <s v="not outlier"/>
    <s v="not outlier"/>
  </r>
  <r>
    <x v="1"/>
    <x v="8"/>
    <x v="2"/>
    <x v="8"/>
    <x v="1"/>
    <n v="10.391999999999999"/>
    <n v="539.01800000000003"/>
    <n v="3.6372"/>
    <n v="3268"/>
    <s v="not outlier"/>
    <s v="not outlier"/>
    <s v="not outlier"/>
    <s v="outlier"/>
  </r>
  <r>
    <x v="1"/>
    <x v="8"/>
    <x v="0"/>
    <x v="8"/>
    <x v="1"/>
    <n v="19.049499999999998"/>
    <n v="959.11653200000001"/>
    <n v="6.6673"/>
    <n v="5302"/>
    <s v="not outlier"/>
    <s v="not outlier"/>
    <s v="not outlier"/>
    <s v="outlier"/>
  </r>
  <r>
    <x v="1"/>
    <x v="9"/>
    <x v="2"/>
    <x v="8"/>
    <x v="1"/>
    <n v="7.9817"/>
    <n v="399.15529700000002"/>
    <n v="2.7936000000000001"/>
    <n v="2704"/>
    <s v="not outlier"/>
    <s v="not outlier"/>
    <s v="not outlier"/>
    <s v="outlier"/>
  </r>
  <r>
    <x v="1"/>
    <x v="9"/>
    <x v="0"/>
    <x v="8"/>
    <x v="1"/>
    <n v="11.230499999999999"/>
    <n v="549.42526699999996"/>
    <n v="3.9306000000000001"/>
    <n v="4277"/>
    <s v="not outlier"/>
    <s v="not outlier"/>
    <s v="not outlier"/>
    <s v="outlier"/>
  </r>
  <r>
    <x v="1"/>
    <x v="10"/>
    <x v="2"/>
    <x v="8"/>
    <x v="1"/>
    <n v="3.1998000000000002"/>
    <n v="224.59787800000001"/>
    <n v="1.1198999999999999"/>
    <n v="1723"/>
    <s v="not outlier"/>
    <s v="not outlier"/>
    <s v="not outlier"/>
    <s v="not outlier"/>
  </r>
  <r>
    <x v="1"/>
    <x v="10"/>
    <x v="0"/>
    <x v="8"/>
    <x v="1"/>
    <n v="4.3609"/>
    <n v="277.61780099999999"/>
    <n v="1.5263"/>
    <n v="2679"/>
    <s v="not outlier"/>
    <s v="not outlier"/>
    <s v="not outlier"/>
    <s v="not outlier"/>
  </r>
  <r>
    <x v="1"/>
    <x v="11"/>
    <x v="2"/>
    <x v="8"/>
    <x v="1"/>
    <n v="1.8761000000000001"/>
    <n v="140.60075599999999"/>
    <n v="0.65659999999999996"/>
    <n v="1215"/>
    <s v="not outlier"/>
    <s v="not outlier"/>
    <s v="not outlier"/>
    <s v="not outlier"/>
  </r>
  <r>
    <x v="1"/>
    <x v="11"/>
    <x v="0"/>
    <x v="8"/>
    <x v="1"/>
    <n v="2.6869000000000001"/>
    <n v="191.25912099999999"/>
    <n v="0.94040000000000001"/>
    <n v="1641"/>
    <s v="not outlier"/>
    <s v="not outlier"/>
    <s v="not outlier"/>
    <s v="not outlier"/>
  </r>
  <r>
    <x v="1"/>
    <x v="0"/>
    <x v="2"/>
    <x v="8"/>
    <x v="1"/>
    <n v="1.6438999999999999"/>
    <n v="116.172805"/>
    <n v="0.57540000000000002"/>
    <n v="1077"/>
    <s v="not outlier"/>
    <s v="not outlier"/>
    <s v="not outlier"/>
    <s v="not outlier"/>
  </r>
  <r>
    <x v="1"/>
    <x v="1"/>
    <x v="2"/>
    <x v="8"/>
    <x v="1"/>
    <n v="1.6841999999999999"/>
    <n v="108.666096"/>
    <n v="0.58950000000000002"/>
    <n v="956"/>
    <s v="not outlier"/>
    <s v="not outlier"/>
    <s v="not outlier"/>
    <s v="not outlier"/>
  </r>
  <r>
    <x v="1"/>
    <x v="2"/>
    <x v="1"/>
    <x v="9"/>
    <x v="0"/>
    <n v="12.7583"/>
    <n v="817.78912800000001"/>
    <n v="2.6791999999999998"/>
    <n v="545"/>
    <s v="not outlier"/>
    <s v="not outlier"/>
    <s v="not outlier"/>
    <s v="not outlier"/>
  </r>
  <r>
    <x v="1"/>
    <x v="2"/>
    <x v="1"/>
    <x v="9"/>
    <x v="1"/>
    <n v="61.603400000000001"/>
    <n v="5598.9758140000004"/>
    <n v="21.561199999999999"/>
    <n v="798"/>
    <s v="outlier"/>
    <s v="outlier"/>
    <s v="outlier"/>
    <s v="not outlier"/>
  </r>
  <r>
    <x v="1"/>
    <x v="2"/>
    <x v="1"/>
    <x v="9"/>
    <x v="2"/>
    <n v="47.752400000000002"/>
    <n v="4638.5372710000001"/>
    <n v="23.876300000000001"/>
    <n v="569"/>
    <s v="outlier"/>
    <s v="outlier"/>
    <s v="outlier"/>
    <s v="not outlier"/>
  </r>
  <r>
    <x v="1"/>
    <x v="2"/>
    <x v="1"/>
    <x v="9"/>
    <x v="4"/>
    <n v="1.6999999999999999E-3"/>
    <n v="0.123992"/>
    <n v="1.2999999999999999E-3"/>
    <n v="1"/>
    <s v="not outlier"/>
    <s v="not outlier"/>
    <s v="not outlier"/>
    <s v="not outlier"/>
  </r>
  <r>
    <x v="1"/>
    <x v="2"/>
    <x v="2"/>
    <x v="9"/>
    <x v="0"/>
    <n v="60.735599999999998"/>
    <n v="3633.450875"/>
    <n v="12.7544"/>
    <n v="8174"/>
    <s v="outlier"/>
    <s v="outlier"/>
    <s v="outlier"/>
    <s v="outlier"/>
  </r>
  <r>
    <x v="1"/>
    <x v="2"/>
    <x v="2"/>
    <x v="9"/>
    <x v="1"/>
    <n v="53.450200000000002"/>
    <n v="5188.0307679999996"/>
    <n v="18.7075"/>
    <n v="8539"/>
    <s v="outlier"/>
    <s v="outlier"/>
    <s v="outlier"/>
    <s v="outlier"/>
  </r>
  <r>
    <x v="1"/>
    <x v="2"/>
    <x v="2"/>
    <x v="9"/>
    <x v="2"/>
    <n v="4.7236000000000002"/>
    <n v="698.28802399999995"/>
    <n v="2.3618000000000001"/>
    <n v="791"/>
    <s v="not outlier"/>
    <s v="not outlier"/>
    <s v="not outlier"/>
    <s v="not outlier"/>
  </r>
  <r>
    <x v="1"/>
    <x v="2"/>
    <x v="2"/>
    <x v="9"/>
    <x v="4"/>
    <n v="0.27610000000000001"/>
    <n v="44.558407000000003"/>
    <n v="0.20710000000000001"/>
    <n v="174"/>
    <s v="not outlier"/>
    <s v="not outlier"/>
    <s v="not outlier"/>
    <s v="not outlier"/>
  </r>
  <r>
    <x v="1"/>
    <x v="2"/>
    <x v="0"/>
    <x v="9"/>
    <x v="0"/>
    <n v="97.1922"/>
    <n v="5815.6747169999999"/>
    <n v="20.410399999999999"/>
    <n v="11628"/>
    <s v="outlier"/>
    <s v="outlier"/>
    <s v="outlier"/>
    <s v="outlier"/>
  </r>
  <r>
    <x v="1"/>
    <x v="2"/>
    <x v="0"/>
    <x v="9"/>
    <x v="1"/>
    <n v="147.98070000000001"/>
    <n v="13070.828159999999"/>
    <n v="51.793100000000003"/>
    <n v="15787"/>
    <s v="outlier"/>
    <s v="outlier"/>
    <s v="outlier"/>
    <s v="outlier"/>
  </r>
  <r>
    <x v="1"/>
    <x v="2"/>
    <x v="0"/>
    <x v="9"/>
    <x v="2"/>
    <n v="9.3524999999999991"/>
    <n v="1152.899461"/>
    <n v="4.6763000000000003"/>
    <n v="796"/>
    <s v="not outlier"/>
    <s v="not outlier"/>
    <s v="not outlier"/>
    <s v="not outlier"/>
  </r>
  <r>
    <x v="1"/>
    <x v="2"/>
    <x v="0"/>
    <x v="9"/>
    <x v="4"/>
    <n v="6.4600000000000005E-2"/>
    <n v="9.0905620000000003"/>
    <n v="4.8500000000000001E-2"/>
    <n v="34"/>
    <s v="not outlier"/>
    <s v="not outlier"/>
    <s v="not outlier"/>
    <s v="not outlier"/>
  </r>
  <r>
    <x v="1"/>
    <x v="3"/>
    <x v="1"/>
    <x v="9"/>
    <x v="0"/>
    <n v="11.0802"/>
    <n v="740.73100199999999"/>
    <n v="2.3268"/>
    <n v="558"/>
    <s v="not outlier"/>
    <s v="not outlier"/>
    <s v="not outlier"/>
    <s v="not outlier"/>
  </r>
  <r>
    <x v="1"/>
    <x v="3"/>
    <x v="1"/>
    <x v="9"/>
    <x v="1"/>
    <n v="71.581800000000001"/>
    <n v="6362.6738450000003"/>
    <n v="25.0535"/>
    <n v="810"/>
    <s v="outlier"/>
    <s v="outlier"/>
    <s v="outlier"/>
    <s v="not outlier"/>
  </r>
  <r>
    <x v="1"/>
    <x v="3"/>
    <x v="1"/>
    <x v="9"/>
    <x v="2"/>
    <n v="30.163699999999999"/>
    <n v="3418.376272"/>
    <n v="15.082000000000001"/>
    <n v="587"/>
    <s v="outlier"/>
    <s v="outlier"/>
    <s v="outlier"/>
    <s v="not outlier"/>
  </r>
  <r>
    <x v="1"/>
    <x v="3"/>
    <x v="2"/>
    <x v="9"/>
    <x v="0"/>
    <n v="54.909199999999998"/>
    <n v="3357.6095470000005"/>
    <n v="11.531000000000001"/>
    <n v="8226"/>
    <s v="outlier"/>
    <s v="outlier"/>
    <s v="outlier"/>
    <s v="outlier"/>
  </r>
  <r>
    <x v="1"/>
    <x v="3"/>
    <x v="2"/>
    <x v="9"/>
    <x v="1"/>
    <n v="39.380899999999997"/>
    <n v="4194.076763"/>
    <n v="13.7834"/>
    <n v="8143"/>
    <s v="outlier"/>
    <s v="outlier"/>
    <s v="outlier"/>
    <s v="outlier"/>
  </r>
  <r>
    <x v="1"/>
    <x v="3"/>
    <x v="2"/>
    <x v="9"/>
    <x v="2"/>
    <n v="4.9295"/>
    <n v="735.41033800000002"/>
    <n v="2.4647000000000001"/>
    <n v="777"/>
    <s v="not outlier"/>
    <s v="not outlier"/>
    <s v="not outlier"/>
    <s v="not outlier"/>
  </r>
  <r>
    <x v="1"/>
    <x v="3"/>
    <x v="2"/>
    <x v="9"/>
    <x v="4"/>
    <n v="0.39589999999999997"/>
    <n v="66.646879999999996"/>
    <n v="0.2969"/>
    <n v="273"/>
    <s v="not outlier"/>
    <s v="not outlier"/>
    <s v="not outlier"/>
    <s v="not outlier"/>
  </r>
  <r>
    <x v="1"/>
    <x v="3"/>
    <x v="0"/>
    <x v="9"/>
    <x v="0"/>
    <n v="158.11969999999999"/>
    <n v="8438.5270400000009"/>
    <n v="33.205100000000002"/>
    <n v="11647"/>
    <s v="outlier"/>
    <s v="outlier"/>
    <s v="outlier"/>
    <s v="outlier"/>
  </r>
  <r>
    <x v="1"/>
    <x v="3"/>
    <x v="0"/>
    <x v="9"/>
    <x v="1"/>
    <n v="110.5001"/>
    <n v="10562.128693000001"/>
    <n v="38.6751"/>
    <n v="15152"/>
    <s v="outlier"/>
    <s v="outlier"/>
    <s v="outlier"/>
    <s v="outlier"/>
  </r>
  <r>
    <x v="1"/>
    <x v="3"/>
    <x v="0"/>
    <x v="9"/>
    <x v="2"/>
    <n v="6.4025999999999996"/>
    <n v="912.74120700000003"/>
    <n v="3.2012999999999998"/>
    <n v="780"/>
    <s v="not outlier"/>
    <s v="not outlier"/>
    <s v="not outlier"/>
    <s v="not outlier"/>
  </r>
  <r>
    <x v="1"/>
    <x v="3"/>
    <x v="0"/>
    <x v="9"/>
    <x v="4"/>
    <n v="4.0800000000000003E-2"/>
    <n v="5.5094370000000001"/>
    <n v="3.0599999999999999E-2"/>
    <n v="30"/>
    <s v="not outlier"/>
    <s v="not outlier"/>
    <s v="not outlier"/>
    <s v="not outlier"/>
  </r>
  <r>
    <x v="1"/>
    <x v="4"/>
    <x v="1"/>
    <x v="9"/>
    <x v="0"/>
    <n v="12.728400000000001"/>
    <n v="883.86949000000004"/>
    <n v="2.673"/>
    <n v="565"/>
    <s v="not outlier"/>
    <s v="not outlier"/>
    <s v="not outlier"/>
    <s v="not outlier"/>
  </r>
  <r>
    <x v="1"/>
    <x v="4"/>
    <x v="1"/>
    <x v="9"/>
    <x v="1"/>
    <n v="71.555300000000003"/>
    <n v="6611.2779010000004"/>
    <n v="25.0443"/>
    <n v="794"/>
    <s v="outlier"/>
    <s v="outlier"/>
    <s v="outlier"/>
    <s v="not outlier"/>
  </r>
  <r>
    <x v="1"/>
    <x v="4"/>
    <x v="1"/>
    <x v="9"/>
    <x v="2"/>
    <n v="36.161000000000001"/>
    <n v="4368.4028399999997"/>
    <n v="18.080300000000001"/>
    <n v="580"/>
    <s v="outlier"/>
    <s v="outlier"/>
    <s v="outlier"/>
    <s v="not outlier"/>
  </r>
  <r>
    <x v="1"/>
    <x v="4"/>
    <x v="2"/>
    <x v="9"/>
    <x v="0"/>
    <n v="58.9925"/>
    <n v="3420.0098549999998"/>
    <n v="12.388400000000001"/>
    <n v="7304"/>
    <s v="outlier"/>
    <s v="outlier"/>
    <s v="outlier"/>
    <s v="outlier"/>
  </r>
  <r>
    <x v="1"/>
    <x v="4"/>
    <x v="2"/>
    <x v="9"/>
    <x v="1"/>
    <n v="55.116700000000002"/>
    <n v="5533.0459680000004"/>
    <n v="19.290900000000001"/>
    <n v="8857"/>
    <s v="outlier"/>
    <s v="outlier"/>
    <s v="outlier"/>
    <s v="outlier"/>
  </r>
  <r>
    <x v="1"/>
    <x v="4"/>
    <x v="2"/>
    <x v="9"/>
    <x v="2"/>
    <n v="5.0972999999999997"/>
    <n v="751.42935299999999"/>
    <n v="2.5487000000000002"/>
    <n v="568"/>
    <s v="not outlier"/>
    <s v="not outlier"/>
    <s v="not outlier"/>
    <s v="not outlier"/>
  </r>
  <r>
    <x v="1"/>
    <x v="4"/>
    <x v="2"/>
    <x v="9"/>
    <x v="4"/>
    <n v="0.3926"/>
    <n v="67.253647000000001"/>
    <n v="0.29449999999999998"/>
    <n v="203"/>
    <s v="not outlier"/>
    <s v="not outlier"/>
    <s v="not outlier"/>
    <s v="not outlier"/>
  </r>
  <r>
    <x v="1"/>
    <x v="4"/>
    <x v="0"/>
    <x v="9"/>
    <x v="0"/>
    <n v="160.75989999999999"/>
    <n v="8375.8744380000007"/>
    <n v="33.759500000000003"/>
    <n v="11876"/>
    <s v="outlier"/>
    <s v="outlier"/>
    <s v="outlier"/>
    <s v="outlier"/>
  </r>
  <r>
    <x v="1"/>
    <x v="4"/>
    <x v="0"/>
    <x v="9"/>
    <x v="1"/>
    <n v="128.3013"/>
    <n v="12122.702853000001"/>
    <n v="44.9054"/>
    <n v="15756"/>
    <s v="outlier"/>
    <s v="outlier"/>
    <s v="outlier"/>
    <s v="outlier"/>
  </r>
  <r>
    <x v="1"/>
    <x v="4"/>
    <x v="0"/>
    <x v="9"/>
    <x v="2"/>
    <n v="10.489800000000001"/>
    <n v="1390.0422490000001"/>
    <n v="5.2449000000000003"/>
    <n v="762"/>
    <s v="not outlier"/>
    <s v="not outlier"/>
    <s v="not outlier"/>
    <s v="not outlier"/>
  </r>
  <r>
    <x v="1"/>
    <x v="4"/>
    <x v="0"/>
    <x v="9"/>
    <x v="4"/>
    <n v="8.0000000000000002E-3"/>
    <n v="1.2848790000000001"/>
    <n v="6.0000000000000001E-3"/>
    <n v="3"/>
    <s v="not outlier"/>
    <s v="not outlier"/>
    <s v="not outlier"/>
    <s v="not outlier"/>
  </r>
  <r>
    <x v="1"/>
    <x v="5"/>
    <x v="1"/>
    <x v="9"/>
    <x v="0"/>
    <n v="14.3286"/>
    <n v="961.05963199999997"/>
    <n v="3.0089999999999999"/>
    <n v="565"/>
    <s v="not outlier"/>
    <s v="not outlier"/>
    <s v="not outlier"/>
    <s v="not outlier"/>
  </r>
  <r>
    <x v="1"/>
    <x v="5"/>
    <x v="1"/>
    <x v="9"/>
    <x v="1"/>
    <n v="58.089399999999998"/>
    <n v="5859.277454"/>
    <n v="20.331199999999999"/>
    <n v="796"/>
    <s v="outlier"/>
    <s v="outlier"/>
    <s v="outlier"/>
    <s v="not outlier"/>
  </r>
  <r>
    <x v="1"/>
    <x v="5"/>
    <x v="1"/>
    <x v="9"/>
    <x v="2"/>
    <n v="21.5185"/>
    <n v="2930.8649580000001"/>
    <n v="10.7593"/>
    <n v="570"/>
    <s v="not outlier"/>
    <s v="outlier"/>
    <s v="outlier"/>
    <s v="not outlier"/>
  </r>
  <r>
    <x v="1"/>
    <x v="5"/>
    <x v="2"/>
    <x v="9"/>
    <x v="0"/>
    <n v="37.369300000000003"/>
    <n v="2655.2929650000001"/>
    <n v="7.8475999999999999"/>
    <n v="6542"/>
    <s v="outlier"/>
    <s v="outlier"/>
    <s v="outlier"/>
    <s v="outlier"/>
  </r>
  <r>
    <x v="1"/>
    <x v="5"/>
    <x v="2"/>
    <x v="9"/>
    <x v="1"/>
    <n v="56.981400000000001"/>
    <n v="5564.2522550000003"/>
    <n v="19.9434"/>
    <n v="9222"/>
    <s v="outlier"/>
    <s v="outlier"/>
    <s v="outlier"/>
    <s v="outlier"/>
  </r>
  <r>
    <x v="1"/>
    <x v="5"/>
    <x v="2"/>
    <x v="9"/>
    <x v="2"/>
    <n v="4.0119999999999996"/>
    <n v="594.28795300000002"/>
    <n v="2.0057999999999998"/>
    <n v="625"/>
    <s v="not outlier"/>
    <s v="not outlier"/>
    <s v="not outlier"/>
    <s v="not outlier"/>
  </r>
  <r>
    <x v="1"/>
    <x v="5"/>
    <x v="2"/>
    <x v="9"/>
    <x v="4"/>
    <n v="0.38819999999999999"/>
    <n v="65.343700999999996"/>
    <n v="0.29120000000000001"/>
    <n v="203"/>
    <s v="not outlier"/>
    <s v="not outlier"/>
    <s v="not outlier"/>
    <s v="not outlier"/>
  </r>
  <r>
    <x v="1"/>
    <x v="5"/>
    <x v="0"/>
    <x v="9"/>
    <x v="0"/>
    <n v="85.810699999999997"/>
    <n v="5634.5941069999999"/>
    <n v="18.020299999999999"/>
    <n v="10675"/>
    <s v="outlier"/>
    <s v="outlier"/>
    <s v="outlier"/>
    <s v="outlier"/>
  </r>
  <r>
    <x v="1"/>
    <x v="5"/>
    <x v="0"/>
    <x v="9"/>
    <x v="1"/>
    <n v="143.6183"/>
    <n v="13515.363595000001"/>
    <n v="50.266399999999997"/>
    <n v="15822"/>
    <s v="outlier"/>
    <s v="outlier"/>
    <s v="outlier"/>
    <s v="outlier"/>
  </r>
  <r>
    <x v="1"/>
    <x v="5"/>
    <x v="0"/>
    <x v="9"/>
    <x v="2"/>
    <n v="6.1444999999999999"/>
    <n v="921.74749399999996"/>
    <n v="3.0722"/>
    <n v="644"/>
    <s v="not outlier"/>
    <s v="not outlier"/>
    <s v="not outlier"/>
    <s v="not outlier"/>
  </r>
  <r>
    <x v="1"/>
    <x v="5"/>
    <x v="0"/>
    <x v="9"/>
    <x v="4"/>
    <n v="3.7000000000000002E-3"/>
    <n v="0.76968099999999995"/>
    <n v="2.8E-3"/>
    <n v="2"/>
    <s v="not outlier"/>
    <s v="not outlier"/>
    <s v="not outlier"/>
    <s v="not outlier"/>
  </r>
  <r>
    <x v="1"/>
    <x v="6"/>
    <x v="1"/>
    <x v="9"/>
    <x v="0"/>
    <n v="13.557600000000001"/>
    <n v="911.40984700000001"/>
    <n v="2.8471000000000002"/>
    <n v="558"/>
    <s v="not outlier"/>
    <s v="not outlier"/>
    <s v="not outlier"/>
    <s v="not outlier"/>
  </r>
  <r>
    <x v="1"/>
    <x v="6"/>
    <x v="1"/>
    <x v="9"/>
    <x v="1"/>
    <n v="47.718600000000002"/>
    <n v="4885.2228940000005"/>
    <n v="16.7014"/>
    <n v="788"/>
    <s v="outlier"/>
    <s v="outlier"/>
    <s v="outlier"/>
    <s v="not outlier"/>
  </r>
  <r>
    <x v="1"/>
    <x v="6"/>
    <x v="1"/>
    <x v="9"/>
    <x v="2"/>
    <n v="44.884999999999998"/>
    <n v="4601.9253820000004"/>
    <n v="22.442499999999999"/>
    <n v="573"/>
    <s v="outlier"/>
    <s v="outlier"/>
    <s v="outlier"/>
    <s v="not outlier"/>
  </r>
  <r>
    <x v="1"/>
    <x v="6"/>
    <x v="2"/>
    <x v="9"/>
    <x v="0"/>
    <n v="50.335700000000003"/>
    <n v="3091.481526"/>
    <n v="10.570499999999999"/>
    <n v="7285"/>
    <s v="outlier"/>
    <s v="outlier"/>
    <s v="outlier"/>
    <s v="outlier"/>
  </r>
  <r>
    <x v="1"/>
    <x v="6"/>
    <x v="2"/>
    <x v="9"/>
    <x v="1"/>
    <n v="47.702100000000002"/>
    <n v="4930.1995589999997"/>
    <n v="16.695699999999999"/>
    <n v="8658"/>
    <s v="outlier"/>
    <s v="outlier"/>
    <s v="outlier"/>
    <s v="outlier"/>
  </r>
  <r>
    <x v="1"/>
    <x v="6"/>
    <x v="2"/>
    <x v="9"/>
    <x v="2"/>
    <n v="4.3446999999999996"/>
    <n v="627.31473900000003"/>
    <n v="2.1724000000000001"/>
    <n v="566"/>
    <s v="not outlier"/>
    <s v="not outlier"/>
    <s v="not outlier"/>
    <s v="not outlier"/>
  </r>
  <r>
    <x v="1"/>
    <x v="6"/>
    <x v="2"/>
    <x v="9"/>
    <x v="4"/>
    <n v="0.38340000000000002"/>
    <n v="61.923169999999999"/>
    <n v="0.28760000000000002"/>
    <n v="173"/>
    <s v="not outlier"/>
    <s v="not outlier"/>
    <s v="not outlier"/>
    <s v="not outlier"/>
  </r>
  <r>
    <x v="1"/>
    <x v="6"/>
    <x v="0"/>
    <x v="9"/>
    <x v="0"/>
    <n v="135.3355"/>
    <n v="7220.074814999999"/>
    <n v="28.420400000000001"/>
    <n v="11852"/>
    <s v="outlier"/>
    <s v="outlier"/>
    <s v="outlier"/>
    <s v="outlier"/>
  </r>
  <r>
    <x v="1"/>
    <x v="6"/>
    <x v="0"/>
    <x v="9"/>
    <x v="1"/>
    <n v="94.342299999999994"/>
    <n v="9661.2656210000005"/>
    <n v="33.019599999999997"/>
    <n v="15176"/>
    <s v="outlier"/>
    <s v="outlier"/>
    <s v="outlier"/>
    <s v="outlier"/>
  </r>
  <r>
    <x v="1"/>
    <x v="6"/>
    <x v="0"/>
    <x v="9"/>
    <x v="2"/>
    <n v="7.8155000000000001"/>
    <n v="1041.9969940000001"/>
    <n v="3.9077000000000002"/>
    <n v="585"/>
    <s v="not outlier"/>
    <s v="not outlier"/>
    <s v="not outlier"/>
    <s v="not outlier"/>
  </r>
  <r>
    <x v="1"/>
    <x v="6"/>
    <x v="0"/>
    <x v="9"/>
    <x v="4"/>
    <n v="4.1999999999999997E-3"/>
    <n v="0.86628899999999998"/>
    <n v="3.0999999999999999E-3"/>
    <n v="2"/>
    <s v="not outlier"/>
    <s v="not outlier"/>
    <s v="not outlier"/>
    <s v="not outlier"/>
  </r>
  <r>
    <x v="1"/>
    <x v="7"/>
    <x v="1"/>
    <x v="9"/>
    <x v="0"/>
    <n v="14.488899999999999"/>
    <n v="916.58914700000003"/>
    <n v="3.0427"/>
    <n v="553"/>
    <s v="not outlier"/>
    <s v="not outlier"/>
    <s v="not outlier"/>
    <s v="not outlier"/>
  </r>
  <r>
    <x v="1"/>
    <x v="7"/>
    <x v="1"/>
    <x v="9"/>
    <x v="1"/>
    <n v="48.458500000000001"/>
    <n v="4782.5410529999999"/>
    <n v="16.9604"/>
    <n v="787"/>
    <s v="outlier"/>
    <s v="outlier"/>
    <s v="outlier"/>
    <s v="not outlier"/>
  </r>
  <r>
    <x v="1"/>
    <x v="7"/>
    <x v="1"/>
    <x v="9"/>
    <x v="2"/>
    <n v="22.411200000000001"/>
    <n v="2572.2582080000002"/>
    <n v="11.205500000000001"/>
    <n v="591"/>
    <s v="not outlier"/>
    <s v="outlier"/>
    <s v="outlier"/>
    <s v="not outlier"/>
  </r>
  <r>
    <x v="1"/>
    <x v="7"/>
    <x v="2"/>
    <x v="9"/>
    <x v="0"/>
    <n v="48.83"/>
    <n v="3039.185931"/>
    <n v="10.254300000000001"/>
    <n v="6761"/>
    <s v="outlier"/>
    <s v="outlier"/>
    <s v="outlier"/>
    <s v="outlier"/>
  </r>
  <r>
    <x v="1"/>
    <x v="7"/>
    <x v="2"/>
    <x v="9"/>
    <x v="1"/>
    <n v="41.097799999999999"/>
    <n v="4352.489251"/>
    <n v="14.3842"/>
    <n v="7647"/>
    <s v="outlier"/>
    <s v="outlier"/>
    <s v="outlier"/>
    <s v="outlier"/>
  </r>
  <r>
    <x v="1"/>
    <x v="7"/>
    <x v="2"/>
    <x v="9"/>
    <x v="2"/>
    <n v="2.3570000000000002"/>
    <n v="331.18594200000001"/>
    <n v="1.1785000000000001"/>
    <n v="504"/>
    <s v="not outlier"/>
    <s v="not outlier"/>
    <s v="not outlier"/>
    <s v="not outlier"/>
  </r>
  <r>
    <x v="1"/>
    <x v="7"/>
    <x v="2"/>
    <x v="9"/>
    <x v="4"/>
    <n v="0.35020000000000001"/>
    <n v="56.559075"/>
    <n v="0.2626"/>
    <n v="163"/>
    <s v="not outlier"/>
    <s v="not outlier"/>
    <s v="not outlier"/>
    <s v="not outlier"/>
  </r>
  <r>
    <x v="1"/>
    <x v="7"/>
    <x v="0"/>
    <x v="9"/>
    <x v="0"/>
    <n v="122.9401"/>
    <n v="7248.9694079999999"/>
    <n v="25.817399999999999"/>
    <n v="12120"/>
    <s v="outlier"/>
    <s v="outlier"/>
    <s v="outlier"/>
    <s v="outlier"/>
  </r>
  <r>
    <x v="1"/>
    <x v="7"/>
    <x v="0"/>
    <x v="9"/>
    <x v="1"/>
    <n v="99.056399999999996"/>
    <n v="9724.9025380000003"/>
    <n v="34.669699999999999"/>
    <n v="13797"/>
    <s v="outlier"/>
    <s v="outlier"/>
    <s v="outlier"/>
    <s v="outlier"/>
  </r>
  <r>
    <x v="1"/>
    <x v="7"/>
    <x v="0"/>
    <x v="9"/>
    <x v="2"/>
    <n v="5.2129000000000003"/>
    <n v="784.02316199999996"/>
    <n v="2.6065999999999998"/>
    <n v="641"/>
    <s v="not outlier"/>
    <s v="not outlier"/>
    <s v="not outlier"/>
    <s v="not outlier"/>
  </r>
  <r>
    <x v="1"/>
    <x v="7"/>
    <x v="0"/>
    <x v="9"/>
    <x v="4"/>
    <n v="1.15E-2"/>
    <n v="2.3742209999999999"/>
    <n v="8.6E-3"/>
    <n v="4"/>
    <s v="not outlier"/>
    <s v="not outlier"/>
    <s v="not outlier"/>
    <s v="not outlier"/>
  </r>
  <r>
    <x v="1"/>
    <x v="8"/>
    <x v="1"/>
    <x v="9"/>
    <x v="0"/>
    <n v="14.4344"/>
    <n v="898.67238599999996"/>
    <n v="3.0312000000000001"/>
    <n v="553"/>
    <s v="not outlier"/>
    <s v="not outlier"/>
    <s v="not outlier"/>
    <s v="not outlier"/>
  </r>
  <r>
    <x v="1"/>
    <x v="8"/>
    <x v="1"/>
    <x v="9"/>
    <x v="1"/>
    <n v="50.368699999999997"/>
    <n v="4814.7331130000002"/>
    <n v="17.629100000000001"/>
    <n v="782"/>
    <s v="outlier"/>
    <s v="outlier"/>
    <s v="outlier"/>
    <s v="not outlier"/>
  </r>
  <r>
    <x v="1"/>
    <x v="8"/>
    <x v="1"/>
    <x v="9"/>
    <x v="2"/>
    <n v="28.877600000000001"/>
    <n v="3543.0202079999999"/>
    <n v="14.4389"/>
    <n v="676"/>
    <s v="outlier"/>
    <s v="outlier"/>
    <s v="outlier"/>
    <s v="not outlier"/>
  </r>
  <r>
    <x v="1"/>
    <x v="8"/>
    <x v="2"/>
    <x v="9"/>
    <x v="0"/>
    <n v="54.075299999999999"/>
    <n v="3221.2626570000002"/>
    <n v="11.3558"/>
    <n v="7112"/>
    <s v="outlier"/>
    <s v="outlier"/>
    <s v="outlier"/>
    <s v="outlier"/>
  </r>
  <r>
    <x v="1"/>
    <x v="8"/>
    <x v="2"/>
    <x v="9"/>
    <x v="1"/>
    <n v="48.973199999999999"/>
    <n v="4884.3516989999998"/>
    <n v="17.140599999999999"/>
    <n v="9029"/>
    <s v="outlier"/>
    <s v="outlier"/>
    <s v="outlier"/>
    <s v="outlier"/>
  </r>
  <r>
    <x v="1"/>
    <x v="8"/>
    <x v="2"/>
    <x v="9"/>
    <x v="2"/>
    <n v="2.3963000000000001"/>
    <n v="361.06219599999997"/>
    <n v="1.1981999999999999"/>
    <n v="506"/>
    <s v="not outlier"/>
    <s v="not outlier"/>
    <s v="not outlier"/>
    <s v="not outlier"/>
  </r>
  <r>
    <x v="1"/>
    <x v="8"/>
    <x v="2"/>
    <x v="9"/>
    <x v="4"/>
    <n v="0.4027"/>
    <n v="65.041677000000007"/>
    <n v="0.30199999999999999"/>
    <n v="245"/>
    <s v="not outlier"/>
    <s v="not outlier"/>
    <s v="not outlier"/>
    <s v="not outlier"/>
  </r>
  <r>
    <x v="1"/>
    <x v="8"/>
    <x v="0"/>
    <x v="9"/>
    <x v="0"/>
    <n v="126.3103"/>
    <n v="7576.2293680000012"/>
    <n v="26.525099999999998"/>
    <n v="12289"/>
    <s v="outlier"/>
    <s v="outlier"/>
    <s v="outlier"/>
    <s v="outlier"/>
  </r>
  <r>
    <x v="1"/>
    <x v="8"/>
    <x v="0"/>
    <x v="9"/>
    <x v="1"/>
    <n v="108.4761"/>
    <n v="10606.008457"/>
    <n v="37.9666"/>
    <n v="15057"/>
    <s v="outlier"/>
    <s v="outlier"/>
    <s v="outlier"/>
    <s v="outlier"/>
  </r>
  <r>
    <x v="1"/>
    <x v="8"/>
    <x v="0"/>
    <x v="9"/>
    <x v="2"/>
    <n v="6.9093"/>
    <n v="968.99991599999998"/>
    <n v="3.4546000000000001"/>
    <n v="693"/>
    <s v="not outlier"/>
    <s v="not outlier"/>
    <s v="not outlier"/>
    <s v="not outlier"/>
  </r>
  <r>
    <x v="1"/>
    <x v="8"/>
    <x v="0"/>
    <x v="9"/>
    <x v="4"/>
    <n v="1.1900000000000001E-2"/>
    <n v="2.4666519999999998"/>
    <n v="8.9999999999999993E-3"/>
    <n v="4"/>
    <s v="not outlier"/>
    <s v="not outlier"/>
    <s v="not outlier"/>
    <s v="not outlier"/>
  </r>
  <r>
    <x v="1"/>
    <x v="9"/>
    <x v="1"/>
    <x v="9"/>
    <x v="0"/>
    <n v="10.2483"/>
    <n v="694.00995699999999"/>
    <n v="2.1522000000000001"/>
    <n v="524"/>
    <s v="not outlier"/>
    <s v="not outlier"/>
    <s v="not outlier"/>
    <s v="not outlier"/>
  </r>
  <r>
    <x v="1"/>
    <x v="9"/>
    <x v="1"/>
    <x v="9"/>
    <x v="1"/>
    <n v="57.8795"/>
    <n v="5266.2841939999998"/>
    <n v="20.2578"/>
    <n v="787"/>
    <s v="outlier"/>
    <s v="outlier"/>
    <s v="outlier"/>
    <s v="not outlier"/>
  </r>
  <r>
    <x v="1"/>
    <x v="9"/>
    <x v="1"/>
    <x v="9"/>
    <x v="2"/>
    <n v="36.1477"/>
    <n v="4297.3749180000004"/>
    <n v="18.073899999999998"/>
    <n v="679"/>
    <s v="outlier"/>
    <s v="outlier"/>
    <s v="outlier"/>
    <s v="not outlier"/>
  </r>
  <r>
    <x v="1"/>
    <x v="9"/>
    <x v="2"/>
    <x v="9"/>
    <x v="0"/>
    <n v="29.2669"/>
    <n v="2051.0537979999999"/>
    <n v="6.1459999999999999"/>
    <n v="6264"/>
    <s v="outlier"/>
    <s v="not outlier"/>
    <s v="not outlier"/>
    <s v="outlier"/>
  </r>
  <r>
    <x v="1"/>
    <x v="9"/>
    <x v="2"/>
    <x v="9"/>
    <x v="1"/>
    <n v="61.106200000000001"/>
    <n v="5927.6942419999996"/>
    <n v="21.3872"/>
    <n v="9804"/>
    <s v="outlier"/>
    <s v="outlier"/>
    <s v="outlier"/>
    <s v="outlier"/>
  </r>
  <r>
    <x v="1"/>
    <x v="9"/>
    <x v="2"/>
    <x v="9"/>
    <x v="2"/>
    <n v="2.3611"/>
    <n v="354.733746"/>
    <n v="1.1806000000000001"/>
    <n v="494"/>
    <s v="not outlier"/>
    <s v="not outlier"/>
    <s v="not outlier"/>
    <s v="not outlier"/>
  </r>
  <r>
    <x v="1"/>
    <x v="9"/>
    <x v="2"/>
    <x v="9"/>
    <x v="4"/>
    <n v="0.4027"/>
    <n v="65.041677000000007"/>
    <n v="0.30199999999999999"/>
    <n v="245"/>
    <s v="not outlier"/>
    <s v="not outlier"/>
    <s v="not outlier"/>
    <s v="not outlier"/>
  </r>
  <r>
    <x v="1"/>
    <x v="9"/>
    <x v="0"/>
    <x v="9"/>
    <x v="0"/>
    <n v="61.698700000000002"/>
    <n v="4338.3775960000003"/>
    <n v="12.9567"/>
    <n v="10517"/>
    <s v="outlier"/>
    <s v="outlier"/>
    <s v="outlier"/>
    <s v="outlier"/>
  </r>
  <r>
    <x v="1"/>
    <x v="9"/>
    <x v="0"/>
    <x v="9"/>
    <x v="1"/>
    <n v="142.70439999999999"/>
    <n v="13377.295862999999"/>
    <n v="49.946599999999997"/>
    <n v="17047"/>
    <s v="outlier"/>
    <s v="outlier"/>
    <s v="outlier"/>
    <s v="outlier"/>
  </r>
  <r>
    <x v="1"/>
    <x v="9"/>
    <x v="0"/>
    <x v="9"/>
    <x v="2"/>
    <n v="7.1943000000000001"/>
    <n v="1017.649208"/>
    <n v="3.5971000000000002"/>
    <n v="688"/>
    <s v="not outlier"/>
    <s v="not outlier"/>
    <s v="not outlier"/>
    <s v="not outlier"/>
  </r>
  <r>
    <x v="1"/>
    <x v="9"/>
    <x v="0"/>
    <x v="9"/>
    <x v="4"/>
    <n v="1.2999999999999999E-2"/>
    <n v="2.6866560000000002"/>
    <n v="9.7000000000000003E-3"/>
    <n v="4"/>
    <s v="not outlier"/>
    <s v="not outlier"/>
    <s v="not outlier"/>
    <s v="not outlier"/>
  </r>
  <r>
    <x v="1"/>
    <x v="10"/>
    <x v="1"/>
    <x v="9"/>
    <x v="0"/>
    <n v="12.618399999999999"/>
    <n v="808.53339800000003"/>
    <n v="2.6499000000000001"/>
    <n v="503"/>
    <s v="not outlier"/>
    <s v="not outlier"/>
    <s v="not outlier"/>
    <s v="not outlier"/>
  </r>
  <r>
    <x v="1"/>
    <x v="10"/>
    <x v="1"/>
    <x v="9"/>
    <x v="1"/>
    <n v="42.404499999999999"/>
    <n v="4132.6585139999997"/>
    <n v="14.841699999999999"/>
    <n v="793"/>
    <s v="outlier"/>
    <s v="outlier"/>
    <s v="outlier"/>
    <s v="not outlier"/>
  </r>
  <r>
    <x v="1"/>
    <x v="10"/>
    <x v="1"/>
    <x v="9"/>
    <x v="2"/>
    <n v="36.790300000000002"/>
    <n v="4342.2970800000003"/>
    <n v="18.395199999999999"/>
    <n v="672"/>
    <s v="outlier"/>
    <s v="outlier"/>
    <s v="outlier"/>
    <s v="not outlier"/>
  </r>
  <r>
    <x v="1"/>
    <x v="10"/>
    <x v="2"/>
    <x v="9"/>
    <x v="0"/>
    <n v="25.502300000000002"/>
    <n v="1767.3089180000002"/>
    <n v="5.3554000000000004"/>
    <n v="5795"/>
    <s v="outlier"/>
    <s v="not outlier"/>
    <s v="not outlier"/>
    <s v="outlier"/>
  </r>
  <r>
    <x v="1"/>
    <x v="10"/>
    <x v="2"/>
    <x v="9"/>
    <x v="1"/>
    <n v="68.099400000000003"/>
    <n v="6535.2924750000002"/>
    <n v="23.834800000000001"/>
    <n v="9782"/>
    <s v="outlier"/>
    <s v="outlier"/>
    <s v="outlier"/>
    <s v="outlier"/>
  </r>
  <r>
    <x v="1"/>
    <x v="10"/>
    <x v="2"/>
    <x v="9"/>
    <x v="2"/>
    <n v="2.7738"/>
    <n v="417.71927199999999"/>
    <n v="1.387"/>
    <n v="654"/>
    <s v="not outlier"/>
    <s v="not outlier"/>
    <s v="not outlier"/>
    <s v="not outlier"/>
  </r>
  <r>
    <x v="1"/>
    <x v="10"/>
    <x v="2"/>
    <x v="9"/>
    <x v="4"/>
    <n v="0.38969999999999999"/>
    <n v="62.943620000000003"/>
    <n v="0.2923"/>
    <n v="245"/>
    <s v="not outlier"/>
    <s v="not outlier"/>
    <s v="not outlier"/>
    <s v="not outlier"/>
  </r>
  <r>
    <x v="1"/>
    <x v="10"/>
    <x v="0"/>
    <x v="9"/>
    <x v="0"/>
    <n v="79.053200000000004"/>
    <n v="5065.7111249999998"/>
    <n v="16.601199999999999"/>
    <n v="10947"/>
    <s v="outlier"/>
    <s v="outlier"/>
    <s v="outlier"/>
    <s v="outlier"/>
  </r>
  <r>
    <x v="1"/>
    <x v="10"/>
    <x v="0"/>
    <x v="9"/>
    <x v="1"/>
    <n v="167.6062"/>
    <n v="14523.496622000001"/>
    <n v="58.662199999999999"/>
    <n v="17799"/>
    <s v="outlier"/>
    <s v="outlier"/>
    <s v="outlier"/>
    <s v="outlier"/>
  </r>
  <r>
    <x v="1"/>
    <x v="10"/>
    <x v="0"/>
    <x v="9"/>
    <x v="2"/>
    <n v="10.1737"/>
    <n v="1340.4343699999999"/>
    <n v="5.0869"/>
    <n v="701"/>
    <s v="not outlier"/>
    <s v="not outlier"/>
    <s v="not outlier"/>
    <s v="not outlier"/>
  </r>
  <r>
    <x v="1"/>
    <x v="10"/>
    <x v="0"/>
    <x v="9"/>
    <x v="4"/>
    <n v="1.26E-2"/>
    <n v="2.5999940000000001"/>
    <n v="9.4000000000000004E-3"/>
    <n v="3"/>
    <s v="not outlier"/>
    <s v="not outlier"/>
    <s v="not outlier"/>
    <s v="not outlier"/>
  </r>
  <r>
    <x v="1"/>
    <x v="11"/>
    <x v="1"/>
    <x v="9"/>
    <x v="0"/>
    <n v="13.7742"/>
    <n v="838.31649200000004"/>
    <n v="2.8925000000000001"/>
    <n v="476"/>
    <s v="not outlier"/>
    <s v="not outlier"/>
    <s v="not outlier"/>
    <s v="not outlier"/>
  </r>
  <r>
    <x v="1"/>
    <x v="11"/>
    <x v="1"/>
    <x v="9"/>
    <x v="1"/>
    <n v="74.197199999999995"/>
    <n v="6333.9268499999998"/>
    <n v="25.968900000000001"/>
    <n v="789"/>
    <s v="outlier"/>
    <s v="outlier"/>
    <s v="outlier"/>
    <s v="not outlier"/>
  </r>
  <r>
    <x v="1"/>
    <x v="11"/>
    <x v="1"/>
    <x v="9"/>
    <x v="2"/>
    <n v="23.3262"/>
    <n v="2967.550514"/>
    <n v="11.6632"/>
    <n v="652"/>
    <s v="outlier"/>
    <s v="outlier"/>
    <s v="outlier"/>
    <s v="not outlier"/>
  </r>
  <r>
    <x v="1"/>
    <x v="11"/>
    <x v="2"/>
    <x v="9"/>
    <x v="0"/>
    <n v="38.1815"/>
    <n v="2459.4233840000002"/>
    <n v="8.0181000000000004"/>
    <n v="6076"/>
    <s v="outlier"/>
    <s v="outlier"/>
    <s v="outlier"/>
    <s v="outlier"/>
  </r>
  <r>
    <x v="1"/>
    <x v="11"/>
    <x v="2"/>
    <x v="9"/>
    <x v="1"/>
    <n v="85.807000000000002"/>
    <n v="7416.6545999999998"/>
    <n v="30.032499999999999"/>
    <n v="10542"/>
    <s v="outlier"/>
    <s v="outlier"/>
    <s v="outlier"/>
    <s v="outlier"/>
  </r>
  <r>
    <x v="1"/>
    <x v="11"/>
    <x v="2"/>
    <x v="9"/>
    <x v="2"/>
    <n v="1.7193000000000001"/>
    <n v="266.12443999999999"/>
    <n v="0.85960000000000003"/>
    <n v="540"/>
    <s v="not outlier"/>
    <s v="not outlier"/>
    <s v="not outlier"/>
    <s v="not outlier"/>
  </r>
  <r>
    <x v="1"/>
    <x v="11"/>
    <x v="2"/>
    <x v="9"/>
    <x v="4"/>
    <n v="0.4027"/>
    <n v="65.041677000000007"/>
    <n v="0.30199999999999999"/>
    <n v="245"/>
    <s v="not outlier"/>
    <s v="not outlier"/>
    <s v="not outlier"/>
    <s v="not outlier"/>
  </r>
  <r>
    <x v="1"/>
    <x v="11"/>
    <x v="0"/>
    <x v="9"/>
    <x v="0"/>
    <n v="126.6332"/>
    <n v="7484.2811529999999"/>
    <n v="26.593"/>
    <n v="11784"/>
    <s v="outlier"/>
    <s v="outlier"/>
    <s v="outlier"/>
    <s v="outlier"/>
  </r>
  <r>
    <x v="1"/>
    <x v="11"/>
    <x v="0"/>
    <x v="9"/>
    <x v="1"/>
    <n v="188.81450000000001"/>
    <n v="15760.805762"/>
    <n v="66.085099999999997"/>
    <n v="17949"/>
    <s v="outlier"/>
    <s v="outlier"/>
    <s v="outlier"/>
    <s v="outlier"/>
  </r>
  <r>
    <x v="1"/>
    <x v="11"/>
    <x v="0"/>
    <x v="9"/>
    <x v="2"/>
    <n v="7.1569000000000003"/>
    <n v="1051.793848"/>
    <n v="3.5785"/>
    <n v="680"/>
    <s v="not outlier"/>
    <s v="not outlier"/>
    <s v="not outlier"/>
    <s v="not outlier"/>
  </r>
  <r>
    <x v="1"/>
    <x v="11"/>
    <x v="0"/>
    <x v="9"/>
    <x v="4"/>
    <n v="1.21E-2"/>
    <n v="1.881435"/>
    <n v="8.9999999999999993E-3"/>
    <n v="3"/>
    <s v="not outlier"/>
    <s v="not outlier"/>
    <s v="not outlier"/>
    <s v="not outlier"/>
  </r>
  <r>
    <x v="1"/>
    <x v="0"/>
    <x v="1"/>
    <x v="9"/>
    <x v="0"/>
    <n v="9.3453999999999997"/>
    <n v="632.65947200000005"/>
    <n v="1.9624999999999999"/>
    <n v="445"/>
    <s v="not outlier"/>
    <s v="not outlier"/>
    <s v="not outlier"/>
    <s v="not outlier"/>
  </r>
  <r>
    <x v="1"/>
    <x v="0"/>
    <x v="1"/>
    <x v="9"/>
    <x v="1"/>
    <n v="49.512900000000002"/>
    <n v="4733.2281039999998"/>
    <n v="17.329599999999999"/>
    <n v="780"/>
    <s v="outlier"/>
    <s v="outlier"/>
    <s v="outlier"/>
    <s v="not outlier"/>
  </r>
  <r>
    <x v="1"/>
    <x v="0"/>
    <x v="1"/>
    <x v="9"/>
    <x v="2"/>
    <n v="48.857700000000001"/>
    <n v="5155.983123"/>
    <n v="24.428899999999999"/>
    <n v="670"/>
    <s v="outlier"/>
    <s v="outlier"/>
    <s v="outlier"/>
    <s v="not outlier"/>
  </r>
  <r>
    <x v="1"/>
    <x v="0"/>
    <x v="2"/>
    <x v="9"/>
    <x v="0"/>
    <n v="26.677800000000001"/>
    <n v="1862.5270169999999"/>
    <n v="5.6022999999999996"/>
    <n v="5924"/>
    <s v="outlier"/>
    <s v="not outlier"/>
    <s v="not outlier"/>
    <s v="outlier"/>
  </r>
  <r>
    <x v="1"/>
    <x v="0"/>
    <x v="2"/>
    <x v="9"/>
    <x v="1"/>
    <n v="65.960099999999997"/>
    <n v="6276.6479559999998"/>
    <n v="23.085899999999999"/>
    <n v="10158"/>
    <s v="outlier"/>
    <s v="outlier"/>
    <s v="outlier"/>
    <s v="outlier"/>
  </r>
  <r>
    <x v="1"/>
    <x v="0"/>
    <x v="2"/>
    <x v="9"/>
    <x v="2"/>
    <n v="1.9498"/>
    <n v="303.85544299999998"/>
    <n v="0.97489999999999999"/>
    <n v="545"/>
    <s v="not outlier"/>
    <s v="not outlier"/>
    <s v="not outlier"/>
    <s v="not outlier"/>
  </r>
  <r>
    <x v="1"/>
    <x v="0"/>
    <x v="2"/>
    <x v="9"/>
    <x v="4"/>
    <n v="0.27650000000000002"/>
    <n v="44.648980999999999"/>
    <n v="0.20730000000000001"/>
    <n v="163"/>
    <s v="not outlier"/>
    <s v="not outlier"/>
    <s v="not outlier"/>
    <s v="not outlier"/>
  </r>
  <r>
    <x v="1"/>
    <x v="0"/>
    <x v="0"/>
    <x v="9"/>
    <x v="0"/>
    <n v="91.028199999999998"/>
    <n v="5751.8504190000003"/>
    <n v="19.116"/>
    <n v="11309"/>
    <s v="outlier"/>
    <s v="outlier"/>
    <s v="outlier"/>
    <s v="outlier"/>
  </r>
  <r>
    <x v="1"/>
    <x v="0"/>
    <x v="0"/>
    <x v="9"/>
    <x v="1"/>
    <n v="148.52510000000001"/>
    <n v="13843.010251"/>
    <n v="51.983800000000002"/>
    <n v="17986"/>
    <s v="outlier"/>
    <s v="outlier"/>
    <s v="outlier"/>
    <s v="outlier"/>
  </r>
  <r>
    <x v="1"/>
    <x v="0"/>
    <x v="0"/>
    <x v="9"/>
    <x v="2"/>
    <n v="13.1242"/>
    <n v="1613.783187"/>
    <n v="6.5621"/>
    <n v="721"/>
    <s v="not outlier"/>
    <s v="not outlier"/>
    <s v="not outlier"/>
    <s v="not outlier"/>
  </r>
  <r>
    <x v="1"/>
    <x v="0"/>
    <x v="0"/>
    <x v="9"/>
    <x v="4"/>
    <n v="1.1599999999999999E-2"/>
    <n v="1.818643"/>
    <n v="8.6999999999999994E-3"/>
    <n v="3"/>
    <s v="not outlier"/>
    <s v="not outlier"/>
    <s v="not outlier"/>
    <s v="not outlier"/>
  </r>
  <r>
    <x v="1"/>
    <x v="1"/>
    <x v="1"/>
    <x v="9"/>
    <x v="0"/>
    <n v="8.2873000000000001"/>
    <n v="584.43964500000004"/>
    <n v="1.7403"/>
    <n v="484"/>
    <s v="not outlier"/>
    <s v="not outlier"/>
    <s v="not outlier"/>
    <s v="not outlier"/>
  </r>
  <r>
    <x v="1"/>
    <x v="1"/>
    <x v="1"/>
    <x v="9"/>
    <x v="1"/>
    <n v="58.926900000000003"/>
    <n v="5261.8993069999997"/>
    <n v="20.624400000000001"/>
    <n v="782"/>
    <s v="outlier"/>
    <s v="outlier"/>
    <s v="outlier"/>
    <s v="not outlier"/>
  </r>
  <r>
    <x v="1"/>
    <x v="1"/>
    <x v="1"/>
    <x v="9"/>
    <x v="2"/>
    <n v="40.069299999999998"/>
    <n v="4483.3081380000003"/>
    <n v="20.034600000000001"/>
    <n v="666"/>
    <s v="outlier"/>
    <s v="outlier"/>
    <s v="outlier"/>
    <s v="not outlier"/>
  </r>
  <r>
    <x v="1"/>
    <x v="1"/>
    <x v="2"/>
    <x v="9"/>
    <x v="0"/>
    <n v="26.8384"/>
    <n v="1831.4709789999999"/>
    <n v="5.6360999999999999"/>
    <n v="5837"/>
    <s v="outlier"/>
    <s v="not outlier"/>
    <s v="not outlier"/>
    <s v="outlier"/>
  </r>
  <r>
    <x v="1"/>
    <x v="1"/>
    <x v="2"/>
    <x v="9"/>
    <x v="1"/>
    <n v="69.709599999999995"/>
    <n v="6746.2301100000004"/>
    <n v="24.398399999999999"/>
    <n v="10270"/>
    <s v="outlier"/>
    <s v="outlier"/>
    <s v="outlier"/>
    <s v="outlier"/>
  </r>
  <r>
    <x v="1"/>
    <x v="1"/>
    <x v="2"/>
    <x v="9"/>
    <x v="2"/>
    <n v="2.2707000000000002"/>
    <n v="346.23589399999997"/>
    <n v="1.1352"/>
    <n v="606"/>
    <s v="not outlier"/>
    <s v="not outlier"/>
    <s v="not outlier"/>
    <s v="not outlier"/>
  </r>
  <r>
    <x v="1"/>
    <x v="1"/>
    <x v="2"/>
    <x v="9"/>
    <x v="4"/>
    <n v="0.28560000000000002"/>
    <n v="46.137219999999999"/>
    <n v="0.2142"/>
    <n v="163"/>
    <s v="not outlier"/>
    <s v="not outlier"/>
    <s v="not outlier"/>
    <s v="not outlier"/>
  </r>
  <r>
    <x v="1"/>
    <x v="1"/>
    <x v="0"/>
    <x v="9"/>
    <x v="0"/>
    <n v="92.248500000000007"/>
    <n v="5816.404614"/>
    <n v="19.3721"/>
    <n v="12028"/>
    <s v="outlier"/>
    <s v="outlier"/>
    <s v="outlier"/>
    <s v="outlier"/>
  </r>
  <r>
    <x v="1"/>
    <x v="1"/>
    <x v="0"/>
    <x v="9"/>
    <x v="1"/>
    <n v="158.1712"/>
    <n v="14410.525471999999"/>
    <n v="55.359900000000003"/>
    <n v="17750"/>
    <s v="outlier"/>
    <s v="outlier"/>
    <s v="outlier"/>
    <s v="outlier"/>
  </r>
  <r>
    <x v="1"/>
    <x v="1"/>
    <x v="0"/>
    <x v="9"/>
    <x v="2"/>
    <n v="9.2022999999999993"/>
    <n v="1260.9091940000001"/>
    <n v="4.6012000000000004"/>
    <n v="714"/>
    <s v="not outlier"/>
    <s v="not outlier"/>
    <s v="not outlier"/>
    <s v="not outlier"/>
  </r>
  <r>
    <x v="1"/>
    <x v="1"/>
    <x v="0"/>
    <x v="9"/>
    <x v="4"/>
    <n v="8.6999999999999994E-3"/>
    <n v="1.791126"/>
    <n v="6.4999999999999997E-3"/>
    <n v="3"/>
    <s v="not outlier"/>
    <s v="not outlier"/>
    <s v="not outlier"/>
    <s v="not outlier"/>
  </r>
  <r>
    <x v="1"/>
    <x v="2"/>
    <x v="1"/>
    <x v="9"/>
    <x v="5"/>
    <n v="31.181999999999999"/>
    <n v="2078.5832999999998"/>
    <n v="6.2363"/>
    <n v="511"/>
    <s v="outlier"/>
    <s v="not outlier"/>
    <s v="not outlier"/>
    <s v="not outlier"/>
  </r>
  <r>
    <x v="1"/>
    <x v="2"/>
    <x v="2"/>
    <x v="9"/>
    <x v="5"/>
    <n v="18.018899999999999"/>
    <n v="1233.5554"/>
    <n v="3.6036999999999999"/>
    <n v="1755"/>
    <s v="not outlier"/>
    <s v="not outlier"/>
    <s v="not outlier"/>
    <s v="not outlier"/>
  </r>
  <r>
    <x v="1"/>
    <x v="2"/>
    <x v="0"/>
    <x v="9"/>
    <x v="5"/>
    <n v="26.234000000000002"/>
    <n v="1891.4637"/>
    <n v="5.2468000000000004"/>
    <n v="2038"/>
    <s v="outlier"/>
    <s v="not outlier"/>
    <s v="not outlier"/>
    <s v="not outlier"/>
  </r>
  <r>
    <x v="1"/>
    <x v="3"/>
    <x v="1"/>
    <x v="9"/>
    <x v="5"/>
    <n v="27.5444"/>
    <n v="1726.9780000000001"/>
    <n v="5.5088999999999997"/>
    <n v="549"/>
    <s v="outlier"/>
    <s v="not outlier"/>
    <s v="not outlier"/>
    <s v="not outlier"/>
  </r>
  <r>
    <x v="1"/>
    <x v="3"/>
    <x v="2"/>
    <x v="9"/>
    <x v="5"/>
    <n v="15.2089"/>
    <n v="999.12740000000008"/>
    <n v="3.0419"/>
    <n v="1941"/>
    <s v="not outlier"/>
    <s v="not outlier"/>
    <s v="not outlier"/>
    <s v="not outlier"/>
  </r>
  <r>
    <x v="1"/>
    <x v="3"/>
    <x v="0"/>
    <x v="9"/>
    <x v="5"/>
    <n v="23.490100000000002"/>
    <n v="1653.5799"/>
    <n v="4.6981000000000002"/>
    <n v="1923"/>
    <s v="outlier"/>
    <s v="not outlier"/>
    <s v="not outlier"/>
    <s v="not outlier"/>
  </r>
  <r>
    <x v="1"/>
    <x v="4"/>
    <x v="1"/>
    <x v="9"/>
    <x v="5"/>
    <n v="24.970500000000001"/>
    <n v="1670.2213999999999"/>
    <n v="4.9941000000000004"/>
    <n v="543"/>
    <s v="outlier"/>
    <s v="not outlier"/>
    <s v="not outlier"/>
    <s v="not outlier"/>
  </r>
  <r>
    <x v="1"/>
    <x v="4"/>
    <x v="2"/>
    <x v="9"/>
    <x v="5"/>
    <n v="14.6105"/>
    <n v="876.25260000000003"/>
    <n v="2.9220999999999999"/>
    <n v="1735"/>
    <s v="not outlier"/>
    <s v="not outlier"/>
    <s v="not outlier"/>
    <s v="not outlier"/>
  </r>
  <r>
    <x v="1"/>
    <x v="4"/>
    <x v="0"/>
    <x v="9"/>
    <x v="5"/>
    <n v="18.2471"/>
    <n v="1287.2407000000001"/>
    <n v="3.6494"/>
    <n v="1862"/>
    <s v="not outlier"/>
    <s v="not outlier"/>
    <s v="not outlier"/>
    <s v="not outlier"/>
  </r>
  <r>
    <x v="1"/>
    <x v="5"/>
    <x v="1"/>
    <x v="9"/>
    <x v="5"/>
    <n v="19.313300000000002"/>
    <n v="1358.9363000000001"/>
    <n v="3.8626"/>
    <n v="543"/>
    <s v="not outlier"/>
    <s v="not outlier"/>
    <s v="not outlier"/>
    <s v="not outlier"/>
  </r>
  <r>
    <x v="1"/>
    <x v="5"/>
    <x v="2"/>
    <x v="9"/>
    <x v="5"/>
    <n v="9.3768999999999991"/>
    <n v="759.38620000000003"/>
    <n v="1.8754"/>
    <n v="1389"/>
    <s v="not outlier"/>
    <s v="not outlier"/>
    <s v="not outlier"/>
    <s v="not outlier"/>
  </r>
  <r>
    <x v="1"/>
    <x v="5"/>
    <x v="0"/>
    <x v="9"/>
    <x v="5"/>
    <n v="62.7087"/>
    <n v="2991.2071999999998"/>
    <n v="12.541700000000001"/>
    <n v="1647"/>
    <s v="outlier"/>
    <s v="outlier"/>
    <s v="outlier"/>
    <s v="not outlier"/>
  </r>
  <r>
    <x v="1"/>
    <x v="6"/>
    <x v="1"/>
    <x v="9"/>
    <x v="5"/>
    <n v="22.617000000000001"/>
    <n v="1451.1396"/>
    <n v="4.5233999999999996"/>
    <n v="539"/>
    <s v="not outlier"/>
    <s v="not outlier"/>
    <s v="not outlier"/>
    <s v="not outlier"/>
  </r>
  <r>
    <x v="1"/>
    <x v="6"/>
    <x v="2"/>
    <x v="9"/>
    <x v="5"/>
    <n v="8.8641000000000005"/>
    <n v="751.66309999999999"/>
    <n v="1.7727999999999999"/>
    <n v="1521"/>
    <s v="not outlier"/>
    <s v="not outlier"/>
    <s v="not outlier"/>
    <s v="not outlier"/>
  </r>
  <r>
    <x v="1"/>
    <x v="6"/>
    <x v="0"/>
    <x v="9"/>
    <x v="5"/>
    <n v="17.621700000000001"/>
    <n v="1321.7207000000001"/>
    <n v="3.5244"/>
    <n v="1773"/>
    <s v="not outlier"/>
    <s v="not outlier"/>
    <s v="not outlier"/>
    <s v="not outlier"/>
  </r>
  <r>
    <x v="1"/>
    <x v="7"/>
    <x v="1"/>
    <x v="9"/>
    <x v="5"/>
    <n v="20.148199999999999"/>
    <n v="1271.7483"/>
    <n v="4.0296000000000003"/>
    <n v="588"/>
    <s v="not outlier"/>
    <s v="not outlier"/>
    <s v="not outlier"/>
    <s v="not outlier"/>
  </r>
  <r>
    <x v="1"/>
    <x v="7"/>
    <x v="2"/>
    <x v="9"/>
    <x v="5"/>
    <n v="15.7034"/>
    <n v="1119.4306999999999"/>
    <n v="3.1406999999999998"/>
    <n v="1986"/>
    <s v="not outlier"/>
    <s v="not outlier"/>
    <s v="not outlier"/>
    <s v="not outlier"/>
  </r>
  <r>
    <x v="1"/>
    <x v="7"/>
    <x v="0"/>
    <x v="9"/>
    <x v="5"/>
    <n v="36.235700000000001"/>
    <n v="2409.2682"/>
    <n v="7.2472000000000003"/>
    <n v="3011"/>
    <s v="outlier"/>
    <s v="outlier"/>
    <s v="not outlier"/>
    <s v="outlier"/>
  </r>
  <r>
    <x v="1"/>
    <x v="8"/>
    <x v="1"/>
    <x v="9"/>
    <x v="5"/>
    <n v="25.835699999999999"/>
    <n v="1472.9105"/>
    <n v="5.1670999999999996"/>
    <n v="689"/>
    <s v="outlier"/>
    <s v="not outlier"/>
    <s v="not outlier"/>
    <s v="not outlier"/>
  </r>
  <r>
    <x v="1"/>
    <x v="8"/>
    <x v="2"/>
    <x v="9"/>
    <x v="5"/>
    <n v="21.290500000000002"/>
    <n v="1292.4159"/>
    <n v="4.2580999999999998"/>
    <n v="2136"/>
    <s v="not outlier"/>
    <s v="not outlier"/>
    <s v="not outlier"/>
    <s v="not outlier"/>
  </r>
  <r>
    <x v="1"/>
    <x v="8"/>
    <x v="0"/>
    <x v="9"/>
    <x v="5"/>
    <n v="44.102499999999999"/>
    <n v="2610.5358000000001"/>
    <n v="8.8203999999999994"/>
    <n v="3823"/>
    <s v="outlier"/>
    <s v="outlier"/>
    <s v="outlier"/>
    <s v="outlier"/>
  </r>
  <r>
    <x v="1"/>
    <x v="9"/>
    <x v="1"/>
    <x v="9"/>
    <x v="5"/>
    <n v="19.4161"/>
    <n v="1174.4152999999999"/>
    <n v="3.8833000000000002"/>
    <n v="654"/>
    <s v="not outlier"/>
    <s v="not outlier"/>
    <s v="not outlier"/>
    <s v="not outlier"/>
  </r>
  <r>
    <x v="1"/>
    <x v="9"/>
    <x v="2"/>
    <x v="9"/>
    <x v="5"/>
    <n v="22.102499999999999"/>
    <n v="1298.0841"/>
    <n v="4.4204999999999997"/>
    <n v="2197"/>
    <s v="not outlier"/>
    <s v="not outlier"/>
    <s v="not outlier"/>
    <s v="not outlier"/>
  </r>
  <r>
    <x v="1"/>
    <x v="9"/>
    <x v="0"/>
    <x v="9"/>
    <x v="5"/>
    <n v="49.067599999999999"/>
    <n v="2683.1192999999998"/>
    <n v="9.8135999999999992"/>
    <n v="4198"/>
    <s v="outlier"/>
    <s v="outlier"/>
    <s v="outlier"/>
    <s v="outlier"/>
  </r>
  <r>
    <x v="1"/>
    <x v="10"/>
    <x v="1"/>
    <x v="9"/>
    <x v="5"/>
    <n v="17.616599999999998"/>
    <n v="1100.4579000000001"/>
    <n v="3.5234000000000001"/>
    <n v="563"/>
    <s v="not outlier"/>
    <s v="not outlier"/>
    <s v="not outlier"/>
    <s v="not outlier"/>
  </r>
  <r>
    <x v="1"/>
    <x v="10"/>
    <x v="2"/>
    <x v="9"/>
    <x v="5"/>
    <n v="19.039000000000001"/>
    <n v="1265.2026000000001"/>
    <n v="3.8079000000000001"/>
    <n v="2540"/>
    <s v="not outlier"/>
    <s v="not outlier"/>
    <s v="not outlier"/>
    <s v="not outlier"/>
  </r>
  <r>
    <x v="1"/>
    <x v="10"/>
    <x v="0"/>
    <x v="9"/>
    <x v="5"/>
    <n v="29.4026"/>
    <n v="1831.2859000000001"/>
    <n v="5.8804999999999996"/>
    <n v="3746"/>
    <s v="outlier"/>
    <s v="not outlier"/>
    <s v="not outlier"/>
    <s v="outlier"/>
  </r>
  <r>
    <x v="1"/>
    <x v="11"/>
    <x v="1"/>
    <x v="9"/>
    <x v="5"/>
    <n v="12.0022"/>
    <n v="833.89380000000006"/>
    <n v="2.4005000000000001"/>
    <n v="468"/>
    <s v="not outlier"/>
    <s v="not outlier"/>
    <s v="not outlier"/>
    <s v="not outlier"/>
  </r>
  <r>
    <x v="1"/>
    <x v="11"/>
    <x v="2"/>
    <x v="9"/>
    <x v="5"/>
    <n v="13.687900000000001"/>
    <n v="867.91150000000005"/>
    <n v="2.7376"/>
    <n v="1703"/>
    <s v="not outlier"/>
    <s v="not outlier"/>
    <s v="not outlier"/>
    <s v="not outlier"/>
  </r>
  <r>
    <x v="1"/>
    <x v="11"/>
    <x v="0"/>
    <x v="9"/>
    <x v="5"/>
    <n v="27.9039"/>
    <n v="1875.1750999999999"/>
    <n v="5.5807000000000002"/>
    <n v="2625"/>
    <s v="outlier"/>
    <s v="not outlier"/>
    <s v="not outlier"/>
    <s v="not outlier"/>
  </r>
  <r>
    <x v="1"/>
    <x v="0"/>
    <x v="1"/>
    <x v="9"/>
    <x v="5"/>
    <n v="13.213900000000001"/>
    <n v="894.75490000000002"/>
    <n v="2.6427999999999998"/>
    <n v="461"/>
    <s v="not outlier"/>
    <s v="not outlier"/>
    <s v="not outlier"/>
    <s v="not outlier"/>
  </r>
  <r>
    <x v="1"/>
    <x v="0"/>
    <x v="2"/>
    <x v="9"/>
    <x v="5"/>
    <n v="11.472799999999999"/>
    <n v="749.05759999999998"/>
    <n v="2.2945000000000002"/>
    <n v="1710"/>
    <s v="not outlier"/>
    <s v="not outlier"/>
    <s v="not outlier"/>
    <s v="not outlier"/>
  </r>
  <r>
    <x v="1"/>
    <x v="0"/>
    <x v="0"/>
    <x v="9"/>
    <x v="5"/>
    <n v="17.948599999999999"/>
    <n v="1339.4530999999999"/>
    <n v="3.5895999999999999"/>
    <n v="2387"/>
    <s v="not outlier"/>
    <s v="not outlier"/>
    <s v="not outlier"/>
    <s v="not outlier"/>
  </r>
  <r>
    <x v="1"/>
    <x v="1"/>
    <x v="1"/>
    <x v="9"/>
    <x v="5"/>
    <n v="10.590299999999999"/>
    <n v="748.85789999999997"/>
    <n v="2.1179999999999999"/>
    <n v="428"/>
    <s v="not outlier"/>
    <s v="not outlier"/>
    <s v="not outlier"/>
    <s v="not outlier"/>
  </r>
  <r>
    <x v="1"/>
    <x v="1"/>
    <x v="2"/>
    <x v="9"/>
    <x v="5"/>
    <n v="7.8182"/>
    <n v="549.34429999999998"/>
    <n v="1.5636000000000001"/>
    <n v="1053"/>
    <s v="not outlier"/>
    <s v="not outlier"/>
    <s v="not outlier"/>
    <s v="not outlier"/>
  </r>
  <r>
    <x v="1"/>
    <x v="1"/>
    <x v="0"/>
    <x v="9"/>
    <x v="5"/>
    <n v="25.2956"/>
    <n v="1721.9885999999999"/>
    <n v="5.0590999999999999"/>
    <n v="2407"/>
    <s v="outlier"/>
    <s v="not outlier"/>
    <s v="not outlier"/>
    <s v="not outlier"/>
  </r>
  <r>
    <x v="1"/>
    <x v="2"/>
    <x v="2"/>
    <x v="10"/>
    <x v="1"/>
    <n v="0.31940000000000002"/>
    <n v="68.459952999999999"/>
    <n v="0.11169999999999999"/>
    <n v="121"/>
    <s v="not outlier"/>
    <s v="not outlier"/>
    <s v="not outlier"/>
    <s v="not outlier"/>
  </r>
  <r>
    <x v="1"/>
    <x v="6"/>
    <x v="2"/>
    <x v="30"/>
    <x v="2"/>
    <n v="1.0727"/>
    <n v="91.027754000000002"/>
    <n v="0.42909999999999998"/>
    <n v="0"/>
    <s v="not outlier"/>
    <s v="not outlier"/>
    <s v="not outlier"/>
    <s v="not outlier"/>
  </r>
  <r>
    <x v="1"/>
    <x v="7"/>
    <x v="2"/>
    <x v="30"/>
    <x v="2"/>
    <n v="1.6225000000000001"/>
    <n v="152.93680000000001"/>
    <n v="0.64900000000000002"/>
    <n v="0"/>
    <s v="not outlier"/>
    <s v="not outlier"/>
    <s v="not outlier"/>
    <s v="not outlier"/>
  </r>
  <r>
    <x v="1"/>
    <x v="8"/>
    <x v="2"/>
    <x v="30"/>
    <x v="2"/>
    <n v="1.7793000000000001"/>
    <n v="180.530733"/>
    <n v="0.7117"/>
    <n v="549"/>
    <s v="not outlier"/>
    <s v="not outlier"/>
    <s v="not outlier"/>
    <s v="not outlier"/>
  </r>
  <r>
    <x v="1"/>
    <x v="9"/>
    <x v="2"/>
    <x v="30"/>
    <x v="2"/>
    <n v="1.4000999999999999"/>
    <n v="153.40021400000001"/>
    <n v="0.56000000000000005"/>
    <n v="410"/>
    <s v="not outlier"/>
    <s v="not outlier"/>
    <s v="not outlier"/>
    <s v="not outlier"/>
  </r>
  <r>
    <x v="1"/>
    <x v="10"/>
    <x v="2"/>
    <x v="30"/>
    <x v="2"/>
    <n v="2.0364"/>
    <n v="183.71554599999999"/>
    <n v="0.81459999999999999"/>
    <n v="575"/>
    <s v="not outlier"/>
    <s v="not outlier"/>
    <s v="not outlier"/>
    <s v="not outlier"/>
  </r>
  <r>
    <x v="1"/>
    <x v="11"/>
    <x v="2"/>
    <x v="30"/>
    <x v="2"/>
    <n v="2.6855000000000002"/>
    <n v="198.28060199999999"/>
    <n v="1.0742"/>
    <n v="686"/>
    <s v="not outlier"/>
    <s v="not outlier"/>
    <s v="not outlier"/>
    <s v="not outlier"/>
  </r>
  <r>
    <x v="1"/>
    <x v="0"/>
    <x v="2"/>
    <x v="30"/>
    <x v="2"/>
    <n v="2.0802999999999998"/>
    <n v="150.476249"/>
    <n v="0.83209999999999995"/>
    <n v="660"/>
    <s v="not outlier"/>
    <s v="not outlier"/>
    <s v="not outlier"/>
    <s v="not outlier"/>
  </r>
  <r>
    <x v="1"/>
    <x v="3"/>
    <x v="1"/>
    <x v="12"/>
    <x v="2"/>
    <n v="0.2056"/>
    <n v="41.075017000000003"/>
    <n v="8.2299999999999998E-2"/>
    <n v="62"/>
    <s v="not outlier"/>
    <s v="not outlier"/>
    <s v="not outlier"/>
    <s v="not outlier"/>
  </r>
  <r>
    <x v="1"/>
    <x v="4"/>
    <x v="1"/>
    <x v="12"/>
    <x v="2"/>
    <n v="0.2084"/>
    <n v="42.177222999999998"/>
    <n v="8.3299999999999999E-2"/>
    <n v="56"/>
    <s v="not outlier"/>
    <s v="not outlier"/>
    <s v="not outlier"/>
    <s v="not outlier"/>
  </r>
  <r>
    <x v="1"/>
    <x v="5"/>
    <x v="1"/>
    <x v="12"/>
    <x v="2"/>
    <n v="0.21260000000000001"/>
    <n v="42.238225"/>
    <n v="8.5000000000000006E-2"/>
    <n v="0"/>
    <s v="not outlier"/>
    <s v="not outlier"/>
    <s v="not outlier"/>
    <s v="not outlier"/>
  </r>
  <r>
    <x v="1"/>
    <x v="6"/>
    <x v="1"/>
    <x v="12"/>
    <x v="2"/>
    <n v="0.25380000000000003"/>
    <n v="44.394432000000002"/>
    <n v="0.10150000000000001"/>
    <n v="0"/>
    <s v="not outlier"/>
    <s v="not outlier"/>
    <s v="not outlier"/>
    <s v="not outlier"/>
  </r>
  <r>
    <x v="1"/>
    <x v="11"/>
    <x v="1"/>
    <x v="12"/>
    <x v="2"/>
    <n v="0.18029999999999999"/>
    <n v="33.354405"/>
    <n v="7.2099999999999997E-2"/>
    <n v="54"/>
    <s v="not outlier"/>
    <s v="not outlier"/>
    <s v="not outlier"/>
    <s v="not outlier"/>
  </r>
  <r>
    <x v="1"/>
    <x v="0"/>
    <x v="1"/>
    <x v="12"/>
    <x v="2"/>
    <n v="0.14430000000000001"/>
    <n v="26.838242999999999"/>
    <n v="5.7700000000000001E-2"/>
    <n v="53"/>
    <s v="not outlier"/>
    <s v="not outlier"/>
    <s v="not outlier"/>
    <s v="not outlier"/>
  </r>
  <r>
    <x v="1"/>
    <x v="5"/>
    <x v="2"/>
    <x v="31"/>
    <x v="3"/>
    <n v="3.3595000000000002"/>
    <n v="300.15178500000002"/>
    <n v="1.075"/>
    <n v="3105"/>
    <s v="not outlier"/>
    <s v="not outlier"/>
    <s v="not outlier"/>
    <s v="outlier"/>
  </r>
  <r>
    <x v="1"/>
    <x v="5"/>
    <x v="0"/>
    <x v="31"/>
    <x v="3"/>
    <n v="5.1391"/>
    <n v="458.18407400000001"/>
    <n v="1.6445000000000001"/>
    <n v="3919"/>
    <s v="not outlier"/>
    <s v="not outlier"/>
    <s v="not outlier"/>
    <s v="outlier"/>
  </r>
  <r>
    <x v="1"/>
    <x v="6"/>
    <x v="2"/>
    <x v="31"/>
    <x v="3"/>
    <n v="3.8908"/>
    <n v="334.68803000000003"/>
    <n v="1.2451000000000001"/>
    <n v="3510"/>
    <s v="not outlier"/>
    <s v="not outlier"/>
    <s v="not outlier"/>
    <s v="outlier"/>
  </r>
  <r>
    <x v="1"/>
    <x v="6"/>
    <x v="0"/>
    <x v="31"/>
    <x v="3"/>
    <n v="4.7962999999999996"/>
    <n v="411.48491000000001"/>
    <n v="1.5347999999999999"/>
    <n v="3969"/>
    <s v="not outlier"/>
    <s v="not outlier"/>
    <s v="not outlier"/>
    <s v="outlier"/>
  </r>
  <r>
    <x v="1"/>
    <x v="7"/>
    <x v="2"/>
    <x v="31"/>
    <x v="3"/>
    <n v="3.7282999999999999"/>
    <n v="271.43171000000001"/>
    <n v="1.1930000000000001"/>
    <n v="3378"/>
    <s v="not outlier"/>
    <s v="not outlier"/>
    <s v="not outlier"/>
    <s v="outlier"/>
  </r>
  <r>
    <x v="1"/>
    <x v="7"/>
    <x v="0"/>
    <x v="31"/>
    <x v="3"/>
    <n v="4.5629999999999997"/>
    <n v="345.88195300000001"/>
    <n v="1.4601"/>
    <n v="4110"/>
    <s v="not outlier"/>
    <s v="not outlier"/>
    <s v="not outlier"/>
    <s v="outlier"/>
  </r>
  <r>
    <x v="1"/>
    <x v="8"/>
    <x v="1"/>
    <x v="31"/>
    <x v="3"/>
    <n v="1.7727999999999999"/>
    <n v="141.873434"/>
    <n v="0.56730000000000003"/>
    <n v="369"/>
    <s v="not outlier"/>
    <s v="not outlier"/>
    <s v="not outlier"/>
    <s v="not outlier"/>
  </r>
  <r>
    <x v="1"/>
    <x v="8"/>
    <x v="2"/>
    <x v="31"/>
    <x v="3"/>
    <n v="8.4135000000000009"/>
    <n v="442.433333"/>
    <n v="2.6922999999999999"/>
    <n v="4822"/>
    <s v="not outlier"/>
    <s v="not outlier"/>
    <s v="not outlier"/>
    <s v="outlier"/>
  </r>
  <r>
    <x v="1"/>
    <x v="8"/>
    <x v="0"/>
    <x v="31"/>
    <x v="3"/>
    <n v="7.5701999999999998"/>
    <n v="412.478904"/>
    <n v="2.4224999999999999"/>
    <n v="4586"/>
    <s v="not outlier"/>
    <s v="not outlier"/>
    <s v="not outlier"/>
    <s v="outlier"/>
  </r>
  <r>
    <x v="1"/>
    <x v="9"/>
    <x v="1"/>
    <x v="31"/>
    <x v="3"/>
    <n v="1.9601999999999999"/>
    <n v="137.10364100000001"/>
    <n v="0.62729999999999997"/>
    <n v="338"/>
    <s v="not outlier"/>
    <s v="not outlier"/>
    <s v="not outlier"/>
    <s v="not outlier"/>
  </r>
  <r>
    <x v="1"/>
    <x v="9"/>
    <x v="2"/>
    <x v="31"/>
    <x v="3"/>
    <n v="5.6128999999999998"/>
    <n v="317.75876499999998"/>
    <n v="1.7962"/>
    <n v="3735"/>
    <s v="not outlier"/>
    <s v="not outlier"/>
    <s v="not outlier"/>
    <s v="outlier"/>
  </r>
  <r>
    <x v="1"/>
    <x v="9"/>
    <x v="0"/>
    <x v="31"/>
    <x v="3"/>
    <n v="5.7121000000000004"/>
    <n v="350.57270899999997"/>
    <n v="1.8279000000000001"/>
    <n v="3911"/>
    <s v="not outlier"/>
    <s v="not outlier"/>
    <s v="not outlier"/>
    <s v="outlier"/>
  </r>
  <r>
    <x v="1"/>
    <x v="10"/>
    <x v="1"/>
    <x v="31"/>
    <x v="3"/>
    <n v="1.0285"/>
    <n v="75.752228000000002"/>
    <n v="0.3291"/>
    <n v="283"/>
    <s v="not outlier"/>
    <s v="not outlier"/>
    <s v="not outlier"/>
    <s v="not outlier"/>
  </r>
  <r>
    <x v="1"/>
    <x v="10"/>
    <x v="2"/>
    <x v="31"/>
    <x v="3"/>
    <n v="2.5920000000000001"/>
    <n v="240.02345399999999"/>
    <n v="0.82940000000000003"/>
    <n v="2551"/>
    <s v="not outlier"/>
    <s v="not outlier"/>
    <s v="not outlier"/>
    <s v="not outlier"/>
  </r>
  <r>
    <x v="1"/>
    <x v="10"/>
    <x v="0"/>
    <x v="31"/>
    <x v="3"/>
    <n v="2.6711"/>
    <n v="221.40583799999999"/>
    <n v="0.8548"/>
    <n v="2847"/>
    <s v="not outlier"/>
    <s v="not outlier"/>
    <s v="not outlier"/>
    <s v="outlier"/>
  </r>
  <r>
    <x v="1"/>
    <x v="11"/>
    <x v="1"/>
    <x v="31"/>
    <x v="3"/>
    <n v="0.84899999999999998"/>
    <n v="89.076100999999994"/>
    <n v="0.2717"/>
    <n v="253"/>
    <s v="not outlier"/>
    <s v="not outlier"/>
    <s v="not outlier"/>
    <s v="not outlier"/>
  </r>
  <r>
    <x v="1"/>
    <x v="11"/>
    <x v="2"/>
    <x v="31"/>
    <x v="3"/>
    <n v="1.7481"/>
    <n v="162.59215699999999"/>
    <n v="0.55940000000000001"/>
    <n v="1514"/>
    <s v="not outlier"/>
    <s v="not outlier"/>
    <s v="not outlier"/>
    <s v="not outlier"/>
  </r>
  <r>
    <x v="1"/>
    <x v="11"/>
    <x v="0"/>
    <x v="31"/>
    <x v="3"/>
    <n v="2.7793999999999999"/>
    <n v="235.03743700000001"/>
    <n v="0.88939999999999997"/>
    <n v="2408"/>
    <s v="not outlier"/>
    <s v="not outlier"/>
    <s v="not outlier"/>
    <s v="not outlier"/>
  </r>
  <r>
    <x v="1"/>
    <x v="0"/>
    <x v="1"/>
    <x v="31"/>
    <x v="3"/>
    <n v="0.68340000000000001"/>
    <n v="69.379221000000001"/>
    <n v="0.21870000000000001"/>
    <n v="235"/>
    <s v="not outlier"/>
    <s v="not outlier"/>
    <s v="not outlier"/>
    <s v="not outlier"/>
  </r>
  <r>
    <x v="1"/>
    <x v="0"/>
    <x v="2"/>
    <x v="31"/>
    <x v="3"/>
    <n v="1.9384999999999999"/>
    <n v="170.223986"/>
    <n v="0.62029999999999996"/>
    <n v="1671"/>
    <s v="not outlier"/>
    <s v="not outlier"/>
    <s v="not outlier"/>
    <s v="not outlier"/>
  </r>
  <r>
    <x v="1"/>
    <x v="0"/>
    <x v="0"/>
    <x v="31"/>
    <x v="3"/>
    <n v="3.8500999999999999"/>
    <n v="311.61318699999998"/>
    <n v="1.232"/>
    <n v="2984"/>
    <s v="not outlier"/>
    <s v="not outlier"/>
    <s v="not outlier"/>
    <s v="outlier"/>
  </r>
  <r>
    <x v="1"/>
    <x v="1"/>
    <x v="1"/>
    <x v="31"/>
    <x v="3"/>
    <n v="0.58679999999999999"/>
    <n v="63.073779000000002"/>
    <n v="0.18779999999999999"/>
    <n v="234"/>
    <s v="not outlier"/>
    <s v="not outlier"/>
    <s v="not outlier"/>
    <s v="not outlier"/>
  </r>
  <r>
    <x v="1"/>
    <x v="1"/>
    <x v="2"/>
    <x v="31"/>
    <x v="3"/>
    <n v="1.9456"/>
    <n v="177.160661"/>
    <n v="0.62250000000000005"/>
    <n v="1542"/>
    <s v="not outlier"/>
    <s v="not outlier"/>
    <s v="not outlier"/>
    <s v="not outlier"/>
  </r>
  <r>
    <x v="1"/>
    <x v="1"/>
    <x v="0"/>
    <x v="31"/>
    <x v="3"/>
    <n v="3.5655000000000001"/>
    <n v="309.04196999999999"/>
    <n v="1.141"/>
    <n v="2940"/>
    <s v="not outlier"/>
    <s v="not outlier"/>
    <s v="not outlier"/>
    <s v="outlier"/>
  </r>
  <r>
    <x v="1"/>
    <x v="2"/>
    <x v="0"/>
    <x v="14"/>
    <x v="1"/>
    <n v="1.2875000000000001"/>
    <n v="233.90612300000001"/>
    <n v="0.45050000000000001"/>
    <n v="114"/>
    <s v="not outlier"/>
    <s v="not outlier"/>
    <s v="not outlier"/>
    <s v="not outlier"/>
  </r>
  <r>
    <x v="1"/>
    <x v="3"/>
    <x v="0"/>
    <x v="14"/>
    <x v="1"/>
    <n v="1.0794999999999999"/>
    <n v="201.00233399999999"/>
    <n v="0.37769999999999998"/>
    <n v="117"/>
    <s v="not outlier"/>
    <s v="not outlier"/>
    <s v="not outlier"/>
    <s v="not outlier"/>
  </r>
  <r>
    <x v="1"/>
    <x v="4"/>
    <x v="0"/>
    <x v="14"/>
    <x v="1"/>
    <n v="1.0016"/>
    <n v="197.96796900000001"/>
    <n v="0.35039999999999999"/>
    <n v="118"/>
    <s v="not outlier"/>
    <s v="not outlier"/>
    <s v="not outlier"/>
    <s v="not outlier"/>
  </r>
  <r>
    <x v="1"/>
    <x v="5"/>
    <x v="2"/>
    <x v="14"/>
    <x v="1"/>
    <n v="0.33589999999999998"/>
    <n v="66.834194999999994"/>
    <n v="0.1176"/>
    <n v="0"/>
    <s v="not outlier"/>
    <s v="not outlier"/>
    <s v="not outlier"/>
    <s v="not outlier"/>
  </r>
  <r>
    <x v="1"/>
    <x v="5"/>
    <x v="0"/>
    <x v="14"/>
    <x v="1"/>
    <n v="1.1543000000000001"/>
    <n v="213.32597899999999"/>
    <n v="0.40400000000000003"/>
    <n v="116"/>
    <s v="not outlier"/>
    <s v="not outlier"/>
    <s v="not outlier"/>
    <s v="not outlier"/>
  </r>
  <r>
    <x v="1"/>
    <x v="2"/>
    <x v="1"/>
    <x v="15"/>
    <x v="6"/>
    <n v="6.6E-3"/>
    <n v="2.099316"/>
    <n v="1.8E-3"/>
    <n v="2"/>
    <s v="not outlier"/>
    <s v="not outlier"/>
    <s v="not outlier"/>
    <s v="not outlier"/>
  </r>
  <r>
    <x v="1"/>
    <x v="2"/>
    <x v="1"/>
    <x v="15"/>
    <x v="2"/>
    <n v="1.0008999999999999"/>
    <n v="128.38419400000001"/>
    <n v="0.40039999999999998"/>
    <n v="122"/>
    <s v="not outlier"/>
    <s v="not outlier"/>
    <s v="not outlier"/>
    <s v="not outlier"/>
  </r>
  <r>
    <x v="1"/>
    <x v="2"/>
    <x v="2"/>
    <x v="15"/>
    <x v="6"/>
    <n v="3.3E-3"/>
    <n v="1.31717"/>
    <n v="8.9999999999999998E-4"/>
    <n v="2"/>
    <s v="not outlier"/>
    <s v="not outlier"/>
    <s v="not outlier"/>
    <s v="not outlier"/>
  </r>
  <r>
    <x v="1"/>
    <x v="2"/>
    <x v="2"/>
    <x v="15"/>
    <x v="2"/>
    <n v="0.40050000000000002"/>
    <n v="44.008198999999998"/>
    <n v="0.16020000000000001"/>
    <n v="280"/>
    <s v="not outlier"/>
    <s v="not outlier"/>
    <s v="not outlier"/>
    <s v="not outlier"/>
  </r>
  <r>
    <x v="1"/>
    <x v="3"/>
    <x v="1"/>
    <x v="15"/>
    <x v="6"/>
    <n v="5.7999999999999996E-3"/>
    <n v="1.9080230000000002"/>
    <n v="1.6000000000000001E-3"/>
    <n v="2"/>
    <s v="not outlier"/>
    <s v="not outlier"/>
    <s v="not outlier"/>
    <s v="not outlier"/>
  </r>
  <r>
    <x v="1"/>
    <x v="3"/>
    <x v="1"/>
    <x v="15"/>
    <x v="2"/>
    <n v="1.0523"/>
    <n v="136.39728199999999"/>
    <n v="0.4209"/>
    <n v="124"/>
    <s v="not outlier"/>
    <s v="not outlier"/>
    <s v="not outlier"/>
    <s v="not outlier"/>
  </r>
  <r>
    <x v="1"/>
    <x v="3"/>
    <x v="2"/>
    <x v="15"/>
    <x v="6"/>
    <n v="3.3E-3"/>
    <n v="1.308484"/>
    <n v="8.9999999999999998E-4"/>
    <n v="2"/>
    <s v="not outlier"/>
    <s v="not outlier"/>
    <s v="not outlier"/>
    <s v="not outlier"/>
  </r>
  <r>
    <x v="1"/>
    <x v="3"/>
    <x v="2"/>
    <x v="15"/>
    <x v="3"/>
    <n v="1.5900000000000001E-2"/>
    <n v="3.3178890000000001"/>
    <n v="4.7999999999999996E-3"/>
    <n v="2"/>
    <s v="not outlier"/>
    <s v="not outlier"/>
    <s v="not outlier"/>
    <s v="not outlier"/>
  </r>
  <r>
    <x v="1"/>
    <x v="3"/>
    <x v="2"/>
    <x v="15"/>
    <x v="2"/>
    <n v="0.34960000000000002"/>
    <n v="38.380471"/>
    <n v="0.13980000000000001"/>
    <n v="206"/>
    <s v="not outlier"/>
    <s v="not outlier"/>
    <s v="not outlier"/>
    <s v="not outlier"/>
  </r>
  <r>
    <x v="1"/>
    <x v="4"/>
    <x v="1"/>
    <x v="15"/>
    <x v="6"/>
    <n v="8.2000000000000007E-3"/>
    <n v="2.719411"/>
    <n v="2.3E-3"/>
    <n v="3"/>
    <s v="not outlier"/>
    <s v="not outlier"/>
    <s v="not outlier"/>
    <s v="not outlier"/>
  </r>
  <r>
    <x v="1"/>
    <x v="4"/>
    <x v="1"/>
    <x v="15"/>
    <x v="2"/>
    <n v="1.0868"/>
    <n v="140.99037000000001"/>
    <n v="0.43469999999999998"/>
    <n v="123"/>
    <s v="not outlier"/>
    <s v="not outlier"/>
    <s v="not outlier"/>
    <s v="not outlier"/>
  </r>
  <r>
    <x v="1"/>
    <x v="4"/>
    <x v="2"/>
    <x v="15"/>
    <x v="6"/>
    <n v="6.9999999999999999E-4"/>
    <n v="0.27444099999999999"/>
    <n v="2.0000000000000001E-4"/>
    <n v="2"/>
    <s v="not outlier"/>
    <s v="not outlier"/>
    <s v="not outlier"/>
    <s v="not outlier"/>
  </r>
  <r>
    <x v="1"/>
    <x v="4"/>
    <x v="2"/>
    <x v="15"/>
    <x v="3"/>
    <n v="6.9999999999999999E-4"/>
    <n v="0.13831399999999999"/>
    <n v="2.0000000000000001E-4"/>
    <n v="1"/>
    <s v="not outlier"/>
    <s v="not outlier"/>
    <s v="not outlier"/>
    <s v="not outlier"/>
  </r>
  <r>
    <x v="1"/>
    <x v="4"/>
    <x v="2"/>
    <x v="15"/>
    <x v="2"/>
    <n v="0.43480000000000002"/>
    <n v="47.505246999999997"/>
    <n v="0.1739"/>
    <n v="256"/>
    <s v="not outlier"/>
    <s v="not outlier"/>
    <s v="not outlier"/>
    <s v="not outlier"/>
  </r>
  <r>
    <x v="1"/>
    <x v="5"/>
    <x v="1"/>
    <x v="15"/>
    <x v="6"/>
    <n v="4.7800000000000002E-2"/>
    <n v="17.027861999999999"/>
    <n v="1.34E-2"/>
    <n v="21"/>
    <s v="not outlier"/>
    <s v="not outlier"/>
    <s v="not outlier"/>
    <s v="not outlier"/>
  </r>
  <r>
    <x v="1"/>
    <x v="5"/>
    <x v="1"/>
    <x v="15"/>
    <x v="2"/>
    <n v="0.94640000000000002"/>
    <n v="122.809512"/>
    <n v="0.3785"/>
    <n v="131"/>
    <s v="not outlier"/>
    <s v="not outlier"/>
    <s v="not outlier"/>
    <s v="not outlier"/>
  </r>
  <r>
    <x v="1"/>
    <x v="6"/>
    <x v="1"/>
    <x v="15"/>
    <x v="6"/>
    <n v="4.4499999999999998E-2"/>
    <n v="14.372702"/>
    <n v="1.2500000000000001E-2"/>
    <n v="16"/>
    <s v="not outlier"/>
    <s v="not outlier"/>
    <s v="not outlier"/>
    <s v="not outlier"/>
  </r>
  <r>
    <x v="1"/>
    <x v="6"/>
    <x v="1"/>
    <x v="15"/>
    <x v="2"/>
    <n v="1.1576"/>
    <n v="149.28983400000001"/>
    <n v="0.46310000000000001"/>
    <n v="164"/>
    <s v="not outlier"/>
    <s v="not outlier"/>
    <s v="not outlier"/>
    <s v="not outlier"/>
  </r>
  <r>
    <x v="1"/>
    <x v="7"/>
    <x v="1"/>
    <x v="15"/>
    <x v="6"/>
    <n v="3.2399999999999998E-2"/>
    <n v="10.521910999999999"/>
    <n v="9.1000000000000004E-3"/>
    <n v="15"/>
    <s v="not outlier"/>
    <s v="not outlier"/>
    <s v="not outlier"/>
    <s v="not outlier"/>
  </r>
  <r>
    <x v="1"/>
    <x v="7"/>
    <x v="1"/>
    <x v="15"/>
    <x v="2"/>
    <n v="1.024"/>
    <n v="132.086592"/>
    <n v="0.40960000000000002"/>
    <n v="170"/>
    <s v="not outlier"/>
    <s v="not outlier"/>
    <s v="not outlier"/>
    <s v="not outlier"/>
  </r>
  <r>
    <x v="1"/>
    <x v="8"/>
    <x v="1"/>
    <x v="15"/>
    <x v="6"/>
    <n v="6.8099999999999994E-2"/>
    <n v="17.309398000000002"/>
    <n v="1.9099999999999999E-2"/>
    <n v="19"/>
    <s v="not outlier"/>
    <s v="not outlier"/>
    <s v="not outlier"/>
    <s v="not outlier"/>
  </r>
  <r>
    <x v="1"/>
    <x v="8"/>
    <x v="1"/>
    <x v="15"/>
    <x v="2"/>
    <n v="1.0634999999999999"/>
    <n v="137.11769799999999"/>
    <n v="0.4254"/>
    <n v="171"/>
    <s v="not outlier"/>
    <s v="not outlier"/>
    <s v="not outlier"/>
    <s v="not outlier"/>
  </r>
  <r>
    <x v="1"/>
    <x v="9"/>
    <x v="1"/>
    <x v="15"/>
    <x v="6"/>
    <n v="5.0700000000000002E-2"/>
    <n v="14.072998999999999"/>
    <n v="1.4200000000000001E-2"/>
    <n v="19"/>
    <s v="not outlier"/>
    <s v="not outlier"/>
    <s v="not outlier"/>
    <s v="not outlier"/>
  </r>
  <r>
    <x v="1"/>
    <x v="9"/>
    <x v="1"/>
    <x v="15"/>
    <x v="2"/>
    <n v="0.97809999999999997"/>
    <n v="127.683803"/>
    <n v="0.39129999999999998"/>
    <n v="170"/>
    <s v="not outlier"/>
    <s v="not outlier"/>
    <s v="not outlier"/>
    <s v="not outlier"/>
  </r>
  <r>
    <x v="1"/>
    <x v="9"/>
    <x v="2"/>
    <x v="15"/>
    <x v="6"/>
    <n v="1.6999999999999999E-3"/>
    <n v="0.69263300000000005"/>
    <n v="5.0000000000000001E-4"/>
    <n v="0"/>
    <s v="not outlier"/>
    <s v="not outlier"/>
    <s v="not outlier"/>
    <s v="not outlier"/>
  </r>
  <r>
    <x v="1"/>
    <x v="9"/>
    <x v="2"/>
    <x v="15"/>
    <x v="2"/>
    <n v="0.51359999999999995"/>
    <n v="55.714799999999997"/>
    <n v="0.20549999999999999"/>
    <n v="0"/>
    <s v="not outlier"/>
    <s v="not outlier"/>
    <s v="not outlier"/>
    <s v="not outlier"/>
  </r>
  <r>
    <x v="1"/>
    <x v="10"/>
    <x v="1"/>
    <x v="15"/>
    <x v="6"/>
    <n v="4.9500000000000002E-2"/>
    <n v="12.375298000000001"/>
    <n v="1.3899999999999999E-2"/>
    <n v="20"/>
    <s v="not outlier"/>
    <s v="not outlier"/>
    <s v="not outlier"/>
    <s v="not outlier"/>
  </r>
  <r>
    <x v="1"/>
    <x v="10"/>
    <x v="1"/>
    <x v="15"/>
    <x v="2"/>
    <n v="1.0822000000000001"/>
    <n v="139.409435"/>
    <n v="0.43290000000000001"/>
    <n v="172"/>
    <s v="not outlier"/>
    <s v="not outlier"/>
    <s v="not outlier"/>
    <s v="not outlier"/>
  </r>
  <r>
    <x v="1"/>
    <x v="11"/>
    <x v="1"/>
    <x v="15"/>
    <x v="6"/>
    <n v="4.9500000000000002E-2"/>
    <n v="12.090182"/>
    <n v="1.3899999999999999E-2"/>
    <n v="15"/>
    <s v="not outlier"/>
    <s v="not outlier"/>
    <s v="not outlier"/>
    <s v="not outlier"/>
  </r>
  <r>
    <x v="1"/>
    <x v="11"/>
    <x v="1"/>
    <x v="15"/>
    <x v="2"/>
    <n v="1.3658999999999999"/>
    <n v="170.32941199999999"/>
    <n v="0.5464"/>
    <n v="179"/>
    <s v="not outlier"/>
    <s v="not outlier"/>
    <s v="not outlier"/>
    <s v="not outlier"/>
  </r>
  <r>
    <x v="1"/>
    <x v="11"/>
    <x v="2"/>
    <x v="15"/>
    <x v="6"/>
    <n v="3.7000000000000002E-3"/>
    <n v="1.48214"/>
    <n v="1.1000000000000001E-3"/>
    <n v="0"/>
    <s v="not outlier"/>
    <s v="not outlier"/>
    <s v="not outlier"/>
    <s v="not outlier"/>
  </r>
  <r>
    <x v="1"/>
    <x v="11"/>
    <x v="2"/>
    <x v="15"/>
    <x v="2"/>
    <n v="0.55659999999999998"/>
    <n v="67.058508000000003"/>
    <n v="0.22259999999999999"/>
    <n v="0"/>
    <s v="not outlier"/>
    <s v="not outlier"/>
    <s v="not outlier"/>
    <s v="not outlier"/>
  </r>
  <r>
    <x v="1"/>
    <x v="0"/>
    <x v="1"/>
    <x v="15"/>
    <x v="6"/>
    <n v="2.98E-2"/>
    <n v="8.8287189999999995"/>
    <n v="8.3999999999999995E-3"/>
    <n v="15"/>
    <s v="not outlier"/>
    <s v="not outlier"/>
    <s v="not outlier"/>
    <s v="not outlier"/>
  </r>
  <r>
    <x v="1"/>
    <x v="0"/>
    <x v="1"/>
    <x v="15"/>
    <x v="2"/>
    <n v="1.2734000000000001"/>
    <n v="180.083167"/>
    <n v="0.50929999999999997"/>
    <n v="186"/>
    <s v="not outlier"/>
    <s v="not outlier"/>
    <s v="not outlier"/>
    <s v="not outlier"/>
  </r>
  <r>
    <x v="1"/>
    <x v="0"/>
    <x v="0"/>
    <x v="15"/>
    <x v="6"/>
    <n v="0.31330000000000002"/>
    <n v="119.615482"/>
    <n v="8.77E-2"/>
    <n v="0"/>
    <s v="not outlier"/>
    <s v="not outlier"/>
    <s v="not outlier"/>
    <s v="not outlier"/>
  </r>
  <r>
    <x v="1"/>
    <x v="0"/>
    <x v="0"/>
    <x v="15"/>
    <x v="3"/>
    <n v="1.6000000000000001E-3"/>
    <n v="0.526536"/>
    <n v="5.0000000000000001E-4"/>
    <n v="0"/>
    <s v="not outlier"/>
    <s v="not outlier"/>
    <s v="not outlier"/>
    <s v="not outlier"/>
  </r>
  <r>
    <x v="1"/>
    <x v="0"/>
    <x v="0"/>
    <x v="15"/>
    <x v="2"/>
    <n v="1.1007"/>
    <n v="150.34304"/>
    <n v="0.44030000000000002"/>
    <n v="0"/>
    <s v="not outlier"/>
    <s v="not outlier"/>
    <s v="not outlier"/>
    <s v="not outlier"/>
  </r>
  <r>
    <x v="1"/>
    <x v="1"/>
    <x v="1"/>
    <x v="15"/>
    <x v="6"/>
    <n v="3.7400000000000003E-2"/>
    <n v="10.424574"/>
    <n v="1.0500000000000001E-2"/>
    <n v="13"/>
    <s v="not outlier"/>
    <s v="not outlier"/>
    <s v="not outlier"/>
    <s v="not outlier"/>
  </r>
  <r>
    <x v="1"/>
    <x v="1"/>
    <x v="1"/>
    <x v="15"/>
    <x v="2"/>
    <n v="1.381"/>
    <n v="191.52732900000001"/>
    <n v="0.5524"/>
    <n v="195"/>
    <s v="not outlier"/>
    <s v="not outlier"/>
    <s v="not outlier"/>
    <s v="not outlier"/>
  </r>
  <r>
    <x v="1"/>
    <x v="1"/>
    <x v="0"/>
    <x v="15"/>
    <x v="6"/>
    <n v="3.9100000000000003E-2"/>
    <n v="14.953212000000001"/>
    <n v="1.09E-2"/>
    <n v="0"/>
    <s v="not outlier"/>
    <s v="not outlier"/>
    <s v="not outlier"/>
    <s v="not outlier"/>
  </r>
  <r>
    <x v="1"/>
    <x v="1"/>
    <x v="0"/>
    <x v="15"/>
    <x v="3"/>
    <n v="3.0999999999999999E-3"/>
    <n v="0.96084099999999995"/>
    <n v="8.9999999999999998E-4"/>
    <n v="0"/>
    <s v="not outlier"/>
    <s v="not outlier"/>
    <s v="not outlier"/>
    <s v="not outlier"/>
  </r>
  <r>
    <x v="1"/>
    <x v="1"/>
    <x v="0"/>
    <x v="15"/>
    <x v="2"/>
    <n v="1.4449000000000001"/>
    <n v="173.67919499999999"/>
    <n v="0.57809999999999995"/>
    <n v="0"/>
    <s v="not outlier"/>
    <s v="not outlier"/>
    <s v="not outlier"/>
    <s v="not outlier"/>
  </r>
  <r>
    <x v="1"/>
    <x v="2"/>
    <x v="0"/>
    <x v="16"/>
    <x v="1"/>
    <n v="1.2999999999999999E-3"/>
    <n v="0.51188299999999998"/>
    <n v="5.0000000000000001E-4"/>
    <n v="1"/>
    <s v="not outlier"/>
    <s v="not outlier"/>
    <s v="not outlier"/>
    <s v="not outlier"/>
  </r>
  <r>
    <x v="1"/>
    <x v="2"/>
    <x v="0"/>
    <x v="16"/>
    <x v="2"/>
    <n v="0.65149999999999997"/>
    <n v="221.027694"/>
    <n v="0.26050000000000001"/>
    <n v="96"/>
    <s v="not outlier"/>
    <s v="not outlier"/>
    <s v="not outlier"/>
    <s v="not outlier"/>
  </r>
  <r>
    <x v="1"/>
    <x v="3"/>
    <x v="2"/>
    <x v="16"/>
    <x v="5"/>
    <n v="2.9999999999999997E-4"/>
    <n v="6.0470999999999997E-2"/>
    <n v="1E-4"/>
    <n v="0"/>
    <s v="not outlier"/>
    <s v="not outlier"/>
    <s v="not outlier"/>
    <s v="not outlier"/>
  </r>
  <r>
    <x v="1"/>
    <x v="3"/>
    <x v="2"/>
    <x v="16"/>
    <x v="2"/>
    <n v="9.5399999999999999E-2"/>
    <n v="37.051830000000002"/>
    <n v="3.8100000000000002E-2"/>
    <n v="0"/>
    <s v="not outlier"/>
    <s v="not outlier"/>
    <s v="not outlier"/>
    <s v="not outlier"/>
  </r>
  <r>
    <x v="1"/>
    <x v="3"/>
    <x v="0"/>
    <x v="16"/>
    <x v="5"/>
    <n v="1.2999999999999999E-3"/>
    <n v="0.51300999999999997"/>
    <n v="2.9999999999999997E-4"/>
    <n v="2"/>
    <s v="not outlier"/>
    <s v="not outlier"/>
    <s v="not outlier"/>
    <s v="not outlier"/>
  </r>
  <r>
    <x v="1"/>
    <x v="3"/>
    <x v="0"/>
    <x v="16"/>
    <x v="2"/>
    <n v="0.5091"/>
    <n v="184.811387"/>
    <n v="0.2036"/>
    <n v="87"/>
    <s v="not outlier"/>
    <s v="not outlier"/>
    <s v="not outlier"/>
    <s v="not outlier"/>
  </r>
  <r>
    <x v="1"/>
    <x v="4"/>
    <x v="0"/>
    <x v="16"/>
    <x v="2"/>
    <n v="0.52410000000000001"/>
    <n v="198.85196199999999"/>
    <n v="0.2097"/>
    <n v="0"/>
    <s v="not outlier"/>
    <s v="not outlier"/>
    <s v="not outlier"/>
    <s v="not outlier"/>
  </r>
  <r>
    <x v="1"/>
    <x v="2"/>
    <x v="1"/>
    <x v="18"/>
    <x v="5"/>
    <n v="0.21110000000000001"/>
    <n v="37.134447999999999"/>
    <n v="4.0099999999999997E-2"/>
    <n v="0"/>
    <s v="not outlier"/>
    <s v="not outlier"/>
    <s v="not outlier"/>
    <s v="not outlier"/>
  </r>
  <r>
    <x v="1"/>
    <x v="2"/>
    <x v="1"/>
    <x v="18"/>
    <x v="1"/>
    <n v="1.1000000000000001E-3"/>
    <n v="0.15628300000000001"/>
    <n v="4.0000000000000002E-4"/>
    <n v="0"/>
    <s v="not outlier"/>
    <s v="not outlier"/>
    <s v="not outlier"/>
    <s v="not outlier"/>
  </r>
  <r>
    <x v="1"/>
    <x v="4"/>
    <x v="1"/>
    <x v="18"/>
    <x v="5"/>
    <n v="0.25950000000000001"/>
    <n v="45.093429999999998"/>
    <n v="4.9299999999999997E-2"/>
    <n v="87"/>
    <s v="not outlier"/>
    <s v="not outlier"/>
    <s v="not outlier"/>
    <s v="not outlier"/>
  </r>
  <r>
    <x v="1"/>
    <x v="4"/>
    <x v="1"/>
    <x v="18"/>
    <x v="1"/>
    <n v="6.9999999999999999E-4"/>
    <n v="6.9555000000000006E-2"/>
    <n v="2.9999999999999997E-4"/>
    <n v="2"/>
    <s v="not outlier"/>
    <s v="not outlier"/>
    <s v="not outlier"/>
    <s v="not outlier"/>
  </r>
  <r>
    <x v="1"/>
    <x v="0"/>
    <x v="1"/>
    <x v="18"/>
    <x v="5"/>
    <n v="0.15160000000000001"/>
    <n v="25.916124"/>
    <n v="2.8799999999999999E-2"/>
    <n v="64"/>
    <s v="not outlier"/>
    <s v="not outlier"/>
    <s v="not outlier"/>
    <s v="not outlier"/>
  </r>
  <r>
    <x v="1"/>
    <x v="0"/>
    <x v="1"/>
    <x v="18"/>
    <x v="1"/>
    <n v="6.9999999999999999E-4"/>
    <n v="6.9621000000000016E-2"/>
    <n v="2.9999999999999997E-4"/>
    <n v="2"/>
    <s v="not outlier"/>
    <s v="not outlier"/>
    <s v="not outlier"/>
    <s v="not outlier"/>
  </r>
  <r>
    <x v="1"/>
    <x v="1"/>
    <x v="1"/>
    <x v="18"/>
    <x v="5"/>
    <n v="0.19489999999999999"/>
    <n v="33.214697999999999"/>
    <n v="3.6999999999999998E-2"/>
    <n v="74"/>
    <s v="not outlier"/>
    <s v="not outlier"/>
    <s v="not outlier"/>
    <s v="not outlier"/>
  </r>
  <r>
    <x v="1"/>
    <x v="1"/>
    <x v="1"/>
    <x v="18"/>
    <x v="1"/>
    <n v="6.9999999999999999E-4"/>
    <n v="8.6132E-2"/>
    <n v="2.9999999999999997E-4"/>
    <n v="2"/>
    <s v="not outlier"/>
    <s v="not outlier"/>
    <s v="not outlier"/>
    <s v="not outlier"/>
  </r>
  <r>
    <x v="1"/>
    <x v="2"/>
    <x v="1"/>
    <x v="19"/>
    <x v="2"/>
    <n v="0.34489999999999998"/>
    <n v="72.269302999999994"/>
    <n v="0.13789999999999999"/>
    <n v="167"/>
    <s v="not outlier"/>
    <s v="not outlier"/>
    <s v="not outlier"/>
    <s v="not outlier"/>
  </r>
  <r>
    <x v="1"/>
    <x v="3"/>
    <x v="1"/>
    <x v="19"/>
    <x v="2"/>
    <n v="0.37630000000000002"/>
    <n v="59.318733999999999"/>
    <n v="0.15049999999999999"/>
    <n v="165"/>
    <s v="not outlier"/>
    <s v="not outlier"/>
    <s v="not outlier"/>
    <s v="not outlier"/>
  </r>
  <r>
    <x v="1"/>
    <x v="5"/>
    <x v="1"/>
    <x v="19"/>
    <x v="2"/>
    <n v="0.25459999999999999"/>
    <n v="45.806486"/>
    <n v="0.1018"/>
    <n v="154"/>
    <s v="not outlier"/>
    <s v="not outlier"/>
    <s v="not outlier"/>
    <s v="not outlier"/>
  </r>
  <r>
    <x v="1"/>
    <x v="6"/>
    <x v="1"/>
    <x v="19"/>
    <x v="2"/>
    <n v="1.0680000000000001"/>
    <n v="168.19323"/>
    <n v="0.42720000000000002"/>
    <n v="207"/>
    <s v="not outlier"/>
    <s v="not outlier"/>
    <s v="not outlier"/>
    <s v="not outlier"/>
  </r>
  <r>
    <x v="1"/>
    <x v="7"/>
    <x v="1"/>
    <x v="19"/>
    <x v="2"/>
    <n v="0.68220000000000003"/>
    <n v="88.235472999999999"/>
    <n v="0.27289999999999998"/>
    <n v="175"/>
    <s v="not outlier"/>
    <s v="not outlier"/>
    <s v="not outlier"/>
    <s v="not outlier"/>
  </r>
  <r>
    <x v="1"/>
    <x v="1"/>
    <x v="1"/>
    <x v="19"/>
    <x v="2"/>
    <n v="0.1827"/>
    <n v="36.021500000000003"/>
    <n v="7.3099999999999998E-2"/>
    <n v="118"/>
    <s v="not outlier"/>
    <s v="not outlier"/>
    <s v="not outlier"/>
    <s v="not outlier"/>
  </r>
  <r>
    <x v="1"/>
    <x v="2"/>
    <x v="1"/>
    <x v="20"/>
    <x v="1"/>
    <n v="0.93799999999999994"/>
    <n v="144.05152200000001"/>
    <n v="0.34699999999999998"/>
    <n v="93"/>
    <s v="not outlier"/>
    <s v="not outlier"/>
    <s v="not outlier"/>
    <s v="not outlier"/>
  </r>
  <r>
    <x v="1"/>
    <x v="2"/>
    <x v="2"/>
    <x v="20"/>
    <x v="1"/>
    <n v="0.90920000000000001"/>
    <n v="139.27635799999999"/>
    <n v="0.33639999999999998"/>
    <n v="390"/>
    <s v="not outlier"/>
    <s v="not outlier"/>
    <s v="not outlier"/>
    <s v="not outlier"/>
  </r>
  <r>
    <x v="1"/>
    <x v="2"/>
    <x v="0"/>
    <x v="20"/>
    <x v="1"/>
    <n v="2.1642000000000001"/>
    <n v="341.34502600000002"/>
    <n v="0.80079999999999996"/>
    <n v="289"/>
    <s v="not outlier"/>
    <s v="not outlier"/>
    <s v="not outlier"/>
    <s v="not outlier"/>
  </r>
  <r>
    <x v="1"/>
    <x v="3"/>
    <x v="1"/>
    <x v="20"/>
    <x v="1"/>
    <n v="0.99070000000000003"/>
    <n v="147.66493800000001"/>
    <n v="0.36659999999999998"/>
    <n v="77"/>
    <s v="not outlier"/>
    <s v="not outlier"/>
    <s v="not outlier"/>
    <s v="not outlier"/>
  </r>
  <r>
    <x v="1"/>
    <x v="3"/>
    <x v="2"/>
    <x v="20"/>
    <x v="1"/>
    <n v="0.5252"/>
    <n v="82.262953999999993"/>
    <n v="0.1943"/>
    <n v="279"/>
    <s v="not outlier"/>
    <s v="not outlier"/>
    <s v="not outlier"/>
    <s v="not outlier"/>
  </r>
  <r>
    <x v="1"/>
    <x v="3"/>
    <x v="0"/>
    <x v="20"/>
    <x v="1"/>
    <n v="1.403"/>
    <n v="229.58150900000001"/>
    <n v="0.51900000000000002"/>
    <n v="266"/>
    <s v="not outlier"/>
    <s v="not outlier"/>
    <s v="not outlier"/>
    <s v="not outlier"/>
  </r>
  <r>
    <x v="1"/>
    <x v="4"/>
    <x v="1"/>
    <x v="20"/>
    <x v="1"/>
    <n v="0.78520000000000001"/>
    <n v="112.194176"/>
    <n v="0.29049999999999998"/>
    <n v="73"/>
    <s v="not outlier"/>
    <s v="not outlier"/>
    <s v="not outlier"/>
    <s v="not outlier"/>
  </r>
  <r>
    <x v="1"/>
    <x v="4"/>
    <x v="2"/>
    <x v="20"/>
    <x v="1"/>
    <n v="1.2914000000000001"/>
    <n v="193.42116300000001"/>
    <n v="0.4778"/>
    <n v="475"/>
    <s v="not outlier"/>
    <s v="not outlier"/>
    <s v="not outlier"/>
    <s v="not outlier"/>
  </r>
  <r>
    <x v="1"/>
    <x v="4"/>
    <x v="0"/>
    <x v="20"/>
    <x v="1"/>
    <n v="2.7406000000000001"/>
    <n v="481.704229"/>
    <n v="1.014"/>
    <n v="353"/>
    <s v="not outlier"/>
    <s v="not outlier"/>
    <s v="not outlier"/>
    <s v="not outlier"/>
  </r>
  <r>
    <x v="1"/>
    <x v="5"/>
    <x v="1"/>
    <x v="20"/>
    <x v="1"/>
    <n v="0.65339999999999998"/>
    <n v="91.436464000000001"/>
    <n v="0.24179999999999999"/>
    <n v="60"/>
    <s v="not outlier"/>
    <s v="not outlier"/>
    <s v="not outlier"/>
    <s v="not outlier"/>
  </r>
  <r>
    <x v="1"/>
    <x v="5"/>
    <x v="2"/>
    <x v="20"/>
    <x v="1"/>
    <n v="0.67720000000000002"/>
    <n v="112.223814"/>
    <n v="0.25059999999999999"/>
    <n v="223"/>
    <s v="not outlier"/>
    <s v="not outlier"/>
    <s v="not outlier"/>
    <s v="not outlier"/>
  </r>
  <r>
    <x v="1"/>
    <x v="5"/>
    <x v="0"/>
    <x v="20"/>
    <x v="1"/>
    <n v="1.5242"/>
    <n v="283.17352"/>
    <n v="0.56389999999999996"/>
    <n v="201"/>
    <s v="not outlier"/>
    <s v="not outlier"/>
    <s v="not outlier"/>
    <s v="not outlier"/>
  </r>
  <r>
    <x v="1"/>
    <x v="6"/>
    <x v="1"/>
    <x v="20"/>
    <x v="1"/>
    <n v="0.42920000000000003"/>
    <n v="74.998660000000001"/>
    <n v="0.15870000000000001"/>
    <n v="46"/>
    <s v="not outlier"/>
    <s v="not outlier"/>
    <s v="not outlier"/>
    <s v="not outlier"/>
  </r>
  <r>
    <x v="1"/>
    <x v="6"/>
    <x v="2"/>
    <x v="20"/>
    <x v="1"/>
    <n v="0.67059999999999997"/>
    <n v="111.212183"/>
    <n v="0.24809999999999999"/>
    <n v="270"/>
    <s v="not outlier"/>
    <s v="not outlier"/>
    <s v="not outlier"/>
    <s v="not outlier"/>
  </r>
  <r>
    <x v="1"/>
    <x v="6"/>
    <x v="0"/>
    <x v="20"/>
    <x v="1"/>
    <n v="1.6667000000000001"/>
    <n v="316.39511399999998"/>
    <n v="0.61660000000000004"/>
    <n v="287"/>
    <s v="not outlier"/>
    <s v="not outlier"/>
    <s v="not outlier"/>
    <s v="not outlier"/>
  </r>
  <r>
    <x v="1"/>
    <x v="7"/>
    <x v="1"/>
    <x v="20"/>
    <x v="1"/>
    <n v="0.5625"/>
    <n v="97.748138999999995"/>
    <n v="0.20810000000000001"/>
    <n v="0"/>
    <s v="not outlier"/>
    <s v="not outlier"/>
    <s v="not outlier"/>
    <s v="not outlier"/>
  </r>
  <r>
    <x v="1"/>
    <x v="7"/>
    <x v="2"/>
    <x v="20"/>
    <x v="1"/>
    <n v="0.57640000000000002"/>
    <n v="94.428791000000004"/>
    <n v="0.21329999999999999"/>
    <n v="265"/>
    <s v="not outlier"/>
    <s v="not outlier"/>
    <s v="not outlier"/>
    <s v="not outlier"/>
  </r>
  <r>
    <x v="1"/>
    <x v="7"/>
    <x v="0"/>
    <x v="20"/>
    <x v="1"/>
    <n v="1.6137999999999999"/>
    <n v="318.983902"/>
    <n v="0.59709999999999996"/>
    <n v="176"/>
    <s v="not outlier"/>
    <s v="not outlier"/>
    <s v="not outlier"/>
    <s v="not outlier"/>
  </r>
  <r>
    <x v="1"/>
    <x v="8"/>
    <x v="1"/>
    <x v="20"/>
    <x v="1"/>
    <n v="0.72399999999999998"/>
    <n v="94.276286999999996"/>
    <n v="0.26790000000000003"/>
    <n v="0"/>
    <s v="not outlier"/>
    <s v="not outlier"/>
    <s v="not outlier"/>
    <s v="not outlier"/>
  </r>
  <r>
    <x v="1"/>
    <x v="8"/>
    <x v="2"/>
    <x v="20"/>
    <x v="1"/>
    <n v="0.7097"/>
    <n v="124.258366"/>
    <n v="0.2626"/>
    <n v="210"/>
    <s v="not outlier"/>
    <s v="not outlier"/>
    <s v="not outlier"/>
    <s v="not outlier"/>
  </r>
  <r>
    <x v="1"/>
    <x v="8"/>
    <x v="0"/>
    <x v="20"/>
    <x v="1"/>
    <n v="1.1897"/>
    <n v="225.06434100000001"/>
    <n v="0.44019999999999998"/>
    <n v="0"/>
    <s v="not outlier"/>
    <s v="not outlier"/>
    <s v="not outlier"/>
    <s v="not outlier"/>
  </r>
  <r>
    <x v="1"/>
    <x v="9"/>
    <x v="1"/>
    <x v="20"/>
    <x v="1"/>
    <n v="0.31929999999999997"/>
    <n v="48.341631999999997"/>
    <n v="0.1182"/>
    <n v="33"/>
    <s v="not outlier"/>
    <s v="not outlier"/>
    <s v="not outlier"/>
    <s v="not outlier"/>
  </r>
  <r>
    <x v="1"/>
    <x v="9"/>
    <x v="0"/>
    <x v="20"/>
    <x v="1"/>
    <n v="1.3411999999999999"/>
    <n v="264.76622600000002"/>
    <n v="0.49619999999999997"/>
    <n v="0"/>
    <s v="not outlier"/>
    <s v="not outlier"/>
    <s v="not outlier"/>
    <s v="not outlier"/>
  </r>
  <r>
    <x v="1"/>
    <x v="10"/>
    <x v="1"/>
    <x v="20"/>
    <x v="1"/>
    <n v="0.28839999999999999"/>
    <n v="45.792495000000002"/>
    <n v="0.1067"/>
    <n v="36"/>
    <s v="not outlier"/>
    <s v="not outlier"/>
    <s v="not outlier"/>
    <s v="not outlier"/>
  </r>
  <r>
    <x v="1"/>
    <x v="10"/>
    <x v="0"/>
    <x v="20"/>
    <x v="1"/>
    <n v="1.9244000000000001"/>
    <n v="381.29071900000002"/>
    <n v="0.71199999999999997"/>
    <n v="0"/>
    <s v="not outlier"/>
    <s v="not outlier"/>
    <s v="not outlier"/>
    <s v="not outlier"/>
  </r>
  <r>
    <x v="1"/>
    <x v="11"/>
    <x v="1"/>
    <x v="20"/>
    <x v="1"/>
    <n v="0.25650000000000001"/>
    <n v="46.124091999999997"/>
    <n v="9.4899999999999998E-2"/>
    <n v="36"/>
    <s v="not outlier"/>
    <s v="not outlier"/>
    <s v="not outlier"/>
    <s v="not outlier"/>
  </r>
  <r>
    <x v="1"/>
    <x v="11"/>
    <x v="0"/>
    <x v="20"/>
    <x v="1"/>
    <n v="2.1044"/>
    <n v="449.28334699999999"/>
    <n v="0.77859999999999996"/>
    <n v="0"/>
    <s v="not outlier"/>
    <s v="not outlier"/>
    <s v="not outlier"/>
    <s v="not outlier"/>
  </r>
  <r>
    <x v="1"/>
    <x v="0"/>
    <x v="1"/>
    <x v="20"/>
    <x v="1"/>
    <n v="0.37459999999999999"/>
    <n v="70.102818999999997"/>
    <n v="0.1386"/>
    <n v="33"/>
    <s v="not outlier"/>
    <s v="not outlier"/>
    <s v="not outlier"/>
    <s v="not outlier"/>
  </r>
  <r>
    <x v="1"/>
    <x v="0"/>
    <x v="2"/>
    <x v="20"/>
    <x v="1"/>
    <n v="0.52100000000000002"/>
    <n v="103.76481800000001"/>
    <n v="0.1928"/>
    <n v="0"/>
    <s v="not outlier"/>
    <s v="not outlier"/>
    <s v="not outlier"/>
    <s v="not outlier"/>
  </r>
  <r>
    <x v="1"/>
    <x v="0"/>
    <x v="0"/>
    <x v="20"/>
    <x v="1"/>
    <n v="1.827"/>
    <n v="378.37265500000001"/>
    <n v="0.67600000000000005"/>
    <n v="0"/>
    <s v="not outlier"/>
    <s v="not outlier"/>
    <s v="not outlier"/>
    <s v="not outlier"/>
  </r>
  <r>
    <x v="1"/>
    <x v="1"/>
    <x v="1"/>
    <x v="20"/>
    <x v="1"/>
    <n v="0.75990000000000002"/>
    <n v="127.89406"/>
    <n v="0.28120000000000001"/>
    <n v="35"/>
    <s v="not outlier"/>
    <s v="not outlier"/>
    <s v="not outlier"/>
    <s v="not outlier"/>
  </r>
  <r>
    <x v="1"/>
    <x v="1"/>
    <x v="2"/>
    <x v="20"/>
    <x v="1"/>
    <n v="0.66469999999999996"/>
    <n v="133.35575700000001"/>
    <n v="0.24590000000000001"/>
    <n v="0"/>
    <s v="not outlier"/>
    <s v="not outlier"/>
    <s v="not outlier"/>
    <s v="not outlier"/>
  </r>
  <r>
    <x v="1"/>
    <x v="1"/>
    <x v="0"/>
    <x v="20"/>
    <x v="1"/>
    <n v="1.341"/>
    <n v="266.45908700000001"/>
    <n v="0.49619999999999997"/>
    <n v="0"/>
    <s v="not outlier"/>
    <s v="not outlier"/>
    <s v="not outlier"/>
    <s v="not outlier"/>
  </r>
  <r>
    <x v="1"/>
    <x v="5"/>
    <x v="2"/>
    <x v="32"/>
    <x v="1"/>
    <n v="0.96150000000000002"/>
    <n v="73.015910000000005"/>
    <n v="0.37019999999999997"/>
    <n v="1065"/>
    <s v="not outlier"/>
    <s v="not outlier"/>
    <s v="not outlier"/>
    <s v="not outlier"/>
  </r>
  <r>
    <x v="1"/>
    <x v="6"/>
    <x v="2"/>
    <x v="32"/>
    <x v="1"/>
    <n v="9.2888000000000002"/>
    <n v="616.157152"/>
    <n v="3.5762"/>
    <n v="2250"/>
    <s v="not outlier"/>
    <s v="not outlier"/>
    <s v="not outlier"/>
    <s v="not outlier"/>
  </r>
  <r>
    <x v="1"/>
    <x v="6"/>
    <x v="2"/>
    <x v="32"/>
    <x v="2"/>
    <n v="8.9300000000000004E-2"/>
    <n v="8.5145610000000005"/>
    <n v="4.3799999999999999E-2"/>
    <n v="138"/>
    <s v="not outlier"/>
    <s v="not outlier"/>
    <s v="not outlier"/>
    <s v="not outlier"/>
  </r>
  <r>
    <x v="1"/>
    <x v="6"/>
    <x v="0"/>
    <x v="32"/>
    <x v="1"/>
    <n v="34.928600000000003"/>
    <n v="2329.209672"/>
    <n v="13.4475"/>
    <n v="7585"/>
    <s v="outlier"/>
    <s v="outlier"/>
    <s v="outlier"/>
    <s v="outlier"/>
  </r>
  <r>
    <x v="1"/>
    <x v="6"/>
    <x v="0"/>
    <x v="32"/>
    <x v="2"/>
    <n v="4.3999999999999997E-2"/>
    <n v="4.9994110000000003"/>
    <n v="2.1499999999999998E-2"/>
    <n v="72"/>
    <s v="not outlier"/>
    <s v="not outlier"/>
    <s v="not outlier"/>
    <s v="not outlier"/>
  </r>
  <r>
    <x v="1"/>
    <x v="7"/>
    <x v="1"/>
    <x v="32"/>
    <x v="1"/>
    <n v="0.12709999999999999"/>
    <n v="9.6023119999999995"/>
    <n v="4.8899999999999999E-2"/>
    <n v="18"/>
    <s v="not outlier"/>
    <s v="not outlier"/>
    <s v="not outlier"/>
    <s v="not outlier"/>
  </r>
  <r>
    <x v="1"/>
    <x v="7"/>
    <x v="1"/>
    <x v="32"/>
    <x v="2"/>
    <n v="0.66779999999999995"/>
    <n v="49.925815999999998"/>
    <n v="0.32719999999999999"/>
    <n v="108"/>
    <s v="not outlier"/>
    <s v="not outlier"/>
    <s v="not outlier"/>
    <s v="not outlier"/>
  </r>
  <r>
    <x v="1"/>
    <x v="7"/>
    <x v="2"/>
    <x v="32"/>
    <x v="1"/>
    <n v="5.6432000000000002"/>
    <n v="371.37457999999998"/>
    <n v="2.1726999999999999"/>
    <n v="2335"/>
    <s v="not outlier"/>
    <s v="not outlier"/>
    <s v="not outlier"/>
    <s v="not outlier"/>
  </r>
  <r>
    <x v="1"/>
    <x v="7"/>
    <x v="2"/>
    <x v="32"/>
    <x v="2"/>
    <n v="5.2977999999999996"/>
    <n v="395.90145899999999"/>
    <n v="2.5958999999999999"/>
    <n v="2479"/>
    <s v="not outlier"/>
    <s v="not outlier"/>
    <s v="not outlier"/>
    <s v="not outlier"/>
  </r>
  <r>
    <x v="1"/>
    <x v="7"/>
    <x v="0"/>
    <x v="32"/>
    <x v="1"/>
    <n v="20.603200000000001"/>
    <n v="1369.1364100000001"/>
    <n v="7.9321999999999999"/>
    <n v="7311"/>
    <s v="not outlier"/>
    <s v="not outlier"/>
    <s v="outlier"/>
    <s v="outlier"/>
  </r>
  <r>
    <x v="1"/>
    <x v="7"/>
    <x v="0"/>
    <x v="32"/>
    <x v="2"/>
    <n v="11.262"/>
    <n v="844.10972000000004"/>
    <n v="5.5183999999999997"/>
    <n v="4054"/>
    <s v="not outlier"/>
    <s v="not outlier"/>
    <s v="not outlier"/>
    <s v="outlier"/>
  </r>
  <r>
    <x v="1"/>
    <x v="8"/>
    <x v="1"/>
    <x v="32"/>
    <x v="1"/>
    <n v="0.24929999999999999"/>
    <n v="18.507283000000001"/>
    <n v="9.6000000000000002E-2"/>
    <n v="37"/>
    <s v="not outlier"/>
    <s v="not outlier"/>
    <s v="not outlier"/>
    <s v="not outlier"/>
  </r>
  <r>
    <x v="1"/>
    <x v="8"/>
    <x v="1"/>
    <x v="32"/>
    <x v="2"/>
    <n v="1.0944"/>
    <n v="66.562140999999997"/>
    <n v="0.53620000000000001"/>
    <n v="109"/>
    <s v="not outlier"/>
    <s v="not outlier"/>
    <s v="not outlier"/>
    <s v="not outlier"/>
  </r>
  <r>
    <x v="1"/>
    <x v="8"/>
    <x v="2"/>
    <x v="32"/>
    <x v="1"/>
    <n v="3.1949000000000001"/>
    <n v="253.928765"/>
    <n v="1.23"/>
    <n v="1785"/>
    <s v="not outlier"/>
    <s v="not outlier"/>
    <s v="not outlier"/>
    <s v="not outlier"/>
  </r>
  <r>
    <x v="1"/>
    <x v="8"/>
    <x v="2"/>
    <x v="32"/>
    <x v="2"/>
    <n v="11.364699999999999"/>
    <n v="777.13694499999997"/>
    <n v="5.5686"/>
    <n v="3381"/>
    <s v="not outlier"/>
    <s v="not outlier"/>
    <s v="not outlier"/>
    <s v="outlier"/>
  </r>
  <r>
    <x v="1"/>
    <x v="8"/>
    <x v="0"/>
    <x v="32"/>
    <x v="1"/>
    <n v="10.131600000000001"/>
    <n v="816.48217"/>
    <n v="3.9007000000000001"/>
    <n v="5403"/>
    <s v="not outlier"/>
    <s v="not outlier"/>
    <s v="not outlier"/>
    <s v="outlier"/>
  </r>
  <r>
    <x v="1"/>
    <x v="8"/>
    <x v="0"/>
    <x v="32"/>
    <x v="2"/>
    <n v="19.1341"/>
    <n v="1313.90949"/>
    <n v="9.3757000000000001"/>
    <n v="5075"/>
    <s v="not outlier"/>
    <s v="not outlier"/>
    <s v="outlier"/>
    <s v="outlier"/>
  </r>
  <r>
    <x v="1"/>
    <x v="9"/>
    <x v="1"/>
    <x v="32"/>
    <x v="1"/>
    <n v="0.2014"/>
    <n v="14.455451999999999"/>
    <n v="7.7499999999999999E-2"/>
    <n v="32"/>
    <s v="not outlier"/>
    <s v="not outlier"/>
    <s v="not outlier"/>
    <s v="not outlier"/>
  </r>
  <r>
    <x v="1"/>
    <x v="9"/>
    <x v="1"/>
    <x v="32"/>
    <x v="2"/>
    <n v="0.40289999999999998"/>
    <n v="20.786090000000002"/>
    <n v="0.19750000000000001"/>
    <n v="48"/>
    <s v="not outlier"/>
    <s v="not outlier"/>
    <s v="not outlier"/>
    <s v="not outlier"/>
  </r>
  <r>
    <x v="1"/>
    <x v="9"/>
    <x v="2"/>
    <x v="32"/>
    <x v="1"/>
    <n v="4.3242000000000003"/>
    <n v="270.11420900000002"/>
    <n v="1.6648000000000001"/>
    <n v="1760"/>
    <s v="not outlier"/>
    <s v="not outlier"/>
    <s v="not outlier"/>
    <s v="not outlier"/>
  </r>
  <r>
    <x v="1"/>
    <x v="9"/>
    <x v="2"/>
    <x v="32"/>
    <x v="2"/>
    <n v="9.6874000000000002"/>
    <n v="621.28009199999997"/>
    <n v="4.7468000000000004"/>
    <n v="3253"/>
    <s v="not outlier"/>
    <s v="not outlier"/>
    <s v="not outlier"/>
    <s v="outlier"/>
  </r>
  <r>
    <x v="1"/>
    <x v="9"/>
    <x v="0"/>
    <x v="32"/>
    <x v="1"/>
    <n v="12.6958"/>
    <n v="809.17729599999996"/>
    <n v="4.8879000000000001"/>
    <n v="5067"/>
    <s v="not outlier"/>
    <s v="not outlier"/>
    <s v="not outlier"/>
    <s v="outlier"/>
  </r>
  <r>
    <x v="1"/>
    <x v="9"/>
    <x v="0"/>
    <x v="32"/>
    <x v="2"/>
    <n v="14.986800000000001"/>
    <n v="949.28049099999998"/>
    <n v="7.3434999999999997"/>
    <n v="4648"/>
    <s v="not outlier"/>
    <s v="not outlier"/>
    <s v="not outlier"/>
    <s v="outlier"/>
  </r>
  <r>
    <x v="1"/>
    <x v="10"/>
    <x v="2"/>
    <x v="32"/>
    <x v="1"/>
    <n v="2.4123000000000001"/>
    <n v="171.65500299999999"/>
    <n v="0.92869999999999997"/>
    <n v="1468"/>
    <s v="not outlier"/>
    <s v="not outlier"/>
    <s v="not outlier"/>
    <s v="not outlier"/>
  </r>
  <r>
    <x v="1"/>
    <x v="10"/>
    <x v="2"/>
    <x v="32"/>
    <x v="2"/>
    <n v="5.2130000000000001"/>
    <n v="342.31342599999999"/>
    <n v="2.5543999999999998"/>
    <n v="2666"/>
    <s v="not outlier"/>
    <s v="not outlier"/>
    <s v="not outlier"/>
    <s v="not outlier"/>
  </r>
  <r>
    <x v="1"/>
    <x v="10"/>
    <x v="0"/>
    <x v="32"/>
    <x v="1"/>
    <n v="6.0693999999999999"/>
    <n v="471.93084700000003"/>
    <n v="2.3367"/>
    <n v="4266"/>
    <s v="not outlier"/>
    <s v="not outlier"/>
    <s v="not outlier"/>
    <s v="outlier"/>
  </r>
  <r>
    <x v="1"/>
    <x v="10"/>
    <x v="0"/>
    <x v="32"/>
    <x v="2"/>
    <n v="7.0548999999999999"/>
    <n v="458.48649599999999"/>
    <n v="3.4569000000000001"/>
    <n v="3606"/>
    <s v="not outlier"/>
    <s v="not outlier"/>
    <s v="not outlier"/>
    <s v="outlier"/>
  </r>
  <r>
    <x v="1"/>
    <x v="11"/>
    <x v="2"/>
    <x v="32"/>
    <x v="1"/>
    <n v="2.415"/>
    <n v="163.86748800000001"/>
    <n v="0.92969999999999997"/>
    <n v="1028"/>
    <s v="not outlier"/>
    <s v="not outlier"/>
    <s v="not outlier"/>
    <s v="not outlier"/>
  </r>
  <r>
    <x v="1"/>
    <x v="11"/>
    <x v="2"/>
    <x v="32"/>
    <x v="2"/>
    <n v="2.2058"/>
    <n v="155.75825599999999"/>
    <n v="1.0809"/>
    <n v="1367"/>
    <s v="not outlier"/>
    <s v="not outlier"/>
    <s v="not outlier"/>
    <s v="not outlier"/>
  </r>
  <r>
    <x v="1"/>
    <x v="11"/>
    <x v="0"/>
    <x v="32"/>
    <x v="1"/>
    <n v="8.6252999999999993"/>
    <n v="595.80271500000003"/>
    <n v="3.3207"/>
    <n v="2973"/>
    <s v="not outlier"/>
    <s v="not outlier"/>
    <s v="not outlier"/>
    <s v="outlier"/>
  </r>
  <r>
    <x v="1"/>
    <x v="11"/>
    <x v="0"/>
    <x v="32"/>
    <x v="2"/>
    <n v="3.7985000000000002"/>
    <n v="275.08570500000002"/>
    <n v="1.8613"/>
    <n v="1927"/>
    <s v="not outlier"/>
    <s v="not outlier"/>
    <s v="not outlier"/>
    <s v="not outlier"/>
  </r>
  <r>
    <x v="1"/>
    <x v="0"/>
    <x v="2"/>
    <x v="32"/>
    <x v="1"/>
    <n v="2.6768000000000001"/>
    <n v="167.30194399999999"/>
    <n v="1.0306"/>
    <n v="788"/>
    <s v="not outlier"/>
    <s v="not outlier"/>
    <s v="not outlier"/>
    <s v="not outlier"/>
  </r>
  <r>
    <x v="1"/>
    <x v="0"/>
    <x v="2"/>
    <x v="32"/>
    <x v="2"/>
    <n v="1.2911999999999999"/>
    <n v="91.374932000000001"/>
    <n v="0.63270000000000004"/>
    <n v="1002"/>
    <s v="not outlier"/>
    <s v="not outlier"/>
    <s v="not outlier"/>
    <s v="not outlier"/>
  </r>
  <r>
    <x v="1"/>
    <x v="0"/>
    <x v="0"/>
    <x v="32"/>
    <x v="1"/>
    <n v="8.0768000000000004"/>
    <n v="479.585418"/>
    <n v="3.1095999999999999"/>
    <n v="2321"/>
    <s v="not outlier"/>
    <s v="not outlier"/>
    <s v="not outlier"/>
    <s v="not outlier"/>
  </r>
  <r>
    <x v="1"/>
    <x v="0"/>
    <x v="0"/>
    <x v="32"/>
    <x v="2"/>
    <n v="1.7141"/>
    <n v="119.78602100000001"/>
    <n v="0.83989999999999998"/>
    <n v="1202"/>
    <s v="not outlier"/>
    <s v="not outlier"/>
    <s v="not outlier"/>
    <s v="not outlier"/>
  </r>
  <r>
    <x v="1"/>
    <x v="1"/>
    <x v="2"/>
    <x v="32"/>
    <x v="1"/>
    <n v="2.3610000000000002"/>
    <n v="171.533862"/>
    <n v="0.90900000000000003"/>
    <n v="785"/>
    <s v="not outlier"/>
    <s v="not outlier"/>
    <s v="not outlier"/>
    <s v="not outlier"/>
  </r>
  <r>
    <x v="1"/>
    <x v="1"/>
    <x v="2"/>
    <x v="32"/>
    <x v="2"/>
    <n v="0.69650000000000001"/>
    <n v="55.380153"/>
    <n v="0.34129999999999999"/>
    <n v="408"/>
    <s v="not outlier"/>
    <s v="not outlier"/>
    <s v="not outlier"/>
    <s v="not outlier"/>
  </r>
  <r>
    <x v="1"/>
    <x v="1"/>
    <x v="0"/>
    <x v="32"/>
    <x v="1"/>
    <n v="3.5261999999999998"/>
    <n v="303.53724"/>
    <n v="1.3575999999999999"/>
    <n v="1857"/>
    <s v="not outlier"/>
    <s v="not outlier"/>
    <s v="not outlier"/>
    <s v="not outlier"/>
  </r>
  <r>
    <x v="1"/>
    <x v="1"/>
    <x v="0"/>
    <x v="32"/>
    <x v="2"/>
    <n v="0.58360000000000001"/>
    <n v="45.059480999999998"/>
    <n v="0.28599999999999998"/>
    <n v="483"/>
    <s v="not outlier"/>
    <s v="not outlier"/>
    <s v="not outlier"/>
    <s v="not outlier"/>
  </r>
  <r>
    <x v="1"/>
    <x v="10"/>
    <x v="1"/>
    <x v="22"/>
    <x v="2"/>
    <n v="0.1928"/>
    <n v="34.859684999999999"/>
    <n v="9.64E-2"/>
    <n v="0"/>
    <s v="not outlier"/>
    <s v="not outlier"/>
    <s v="not outlier"/>
    <s v="not outlier"/>
  </r>
  <r>
    <x v="1"/>
    <x v="11"/>
    <x v="1"/>
    <x v="22"/>
    <x v="2"/>
    <n v="0.17879999999999999"/>
    <n v="30.823634999999999"/>
    <n v="8.9399999999999993E-2"/>
    <n v="0"/>
    <s v="not outlier"/>
    <s v="not outlier"/>
    <s v="not outlier"/>
    <s v="not outlier"/>
  </r>
  <r>
    <x v="1"/>
    <x v="10"/>
    <x v="2"/>
    <x v="33"/>
    <x v="1"/>
    <n v="1.7236"/>
    <n v="68.770531000000005"/>
    <n v="0.60329999999999995"/>
    <n v="188"/>
    <s v="not outlier"/>
    <s v="not outlier"/>
    <s v="not outlier"/>
    <s v="not outlier"/>
  </r>
  <r>
    <x v="1"/>
    <x v="1"/>
    <x v="2"/>
    <x v="33"/>
    <x v="1"/>
    <n v="2.4750999999999999"/>
    <n v="121.583181"/>
    <n v="0.86629999999999996"/>
    <n v="429"/>
    <s v="not outlier"/>
    <s v="not outlier"/>
    <s v="not outlier"/>
    <s v="not outlier"/>
  </r>
  <r>
    <x v="1"/>
    <x v="4"/>
    <x v="2"/>
    <x v="24"/>
    <x v="3"/>
    <n v="0.25309999999999999"/>
    <n v="50.093305000000001"/>
    <n v="8.1000000000000003E-2"/>
    <n v="0"/>
    <s v="not outlier"/>
    <s v="not outlier"/>
    <s v="not outlier"/>
    <s v="not outlier"/>
  </r>
  <r>
    <x v="1"/>
    <x v="2"/>
    <x v="2"/>
    <x v="25"/>
    <x v="5"/>
    <n v="2.0299999999999999E-2"/>
    <n v="3.688142"/>
    <n v="3.5999999999999999E-3"/>
    <n v="0"/>
    <s v="not outlier"/>
    <s v="not outlier"/>
    <s v="not outlier"/>
    <s v="not outlier"/>
  </r>
  <r>
    <x v="1"/>
    <x v="2"/>
    <x v="2"/>
    <x v="25"/>
    <x v="1"/>
    <n v="0.2341"/>
    <n v="52.410370999999998"/>
    <n v="8.2000000000000003E-2"/>
    <n v="0"/>
    <s v="not outlier"/>
    <s v="not outlier"/>
    <s v="not outlier"/>
    <s v="not outlier"/>
  </r>
  <r>
    <x v="1"/>
    <x v="2"/>
    <x v="0"/>
    <x v="25"/>
    <x v="5"/>
    <n v="0.32469999999999999"/>
    <n v="59.056691999999998"/>
    <n v="5.8500000000000003E-2"/>
    <n v="75"/>
    <s v="not outlier"/>
    <s v="not outlier"/>
    <s v="not outlier"/>
    <s v="not outlier"/>
  </r>
  <r>
    <x v="1"/>
    <x v="2"/>
    <x v="0"/>
    <x v="25"/>
    <x v="1"/>
    <n v="1.147"/>
    <n v="246.98121499999999"/>
    <n v="0.40150000000000002"/>
    <n v="88"/>
    <s v="not outlier"/>
    <s v="not outlier"/>
    <s v="not outlier"/>
    <s v="not outlier"/>
  </r>
  <r>
    <x v="1"/>
    <x v="3"/>
    <x v="2"/>
    <x v="25"/>
    <x v="5"/>
    <n v="2.35E-2"/>
    <n v="4.2909309999999996"/>
    <n v="4.1999999999999997E-3"/>
    <n v="0"/>
    <s v="not outlier"/>
    <s v="not outlier"/>
    <s v="not outlier"/>
    <s v="not outlier"/>
  </r>
  <r>
    <x v="1"/>
    <x v="3"/>
    <x v="2"/>
    <x v="25"/>
    <x v="1"/>
    <n v="0.2102"/>
    <n v="48.938783999999998"/>
    <n v="7.3499999999999996E-2"/>
    <n v="0"/>
    <s v="not outlier"/>
    <s v="not outlier"/>
    <s v="not outlier"/>
    <s v="not outlier"/>
  </r>
  <r>
    <x v="1"/>
    <x v="3"/>
    <x v="0"/>
    <x v="25"/>
    <x v="5"/>
    <n v="0.2964"/>
    <n v="53.936470999999997"/>
    <n v="5.33E-2"/>
    <n v="78"/>
    <s v="not outlier"/>
    <s v="not outlier"/>
    <s v="not outlier"/>
    <s v="not outlier"/>
  </r>
  <r>
    <x v="1"/>
    <x v="3"/>
    <x v="0"/>
    <x v="25"/>
    <x v="1"/>
    <n v="0.83420000000000005"/>
    <n v="187.833551"/>
    <n v="0.29199999999999998"/>
    <n v="88"/>
    <s v="not outlier"/>
    <s v="not outlier"/>
    <s v="not outlier"/>
    <s v="not outlier"/>
  </r>
  <r>
    <x v="1"/>
    <x v="4"/>
    <x v="2"/>
    <x v="25"/>
    <x v="5"/>
    <n v="3.7999999999999999E-2"/>
    <n v="6.9116780000000002"/>
    <n v="6.7999999999999996E-3"/>
    <n v="0"/>
    <s v="not outlier"/>
    <s v="not outlier"/>
    <s v="not outlier"/>
    <s v="not outlier"/>
  </r>
  <r>
    <x v="1"/>
    <x v="4"/>
    <x v="2"/>
    <x v="25"/>
    <x v="1"/>
    <n v="0.15709999999999999"/>
    <n v="35.343786000000001"/>
    <n v="5.5E-2"/>
    <n v="0"/>
    <s v="not outlier"/>
    <s v="not outlier"/>
    <s v="not outlier"/>
    <s v="not outlier"/>
  </r>
  <r>
    <x v="1"/>
    <x v="4"/>
    <x v="0"/>
    <x v="25"/>
    <x v="5"/>
    <n v="0.35270000000000001"/>
    <n v="64.167697000000004"/>
    <n v="6.3500000000000001E-2"/>
    <n v="77"/>
    <s v="not outlier"/>
    <s v="not outlier"/>
    <s v="not outlier"/>
    <s v="not outlier"/>
  </r>
  <r>
    <x v="1"/>
    <x v="4"/>
    <x v="0"/>
    <x v="25"/>
    <x v="1"/>
    <n v="1.0125999999999999"/>
    <n v="211.265253"/>
    <n v="0.35439999999999999"/>
    <n v="87"/>
    <s v="not outlier"/>
    <s v="not outlier"/>
    <s v="not outlier"/>
    <s v="not outlier"/>
  </r>
  <r>
    <x v="1"/>
    <x v="2"/>
    <x v="1"/>
    <x v="26"/>
    <x v="5"/>
    <n v="2.5630000000000002"/>
    <n v="286.24733700000002"/>
    <n v="0.46139999999999998"/>
    <n v="102"/>
    <s v="not outlier"/>
    <s v="not outlier"/>
    <s v="not outlier"/>
    <s v="not outlier"/>
  </r>
  <r>
    <x v="1"/>
    <x v="2"/>
    <x v="2"/>
    <x v="26"/>
    <x v="5"/>
    <n v="1.5582"/>
    <n v="144.102644"/>
    <n v="0.28039999999999998"/>
    <n v="254"/>
    <s v="not outlier"/>
    <s v="not outlier"/>
    <s v="not outlier"/>
    <s v="not outlier"/>
  </r>
  <r>
    <x v="1"/>
    <x v="3"/>
    <x v="1"/>
    <x v="26"/>
    <x v="5"/>
    <n v="2.5794000000000001"/>
    <n v="284.872613"/>
    <n v="0.46429999999999999"/>
    <n v="105"/>
    <s v="not outlier"/>
    <s v="not outlier"/>
    <s v="not outlier"/>
    <s v="not outlier"/>
  </r>
  <r>
    <x v="1"/>
    <x v="3"/>
    <x v="2"/>
    <x v="26"/>
    <x v="5"/>
    <n v="1.4093"/>
    <n v="132.62327400000001"/>
    <n v="0.25369999999999998"/>
    <n v="222"/>
    <s v="not outlier"/>
    <s v="not outlier"/>
    <s v="not outlier"/>
    <s v="not outlier"/>
  </r>
  <r>
    <x v="1"/>
    <x v="4"/>
    <x v="1"/>
    <x v="26"/>
    <x v="5"/>
    <n v="3.6164999999999998"/>
    <n v="381.379502"/>
    <n v="0.65100000000000002"/>
    <n v="102"/>
    <s v="not outlier"/>
    <s v="not outlier"/>
    <s v="not outlier"/>
    <s v="not outlier"/>
  </r>
  <r>
    <x v="1"/>
    <x v="4"/>
    <x v="2"/>
    <x v="26"/>
    <x v="5"/>
    <n v="1.7221"/>
    <n v="162.79008099999999"/>
    <n v="0.31"/>
    <n v="232"/>
    <s v="not outlier"/>
    <s v="not outlier"/>
    <s v="not outlier"/>
    <s v="not outlier"/>
  </r>
  <r>
    <x v="1"/>
    <x v="5"/>
    <x v="1"/>
    <x v="26"/>
    <x v="5"/>
    <n v="2.7690000000000001"/>
    <n v="305.04915099999999"/>
    <n v="0.49840000000000001"/>
    <n v="101"/>
    <s v="not outlier"/>
    <s v="not outlier"/>
    <s v="not outlier"/>
    <s v="not outlier"/>
  </r>
  <r>
    <x v="1"/>
    <x v="5"/>
    <x v="2"/>
    <x v="26"/>
    <x v="5"/>
    <n v="1.4491000000000001"/>
    <n v="133.11645799999999"/>
    <n v="0.26079999999999998"/>
    <n v="245"/>
    <s v="not outlier"/>
    <s v="not outlier"/>
    <s v="not outlier"/>
    <s v="not outlier"/>
  </r>
  <r>
    <x v="1"/>
    <x v="6"/>
    <x v="1"/>
    <x v="26"/>
    <x v="5"/>
    <n v="2.4346999999999999"/>
    <n v="266.13412099999999"/>
    <n v="0.43830000000000002"/>
    <n v="98"/>
    <s v="not outlier"/>
    <s v="not outlier"/>
    <s v="not outlier"/>
    <s v="not outlier"/>
  </r>
  <r>
    <x v="1"/>
    <x v="6"/>
    <x v="2"/>
    <x v="26"/>
    <x v="5"/>
    <n v="1.5262"/>
    <n v="136.56304800000001"/>
    <n v="0.2747"/>
    <n v="212"/>
    <s v="not outlier"/>
    <s v="not outlier"/>
    <s v="not outlier"/>
    <s v="not outlier"/>
  </r>
  <r>
    <x v="1"/>
    <x v="7"/>
    <x v="1"/>
    <x v="26"/>
    <x v="5"/>
    <n v="2.4222000000000001"/>
    <n v="271.40478999999999"/>
    <n v="0.436"/>
    <n v="99"/>
    <s v="not outlier"/>
    <s v="not outlier"/>
    <s v="not outlier"/>
    <s v="not outlier"/>
  </r>
  <r>
    <x v="1"/>
    <x v="7"/>
    <x v="2"/>
    <x v="26"/>
    <x v="5"/>
    <n v="1.4657"/>
    <n v="133.87228099999999"/>
    <n v="0.26379999999999998"/>
    <n v="243"/>
    <s v="not outlier"/>
    <s v="not outlier"/>
    <s v="not outlier"/>
    <s v="not outlier"/>
  </r>
  <r>
    <x v="1"/>
    <x v="8"/>
    <x v="1"/>
    <x v="26"/>
    <x v="5"/>
    <n v="2.4838"/>
    <n v="276.89347299999997"/>
    <n v="0.4471"/>
    <n v="101"/>
    <s v="not outlier"/>
    <s v="not outlier"/>
    <s v="not outlier"/>
    <s v="not outlier"/>
  </r>
  <r>
    <x v="1"/>
    <x v="8"/>
    <x v="2"/>
    <x v="26"/>
    <x v="5"/>
    <n v="1.5719000000000001"/>
    <n v="139.35731799999999"/>
    <n v="0.28289999999999998"/>
    <n v="253"/>
    <s v="not outlier"/>
    <s v="not outlier"/>
    <s v="not outlier"/>
    <s v="not outlier"/>
  </r>
  <r>
    <x v="1"/>
    <x v="9"/>
    <x v="1"/>
    <x v="26"/>
    <x v="5"/>
    <n v="3.1254"/>
    <n v="349.83677799999998"/>
    <n v="0.56259999999999999"/>
    <n v="127"/>
    <s v="not outlier"/>
    <s v="not outlier"/>
    <s v="not outlier"/>
    <s v="not outlier"/>
  </r>
  <r>
    <x v="1"/>
    <x v="9"/>
    <x v="2"/>
    <x v="26"/>
    <x v="5"/>
    <n v="1.5806"/>
    <n v="140.02031199999999"/>
    <n v="0.28449999999999998"/>
    <n v="255"/>
    <s v="not outlier"/>
    <s v="not outlier"/>
    <s v="not outlier"/>
    <s v="not outlier"/>
  </r>
  <r>
    <x v="1"/>
    <x v="10"/>
    <x v="1"/>
    <x v="26"/>
    <x v="5"/>
    <n v="3.2673999999999999"/>
    <n v="356.615048"/>
    <n v="0.58819999999999995"/>
    <n v="201"/>
    <s v="not outlier"/>
    <s v="not outlier"/>
    <s v="not outlier"/>
    <s v="not outlier"/>
  </r>
  <r>
    <x v="1"/>
    <x v="10"/>
    <x v="2"/>
    <x v="26"/>
    <x v="5"/>
    <n v="4.5446"/>
    <n v="414.70506399999999"/>
    <n v="0.81799999999999995"/>
    <n v="2241"/>
    <s v="not outlier"/>
    <s v="not outlier"/>
    <s v="not outlier"/>
    <s v="not outlier"/>
  </r>
  <r>
    <x v="1"/>
    <x v="10"/>
    <x v="0"/>
    <x v="26"/>
    <x v="5"/>
    <n v="7.3345000000000002"/>
    <n v="676.65805699999999"/>
    <n v="1.3202"/>
    <n v="3594"/>
    <s v="not outlier"/>
    <s v="not outlier"/>
    <s v="not outlier"/>
    <s v="outlier"/>
  </r>
  <r>
    <x v="1"/>
    <x v="11"/>
    <x v="1"/>
    <x v="26"/>
    <x v="5"/>
    <n v="3.0682"/>
    <n v="342.04196899999999"/>
    <n v="0.55220000000000002"/>
    <n v="196"/>
    <s v="not outlier"/>
    <s v="not outlier"/>
    <s v="not outlier"/>
    <s v="not outlier"/>
  </r>
  <r>
    <x v="1"/>
    <x v="11"/>
    <x v="2"/>
    <x v="26"/>
    <x v="5"/>
    <n v="14.5779"/>
    <n v="1306.824554"/>
    <n v="2.6240000000000001"/>
    <n v="3555"/>
    <s v="not outlier"/>
    <s v="not outlier"/>
    <s v="not outlier"/>
    <s v="outlier"/>
  </r>
  <r>
    <x v="1"/>
    <x v="11"/>
    <x v="0"/>
    <x v="26"/>
    <x v="5"/>
    <n v="23.237400000000001"/>
    <n v="2101.853462"/>
    <n v="4.1826999999999996"/>
    <n v="5351"/>
    <s v="outlier"/>
    <s v="outlier"/>
    <s v="not outlier"/>
    <s v="outlier"/>
  </r>
  <r>
    <x v="1"/>
    <x v="0"/>
    <x v="1"/>
    <x v="26"/>
    <x v="5"/>
    <n v="2.9588000000000001"/>
    <n v="322.443487"/>
    <n v="0.53259999999999996"/>
    <n v="196"/>
    <s v="not outlier"/>
    <s v="not outlier"/>
    <s v="not outlier"/>
    <s v="not outlier"/>
  </r>
  <r>
    <x v="1"/>
    <x v="0"/>
    <x v="2"/>
    <x v="26"/>
    <x v="5"/>
    <n v="10.259"/>
    <n v="911.95919299999991"/>
    <n v="1.8466"/>
    <n v="3204"/>
    <s v="not outlier"/>
    <s v="not outlier"/>
    <s v="not outlier"/>
    <s v="outlier"/>
  </r>
  <r>
    <x v="1"/>
    <x v="0"/>
    <x v="0"/>
    <x v="26"/>
    <x v="5"/>
    <n v="16.481999999999999"/>
    <n v="1502.999939"/>
    <n v="2.9668000000000001"/>
    <n v="4821"/>
    <s v="not outlier"/>
    <s v="not outlier"/>
    <s v="not outlier"/>
    <s v="outlier"/>
  </r>
  <r>
    <x v="1"/>
    <x v="1"/>
    <x v="1"/>
    <x v="26"/>
    <x v="5"/>
    <n v="3.0142000000000002"/>
    <n v="325.02226300000001"/>
    <n v="0.54249999999999998"/>
    <n v="210"/>
    <s v="not outlier"/>
    <s v="not outlier"/>
    <s v="not outlier"/>
    <s v="not outlier"/>
  </r>
  <r>
    <x v="1"/>
    <x v="1"/>
    <x v="2"/>
    <x v="26"/>
    <x v="5"/>
    <n v="9.2164000000000001"/>
    <n v="785.23974499999997"/>
    <n v="1.6589"/>
    <n v="3027"/>
    <s v="not outlier"/>
    <s v="not outlier"/>
    <s v="not outlier"/>
    <s v="outlier"/>
  </r>
  <r>
    <x v="1"/>
    <x v="1"/>
    <x v="0"/>
    <x v="26"/>
    <x v="5"/>
    <n v="17.0671"/>
    <n v="1470.9417510000001"/>
    <n v="3.0720999999999998"/>
    <n v="4837"/>
    <s v="not outlier"/>
    <s v="not outlier"/>
    <s v="not outlier"/>
    <s v="outlier"/>
  </r>
  <r>
    <x v="1"/>
    <x v="2"/>
    <x v="1"/>
    <x v="27"/>
    <x v="1"/>
    <n v="4.3779000000000003"/>
    <n v="295.58389399999999"/>
    <n v="1.5761000000000001"/>
    <n v="234"/>
    <s v="not outlier"/>
    <s v="not outlier"/>
    <s v="not outlier"/>
    <s v="not outlier"/>
  </r>
  <r>
    <x v="1"/>
    <x v="2"/>
    <x v="2"/>
    <x v="27"/>
    <x v="1"/>
    <n v="22.006499999999999"/>
    <n v="1012.00119"/>
    <n v="7.9222999999999999"/>
    <n v="1738"/>
    <s v="not outlier"/>
    <s v="not outlier"/>
    <s v="outlier"/>
    <s v="not outlier"/>
  </r>
  <r>
    <x v="1"/>
    <x v="2"/>
    <x v="0"/>
    <x v="27"/>
    <x v="1"/>
    <n v="36.8688"/>
    <n v="2073.7657469999999"/>
    <n v="13.2728"/>
    <n v="2184"/>
    <s v="outlier"/>
    <s v="not outlier"/>
    <s v="outlier"/>
    <s v="not outlier"/>
  </r>
  <r>
    <x v="1"/>
    <x v="3"/>
    <x v="1"/>
    <x v="27"/>
    <x v="1"/>
    <n v="4.7880000000000003"/>
    <n v="323.52865200000002"/>
    <n v="1.7237"/>
    <n v="237"/>
    <s v="not outlier"/>
    <s v="not outlier"/>
    <s v="not outlier"/>
    <s v="not outlier"/>
  </r>
  <r>
    <x v="1"/>
    <x v="3"/>
    <x v="2"/>
    <x v="27"/>
    <x v="1"/>
    <n v="7.6459999999999999"/>
    <n v="547.56286299999999"/>
    <n v="2.7526000000000002"/>
    <n v="1592"/>
    <s v="not outlier"/>
    <s v="not outlier"/>
    <s v="not outlier"/>
    <s v="not outlier"/>
  </r>
  <r>
    <x v="1"/>
    <x v="3"/>
    <x v="0"/>
    <x v="27"/>
    <x v="1"/>
    <n v="19.6373"/>
    <n v="1418.480059"/>
    <n v="7.0694999999999997"/>
    <n v="2062"/>
    <s v="not outlier"/>
    <s v="not outlier"/>
    <s v="not outlier"/>
    <s v="not outlier"/>
  </r>
  <r>
    <x v="1"/>
    <x v="4"/>
    <x v="1"/>
    <x v="27"/>
    <x v="1"/>
    <n v="4.7588999999999997"/>
    <n v="326.44578799999999"/>
    <n v="1.7132000000000001"/>
    <n v="236"/>
    <s v="not outlier"/>
    <s v="not outlier"/>
    <s v="not outlier"/>
    <s v="not outlier"/>
  </r>
  <r>
    <x v="1"/>
    <x v="4"/>
    <x v="2"/>
    <x v="27"/>
    <x v="1"/>
    <n v="16.7714"/>
    <n v="957.65010700000005"/>
    <n v="6.0377000000000001"/>
    <n v="1817"/>
    <s v="not outlier"/>
    <s v="not outlier"/>
    <s v="not outlier"/>
    <s v="not outlier"/>
  </r>
  <r>
    <x v="1"/>
    <x v="4"/>
    <x v="0"/>
    <x v="27"/>
    <x v="1"/>
    <n v="26.157699999999998"/>
    <n v="1774.121005"/>
    <n v="9.4168000000000003"/>
    <n v="1981"/>
    <s v="outlier"/>
    <s v="not outlier"/>
    <s v="outlier"/>
    <s v="not outlier"/>
  </r>
  <r>
    <x v="1"/>
    <x v="5"/>
    <x v="1"/>
    <x v="27"/>
    <x v="1"/>
    <n v="4.0396999999999998"/>
    <n v="308.45032099999997"/>
    <n v="1.4541999999999999"/>
    <n v="232"/>
    <s v="not outlier"/>
    <s v="not outlier"/>
    <s v="not outlier"/>
    <s v="not outlier"/>
  </r>
  <r>
    <x v="1"/>
    <x v="5"/>
    <x v="2"/>
    <x v="27"/>
    <x v="1"/>
    <n v="16.905999999999999"/>
    <n v="993.90619800000002"/>
    <n v="6.0861999999999998"/>
    <n v="1853"/>
    <s v="not outlier"/>
    <s v="not outlier"/>
    <s v="not outlier"/>
    <s v="not outlier"/>
  </r>
  <r>
    <x v="1"/>
    <x v="5"/>
    <x v="0"/>
    <x v="27"/>
    <x v="1"/>
    <n v="35.147500000000001"/>
    <n v="2209.3593999999998"/>
    <n v="12.6531"/>
    <n v="1975"/>
    <s v="outlier"/>
    <s v="outlier"/>
    <s v="outlier"/>
    <s v="not outlier"/>
  </r>
  <r>
    <x v="1"/>
    <x v="6"/>
    <x v="1"/>
    <x v="27"/>
    <x v="1"/>
    <n v="3.0084"/>
    <n v="254.33926600000001"/>
    <n v="1.083"/>
    <n v="229"/>
    <s v="not outlier"/>
    <s v="not outlier"/>
    <s v="not outlier"/>
    <s v="not outlier"/>
  </r>
  <r>
    <x v="1"/>
    <x v="6"/>
    <x v="2"/>
    <x v="27"/>
    <x v="1"/>
    <n v="11.3992"/>
    <n v="729.85568000000001"/>
    <n v="4.1036999999999999"/>
    <n v="1552"/>
    <s v="not outlier"/>
    <s v="not outlier"/>
    <s v="not outlier"/>
    <s v="not outlier"/>
  </r>
  <r>
    <x v="1"/>
    <x v="6"/>
    <x v="0"/>
    <x v="27"/>
    <x v="1"/>
    <n v="21.739599999999999"/>
    <n v="1515.2832040000001"/>
    <n v="7.8262"/>
    <n v="1670"/>
    <s v="not outlier"/>
    <s v="not outlier"/>
    <s v="outlier"/>
    <s v="not outlier"/>
  </r>
  <r>
    <x v="1"/>
    <x v="7"/>
    <x v="1"/>
    <x v="27"/>
    <x v="1"/>
    <n v="2.8008999999999999"/>
    <n v="230.718658"/>
    <n v="1.0083"/>
    <n v="236"/>
    <s v="not outlier"/>
    <s v="not outlier"/>
    <s v="not outlier"/>
    <s v="not outlier"/>
  </r>
  <r>
    <x v="1"/>
    <x v="7"/>
    <x v="2"/>
    <x v="27"/>
    <x v="1"/>
    <n v="12.1151"/>
    <n v="684.56963099999996"/>
    <n v="4.3615000000000004"/>
    <n v="1387"/>
    <s v="not outlier"/>
    <s v="not outlier"/>
    <s v="not outlier"/>
    <s v="not outlier"/>
  </r>
  <r>
    <x v="1"/>
    <x v="7"/>
    <x v="0"/>
    <x v="27"/>
    <x v="1"/>
    <n v="17.858899999999998"/>
    <n v="1193.7135639999999"/>
    <n v="6.4291999999999998"/>
    <n v="1676"/>
    <s v="not outlier"/>
    <s v="not outlier"/>
    <s v="not outlier"/>
    <s v="not outlier"/>
  </r>
  <r>
    <x v="1"/>
    <x v="8"/>
    <x v="1"/>
    <x v="27"/>
    <x v="1"/>
    <n v="2.8607"/>
    <n v="238.59601699999999"/>
    <n v="1.0298"/>
    <n v="234"/>
    <s v="not outlier"/>
    <s v="not outlier"/>
    <s v="not outlier"/>
    <s v="not outlier"/>
  </r>
  <r>
    <x v="1"/>
    <x v="8"/>
    <x v="2"/>
    <x v="27"/>
    <x v="1"/>
    <n v="11.1022"/>
    <n v="627.35438999999997"/>
    <n v="3.9967999999999999"/>
    <n v="1374"/>
    <s v="not outlier"/>
    <s v="not outlier"/>
    <s v="not outlier"/>
    <s v="not outlier"/>
  </r>
  <r>
    <x v="1"/>
    <x v="8"/>
    <x v="0"/>
    <x v="27"/>
    <x v="1"/>
    <n v="27.990200000000002"/>
    <n v="1759.8600280000001"/>
    <n v="10.076499999999999"/>
    <n v="1629"/>
    <s v="outlier"/>
    <s v="not outlier"/>
    <s v="outlier"/>
    <s v="not outlier"/>
  </r>
  <r>
    <x v="1"/>
    <x v="9"/>
    <x v="1"/>
    <x v="27"/>
    <x v="1"/>
    <n v="2.6053999999999999"/>
    <n v="220.18355199999999"/>
    <n v="0.93799999999999994"/>
    <n v="249"/>
    <s v="not outlier"/>
    <s v="not outlier"/>
    <s v="not outlier"/>
    <s v="not outlier"/>
  </r>
  <r>
    <x v="1"/>
    <x v="9"/>
    <x v="2"/>
    <x v="27"/>
    <x v="1"/>
    <n v="8.2988999999999997"/>
    <n v="520.89913799999999"/>
    <n v="2.9876999999999998"/>
    <n v="1386"/>
    <s v="not outlier"/>
    <s v="not outlier"/>
    <s v="not outlier"/>
    <s v="not outlier"/>
  </r>
  <r>
    <x v="1"/>
    <x v="9"/>
    <x v="0"/>
    <x v="27"/>
    <x v="6"/>
    <n v="5.9999999999999995E-4"/>
    <n v="3.5739E-2"/>
    <n v="1E-4"/>
    <n v="1"/>
    <s v="not outlier"/>
    <s v="not outlier"/>
    <s v="not outlier"/>
    <s v="not outlier"/>
  </r>
  <r>
    <x v="1"/>
    <x v="9"/>
    <x v="0"/>
    <x v="27"/>
    <x v="1"/>
    <n v="16.896799999999999"/>
    <n v="1229.762913"/>
    <n v="6.0829000000000004"/>
    <n v="1873"/>
    <s v="not outlier"/>
    <s v="not outlier"/>
    <s v="not outlier"/>
    <s v="not outlier"/>
  </r>
  <r>
    <x v="1"/>
    <x v="10"/>
    <x v="1"/>
    <x v="27"/>
    <x v="1"/>
    <n v="2.5158999999999998"/>
    <n v="210.14461399999999"/>
    <n v="0.90569999999999995"/>
    <n v="245"/>
    <s v="not outlier"/>
    <s v="not outlier"/>
    <s v="not outlier"/>
    <s v="not outlier"/>
  </r>
  <r>
    <x v="1"/>
    <x v="10"/>
    <x v="2"/>
    <x v="27"/>
    <x v="6"/>
    <n v="0.27010000000000001"/>
    <n v="17.012744000000001"/>
    <n v="7.0199999999999999E-2"/>
    <n v="124"/>
    <s v="not outlier"/>
    <s v="not outlier"/>
    <s v="not outlier"/>
    <s v="not outlier"/>
  </r>
  <r>
    <x v="1"/>
    <x v="10"/>
    <x v="2"/>
    <x v="27"/>
    <x v="1"/>
    <n v="14.327400000000001"/>
    <n v="736.02492900000004"/>
    <n v="5.1578999999999997"/>
    <n v="1442"/>
    <s v="not outlier"/>
    <s v="not outlier"/>
    <s v="not outlier"/>
    <s v="not outlier"/>
  </r>
  <r>
    <x v="1"/>
    <x v="10"/>
    <x v="0"/>
    <x v="27"/>
    <x v="6"/>
    <n v="0.62960000000000005"/>
    <n v="39.270828999999999"/>
    <n v="0.16370000000000001"/>
    <n v="266"/>
    <s v="not outlier"/>
    <s v="not outlier"/>
    <s v="not outlier"/>
    <s v="not outlier"/>
  </r>
  <r>
    <x v="1"/>
    <x v="10"/>
    <x v="0"/>
    <x v="27"/>
    <x v="1"/>
    <n v="43.505899999999997"/>
    <n v="2370.8854889999998"/>
    <n v="15.662100000000001"/>
    <n v="2108"/>
    <s v="outlier"/>
    <s v="outlier"/>
    <s v="outlier"/>
    <s v="not outlier"/>
  </r>
  <r>
    <x v="1"/>
    <x v="11"/>
    <x v="1"/>
    <x v="27"/>
    <x v="1"/>
    <n v="2.0815000000000001"/>
    <n v="170.15814399999999"/>
    <n v="0.74939999999999996"/>
    <n v="209"/>
    <s v="not outlier"/>
    <s v="not outlier"/>
    <s v="not outlier"/>
    <s v="not outlier"/>
  </r>
  <r>
    <x v="1"/>
    <x v="11"/>
    <x v="2"/>
    <x v="27"/>
    <x v="6"/>
    <n v="0.28820000000000001"/>
    <n v="18.151683999999999"/>
    <n v="7.4899999999999994E-2"/>
    <n v="113"/>
    <s v="not outlier"/>
    <s v="not outlier"/>
    <s v="not outlier"/>
    <s v="not outlier"/>
  </r>
  <r>
    <x v="1"/>
    <x v="11"/>
    <x v="2"/>
    <x v="27"/>
    <x v="1"/>
    <n v="5.6143000000000001"/>
    <n v="434.429395"/>
    <n v="2.0211000000000001"/>
    <n v="1348"/>
    <s v="not outlier"/>
    <s v="not outlier"/>
    <s v="not outlier"/>
    <s v="not outlier"/>
  </r>
  <r>
    <x v="1"/>
    <x v="11"/>
    <x v="0"/>
    <x v="27"/>
    <x v="6"/>
    <n v="0.71150000000000002"/>
    <n v="44.767403000000002"/>
    <n v="0.185"/>
    <n v="268"/>
    <s v="not outlier"/>
    <s v="not outlier"/>
    <s v="not outlier"/>
    <s v="not outlier"/>
  </r>
  <r>
    <x v="1"/>
    <x v="11"/>
    <x v="0"/>
    <x v="27"/>
    <x v="1"/>
    <n v="14.6753"/>
    <n v="1156.3875579999999"/>
    <n v="5.2831000000000001"/>
    <n v="1877"/>
    <s v="not outlier"/>
    <s v="not outlier"/>
    <s v="not outlier"/>
    <s v="not outlier"/>
  </r>
  <r>
    <x v="1"/>
    <x v="0"/>
    <x v="1"/>
    <x v="27"/>
    <x v="6"/>
    <n v="8.3999999999999995E-3"/>
    <n v="0.50492099999999995"/>
    <n v="2.2000000000000001E-3"/>
    <n v="2"/>
    <s v="not outlier"/>
    <s v="not outlier"/>
    <s v="not outlier"/>
    <s v="not outlier"/>
  </r>
  <r>
    <x v="1"/>
    <x v="0"/>
    <x v="1"/>
    <x v="27"/>
    <x v="1"/>
    <n v="1.9762999999999999"/>
    <n v="158.90520900000001"/>
    <n v="0.71150000000000002"/>
    <n v="188"/>
    <s v="not outlier"/>
    <s v="not outlier"/>
    <s v="not outlier"/>
    <s v="not outlier"/>
  </r>
  <r>
    <x v="1"/>
    <x v="0"/>
    <x v="2"/>
    <x v="27"/>
    <x v="6"/>
    <n v="0.68600000000000005"/>
    <n v="42.920050000000003"/>
    <n v="0.1784"/>
    <n v="123"/>
    <s v="not outlier"/>
    <s v="not outlier"/>
    <s v="not outlier"/>
    <s v="not outlier"/>
  </r>
  <r>
    <x v="1"/>
    <x v="0"/>
    <x v="2"/>
    <x v="27"/>
    <x v="1"/>
    <n v="12.0641"/>
    <n v="709.76295200000004"/>
    <n v="4.343"/>
    <n v="1420"/>
    <s v="not outlier"/>
    <s v="not outlier"/>
    <s v="not outlier"/>
    <s v="not outlier"/>
  </r>
  <r>
    <x v="1"/>
    <x v="0"/>
    <x v="0"/>
    <x v="27"/>
    <x v="6"/>
    <n v="1.5021"/>
    <n v="94.162771000000006"/>
    <n v="0.39050000000000001"/>
    <n v="299"/>
    <s v="not outlier"/>
    <s v="not outlier"/>
    <s v="not outlier"/>
    <s v="not outlier"/>
  </r>
  <r>
    <x v="1"/>
    <x v="0"/>
    <x v="0"/>
    <x v="27"/>
    <x v="1"/>
    <n v="31.1936"/>
    <n v="1961.2954070000001"/>
    <n v="11.229699999999999"/>
    <n v="1922"/>
    <s v="outlier"/>
    <s v="not outlier"/>
    <s v="outlier"/>
    <s v="not outlier"/>
  </r>
  <r>
    <x v="1"/>
    <x v="1"/>
    <x v="1"/>
    <x v="27"/>
    <x v="6"/>
    <n v="7.1000000000000004E-3"/>
    <n v="0.403671"/>
    <n v="1.9E-3"/>
    <n v="2"/>
    <s v="not outlier"/>
    <s v="not outlier"/>
    <s v="not outlier"/>
    <s v="not outlier"/>
  </r>
  <r>
    <x v="1"/>
    <x v="1"/>
    <x v="1"/>
    <x v="27"/>
    <x v="1"/>
    <n v="1.5797000000000001"/>
    <n v="129.878468"/>
    <n v="0.56869999999999998"/>
    <n v="175"/>
    <s v="not outlier"/>
    <s v="not outlier"/>
    <s v="not outlier"/>
    <s v="not outlier"/>
  </r>
  <r>
    <x v="1"/>
    <x v="1"/>
    <x v="2"/>
    <x v="27"/>
    <x v="6"/>
    <n v="1.0209999999999999"/>
    <n v="58.981037000000001"/>
    <n v="0.26540000000000002"/>
    <n v="151"/>
    <s v="not outlier"/>
    <s v="not outlier"/>
    <s v="not outlier"/>
    <s v="not outlier"/>
  </r>
  <r>
    <x v="1"/>
    <x v="1"/>
    <x v="2"/>
    <x v="27"/>
    <x v="1"/>
    <n v="10.0487"/>
    <n v="606.25328000000002"/>
    <n v="3.6175000000000002"/>
    <n v="1359"/>
    <s v="not outlier"/>
    <s v="not outlier"/>
    <s v="not outlier"/>
    <s v="not outlier"/>
  </r>
  <r>
    <x v="1"/>
    <x v="1"/>
    <x v="0"/>
    <x v="27"/>
    <x v="6"/>
    <n v="2.0282"/>
    <n v="122.270841"/>
    <n v="0.52729999999999999"/>
    <n v="312"/>
    <s v="not outlier"/>
    <s v="not outlier"/>
    <s v="not outlier"/>
    <s v="not outlier"/>
  </r>
  <r>
    <x v="1"/>
    <x v="1"/>
    <x v="0"/>
    <x v="27"/>
    <x v="1"/>
    <n v="19.925000000000001"/>
    <n v="1349.5445580000001"/>
    <n v="7.173"/>
    <n v="1769"/>
    <s v="not outlier"/>
    <s v="not outlier"/>
    <s v="not outlier"/>
    <s v="not outlier"/>
  </r>
  <r>
    <x v="2"/>
    <x v="2"/>
    <x v="2"/>
    <x v="1"/>
    <x v="0"/>
    <n v="1.3608"/>
    <n v="98.695255000000003"/>
    <n v="0.313"/>
    <n v="422"/>
    <s v="not outlier"/>
    <s v="not outlier"/>
    <s v="not outlier"/>
    <s v="not outlier"/>
  </r>
  <r>
    <x v="2"/>
    <x v="2"/>
    <x v="2"/>
    <x v="1"/>
    <x v="2"/>
    <n v="7.9500000000000001E-2"/>
    <n v="7.2062099999999996"/>
    <n v="3.5799999999999998E-2"/>
    <n v="97"/>
    <s v="not outlier"/>
    <s v="not outlier"/>
    <s v="not outlier"/>
    <s v="not outlier"/>
  </r>
  <r>
    <x v="2"/>
    <x v="3"/>
    <x v="2"/>
    <x v="1"/>
    <x v="0"/>
    <n v="1.1353"/>
    <n v="79.158237999999997"/>
    <n v="0.2611"/>
    <n v="359"/>
    <s v="not outlier"/>
    <s v="not outlier"/>
    <s v="not outlier"/>
    <s v="not outlier"/>
  </r>
  <r>
    <x v="2"/>
    <x v="3"/>
    <x v="2"/>
    <x v="1"/>
    <x v="2"/>
    <n v="5.3100000000000001E-2"/>
    <n v="5.0842169999999998"/>
    <n v="2.3900000000000001E-2"/>
    <n v="52"/>
    <s v="not outlier"/>
    <s v="not outlier"/>
    <s v="not outlier"/>
    <s v="not outlier"/>
  </r>
  <r>
    <x v="2"/>
    <x v="5"/>
    <x v="2"/>
    <x v="1"/>
    <x v="0"/>
    <n v="1.2441"/>
    <n v="83.254228999999995"/>
    <n v="0.28620000000000001"/>
    <n v="0"/>
    <s v="not outlier"/>
    <s v="not outlier"/>
    <s v="not outlier"/>
    <s v="not outlier"/>
  </r>
  <r>
    <x v="2"/>
    <x v="5"/>
    <x v="2"/>
    <x v="1"/>
    <x v="2"/>
    <n v="7.6E-3"/>
    <n v="1.0291360000000001"/>
    <n v="3.3999999999999998E-3"/>
    <n v="0"/>
    <s v="not outlier"/>
    <s v="not outlier"/>
    <s v="not outlier"/>
    <s v="not outlier"/>
  </r>
  <r>
    <x v="2"/>
    <x v="7"/>
    <x v="2"/>
    <x v="1"/>
    <x v="0"/>
    <n v="1.1194"/>
    <n v="73.262568000000002"/>
    <n v="0.25750000000000001"/>
    <n v="0"/>
    <s v="not outlier"/>
    <s v="not outlier"/>
    <s v="not outlier"/>
    <s v="not outlier"/>
  </r>
  <r>
    <x v="2"/>
    <x v="7"/>
    <x v="2"/>
    <x v="1"/>
    <x v="2"/>
    <n v="2.7000000000000001E-3"/>
    <n v="0.42409400000000003"/>
    <n v="1.1999999999999999E-3"/>
    <n v="0"/>
    <s v="not outlier"/>
    <s v="not outlier"/>
    <s v="not outlier"/>
    <s v="not outlier"/>
  </r>
  <r>
    <x v="2"/>
    <x v="8"/>
    <x v="2"/>
    <x v="1"/>
    <x v="0"/>
    <n v="1.2142999999999999"/>
    <n v="80.504517000000007"/>
    <n v="0.27929999999999999"/>
    <n v="0"/>
    <s v="not outlier"/>
    <s v="not outlier"/>
    <s v="not outlier"/>
    <s v="not outlier"/>
  </r>
  <r>
    <x v="2"/>
    <x v="8"/>
    <x v="2"/>
    <x v="1"/>
    <x v="2"/>
    <n v="6.9999999999999999E-4"/>
    <n v="0.10602300000000001"/>
    <n v="2.9999999999999997E-4"/>
    <n v="0"/>
    <s v="not outlier"/>
    <s v="not outlier"/>
    <s v="not outlier"/>
    <s v="not outlier"/>
  </r>
  <r>
    <x v="2"/>
    <x v="2"/>
    <x v="1"/>
    <x v="2"/>
    <x v="0"/>
    <n v="0.13270000000000001"/>
    <n v="15.948333"/>
    <n v="2.6499999999999999E-2"/>
    <n v="10"/>
    <s v="not outlier"/>
    <s v="not outlier"/>
    <s v="not outlier"/>
    <s v="not outlier"/>
  </r>
  <r>
    <x v="2"/>
    <x v="2"/>
    <x v="1"/>
    <x v="2"/>
    <x v="2"/>
    <n v="44.928699999999999"/>
    <n v="7611.5632079999996"/>
    <n v="17.971499999999999"/>
    <n v="728"/>
    <s v="outlier"/>
    <s v="outlier"/>
    <s v="outlier"/>
    <s v="not outlier"/>
  </r>
  <r>
    <x v="2"/>
    <x v="2"/>
    <x v="2"/>
    <x v="2"/>
    <x v="0"/>
    <n v="9.74E-2"/>
    <n v="14.795735000000001"/>
    <n v="1.95E-2"/>
    <n v="24"/>
    <s v="not outlier"/>
    <s v="not outlier"/>
    <s v="not outlier"/>
    <s v="not outlier"/>
  </r>
  <r>
    <x v="2"/>
    <x v="2"/>
    <x v="2"/>
    <x v="2"/>
    <x v="2"/>
    <n v="8.1112000000000002"/>
    <n v="1609.072208"/>
    <n v="3.2444999999999999"/>
    <n v="1351"/>
    <s v="not outlier"/>
    <s v="not outlier"/>
    <s v="not outlier"/>
    <s v="not outlier"/>
  </r>
  <r>
    <x v="2"/>
    <x v="2"/>
    <x v="0"/>
    <x v="2"/>
    <x v="0"/>
    <n v="1.2302999999999999"/>
    <n v="147.988777"/>
    <n v="0.24610000000000001"/>
    <n v="286"/>
    <s v="not outlier"/>
    <s v="not outlier"/>
    <s v="not outlier"/>
    <s v="not outlier"/>
  </r>
  <r>
    <x v="2"/>
    <x v="2"/>
    <x v="0"/>
    <x v="2"/>
    <x v="2"/>
    <n v="56.186999999999998"/>
    <n v="9934.4125370000002"/>
    <n v="22.474699999999999"/>
    <n v="4241"/>
    <s v="outlier"/>
    <s v="outlier"/>
    <s v="outlier"/>
    <s v="outlier"/>
  </r>
  <r>
    <x v="2"/>
    <x v="3"/>
    <x v="1"/>
    <x v="2"/>
    <x v="0"/>
    <n v="8.9300000000000004E-2"/>
    <n v="11.329055"/>
    <n v="1.78E-2"/>
    <n v="10"/>
    <s v="not outlier"/>
    <s v="not outlier"/>
    <s v="not outlier"/>
    <s v="not outlier"/>
  </r>
  <r>
    <x v="2"/>
    <x v="3"/>
    <x v="1"/>
    <x v="2"/>
    <x v="2"/>
    <n v="35.849800000000002"/>
    <n v="5962.643043"/>
    <n v="14.3399"/>
    <n v="694"/>
    <s v="outlier"/>
    <s v="outlier"/>
    <s v="outlier"/>
    <s v="not outlier"/>
  </r>
  <r>
    <x v="2"/>
    <x v="3"/>
    <x v="2"/>
    <x v="2"/>
    <x v="0"/>
    <n v="8.6300000000000002E-2"/>
    <n v="13.461722999999999"/>
    <n v="1.72E-2"/>
    <n v="22"/>
    <s v="not outlier"/>
    <s v="not outlier"/>
    <s v="not outlier"/>
    <s v="not outlier"/>
  </r>
  <r>
    <x v="2"/>
    <x v="3"/>
    <x v="2"/>
    <x v="2"/>
    <x v="2"/>
    <n v="7.6718999999999999"/>
    <n v="1608.7897439999999"/>
    <n v="3.0688"/>
    <n v="1087"/>
    <s v="not outlier"/>
    <s v="not outlier"/>
    <s v="not outlier"/>
    <s v="not outlier"/>
  </r>
  <r>
    <x v="2"/>
    <x v="3"/>
    <x v="0"/>
    <x v="2"/>
    <x v="0"/>
    <n v="0.9859"/>
    <n v="118.79017"/>
    <n v="0.19719999999999999"/>
    <n v="276"/>
    <s v="not outlier"/>
    <s v="not outlier"/>
    <s v="not outlier"/>
    <s v="not outlier"/>
  </r>
  <r>
    <x v="2"/>
    <x v="3"/>
    <x v="0"/>
    <x v="2"/>
    <x v="2"/>
    <n v="29.5518"/>
    <n v="6283.9692070000001"/>
    <n v="11.820600000000001"/>
    <n v="3996"/>
    <s v="outlier"/>
    <s v="outlier"/>
    <s v="outlier"/>
    <s v="outlier"/>
  </r>
  <r>
    <x v="2"/>
    <x v="4"/>
    <x v="1"/>
    <x v="2"/>
    <x v="0"/>
    <n v="3.0952999999999999"/>
    <n v="327.837154"/>
    <n v="0.61909999999999998"/>
    <n v="92"/>
    <s v="not outlier"/>
    <s v="not outlier"/>
    <s v="not outlier"/>
    <s v="not outlier"/>
  </r>
  <r>
    <x v="2"/>
    <x v="4"/>
    <x v="1"/>
    <x v="2"/>
    <x v="2"/>
    <n v="45.207000000000001"/>
    <n v="9020.8903109999992"/>
    <n v="18.082699999999999"/>
    <n v="675"/>
    <s v="outlier"/>
    <s v="outlier"/>
    <s v="outlier"/>
    <s v="not outlier"/>
  </r>
  <r>
    <x v="2"/>
    <x v="4"/>
    <x v="2"/>
    <x v="2"/>
    <x v="0"/>
    <n v="0.62680000000000002"/>
    <n v="67.629071999999994"/>
    <n v="0.12540000000000001"/>
    <n v="64"/>
    <s v="not outlier"/>
    <s v="not outlier"/>
    <s v="not outlier"/>
    <s v="not outlier"/>
  </r>
  <r>
    <x v="2"/>
    <x v="4"/>
    <x v="2"/>
    <x v="2"/>
    <x v="2"/>
    <n v="19.705200000000001"/>
    <n v="3567.8705949999999"/>
    <n v="7.8821000000000003"/>
    <n v="2934"/>
    <s v="not outlier"/>
    <s v="outlier"/>
    <s v="outlier"/>
    <s v="outlier"/>
  </r>
  <r>
    <x v="2"/>
    <x v="4"/>
    <x v="0"/>
    <x v="2"/>
    <x v="0"/>
    <n v="1.4625999999999999"/>
    <n v="186.26879400000001"/>
    <n v="0.29249999999999998"/>
    <n v="281"/>
    <s v="not outlier"/>
    <s v="not outlier"/>
    <s v="not outlier"/>
    <s v="not outlier"/>
  </r>
  <r>
    <x v="2"/>
    <x v="4"/>
    <x v="0"/>
    <x v="2"/>
    <x v="2"/>
    <n v="73.765600000000006"/>
    <n v="14237.19253"/>
    <n v="29.5063"/>
    <n v="5015"/>
    <s v="outlier"/>
    <s v="outlier"/>
    <s v="outlier"/>
    <s v="outlier"/>
  </r>
  <r>
    <x v="2"/>
    <x v="5"/>
    <x v="1"/>
    <x v="2"/>
    <x v="0"/>
    <n v="3.0257000000000001"/>
    <n v="318.20381099999997"/>
    <n v="0.60509999999999997"/>
    <n v="92"/>
    <s v="not outlier"/>
    <s v="not outlier"/>
    <s v="not outlier"/>
    <s v="not outlier"/>
  </r>
  <r>
    <x v="2"/>
    <x v="5"/>
    <x v="1"/>
    <x v="2"/>
    <x v="2"/>
    <n v="29.136299999999999"/>
    <n v="6304.3134330000003"/>
    <n v="11.6546"/>
    <n v="633"/>
    <s v="outlier"/>
    <s v="outlier"/>
    <s v="outlier"/>
    <s v="not outlier"/>
  </r>
  <r>
    <x v="2"/>
    <x v="5"/>
    <x v="2"/>
    <x v="2"/>
    <x v="0"/>
    <n v="1.0727"/>
    <n v="113.266212"/>
    <n v="0.21460000000000001"/>
    <n v="73"/>
    <s v="not outlier"/>
    <s v="not outlier"/>
    <s v="not outlier"/>
    <s v="not outlier"/>
  </r>
  <r>
    <x v="2"/>
    <x v="5"/>
    <x v="2"/>
    <x v="2"/>
    <x v="2"/>
    <n v="17.859200000000001"/>
    <n v="3527.4231639999998"/>
    <n v="7.1436999999999999"/>
    <n v="2396"/>
    <s v="not outlier"/>
    <s v="outlier"/>
    <s v="not outlier"/>
    <s v="not outlier"/>
  </r>
  <r>
    <x v="2"/>
    <x v="5"/>
    <x v="0"/>
    <x v="2"/>
    <x v="0"/>
    <n v="1.2804"/>
    <n v="166.170232"/>
    <n v="0.25609999999999999"/>
    <n v="230"/>
    <s v="not outlier"/>
    <s v="not outlier"/>
    <s v="not outlier"/>
    <s v="not outlier"/>
  </r>
  <r>
    <x v="2"/>
    <x v="5"/>
    <x v="0"/>
    <x v="2"/>
    <x v="2"/>
    <n v="41.0715"/>
    <n v="8986.1269680000005"/>
    <n v="16.428599999999999"/>
    <n v="4466"/>
    <s v="outlier"/>
    <s v="outlier"/>
    <s v="outlier"/>
    <s v="outlier"/>
  </r>
  <r>
    <x v="2"/>
    <x v="6"/>
    <x v="1"/>
    <x v="2"/>
    <x v="0"/>
    <n v="1.3643000000000001"/>
    <n v="146.524473"/>
    <n v="0.27289999999999998"/>
    <n v="89"/>
    <s v="not outlier"/>
    <s v="not outlier"/>
    <s v="not outlier"/>
    <s v="not outlier"/>
  </r>
  <r>
    <x v="2"/>
    <x v="6"/>
    <x v="1"/>
    <x v="2"/>
    <x v="2"/>
    <n v="34.181800000000003"/>
    <n v="6829.4346759999999"/>
    <n v="13.672700000000001"/>
    <n v="649"/>
    <s v="outlier"/>
    <s v="outlier"/>
    <s v="outlier"/>
    <s v="not outlier"/>
  </r>
  <r>
    <x v="2"/>
    <x v="6"/>
    <x v="2"/>
    <x v="2"/>
    <x v="0"/>
    <n v="0.5615"/>
    <n v="72.253720999999999"/>
    <n v="0.1123"/>
    <n v="72"/>
    <s v="not outlier"/>
    <s v="not outlier"/>
    <s v="not outlier"/>
    <s v="not outlier"/>
  </r>
  <r>
    <x v="2"/>
    <x v="6"/>
    <x v="2"/>
    <x v="2"/>
    <x v="2"/>
    <n v="11.338699999999999"/>
    <n v="2381.7023290000002"/>
    <n v="4.5354999999999999"/>
    <n v="1918"/>
    <s v="not outlier"/>
    <s v="outlier"/>
    <s v="not outlier"/>
    <s v="not outlier"/>
  </r>
  <r>
    <x v="2"/>
    <x v="6"/>
    <x v="0"/>
    <x v="2"/>
    <x v="0"/>
    <n v="1.2907999999999999"/>
    <n v="183.721912"/>
    <n v="0.25819999999999999"/>
    <n v="293"/>
    <s v="not outlier"/>
    <s v="not outlier"/>
    <s v="not outlier"/>
    <s v="not outlier"/>
  </r>
  <r>
    <x v="2"/>
    <x v="6"/>
    <x v="0"/>
    <x v="2"/>
    <x v="2"/>
    <n v="30.697199999999999"/>
    <n v="6818.8296170000003"/>
    <n v="12.2789"/>
    <n v="4051"/>
    <s v="outlier"/>
    <s v="outlier"/>
    <s v="outlier"/>
    <s v="outlier"/>
  </r>
  <r>
    <x v="2"/>
    <x v="7"/>
    <x v="1"/>
    <x v="2"/>
    <x v="0"/>
    <n v="1.1254999999999999"/>
    <n v="121.08747700000001"/>
    <n v="0.22509999999999999"/>
    <n v="85"/>
    <s v="not outlier"/>
    <s v="not outlier"/>
    <s v="not outlier"/>
    <s v="not outlier"/>
  </r>
  <r>
    <x v="2"/>
    <x v="7"/>
    <x v="1"/>
    <x v="2"/>
    <x v="2"/>
    <n v="27.228400000000001"/>
    <n v="5610.0487949999997"/>
    <n v="10.891400000000001"/>
    <n v="636"/>
    <s v="outlier"/>
    <s v="outlier"/>
    <s v="outlier"/>
    <s v="not outlier"/>
  </r>
  <r>
    <x v="2"/>
    <x v="7"/>
    <x v="2"/>
    <x v="2"/>
    <x v="0"/>
    <n v="0.41360000000000002"/>
    <n v="55.049286000000002"/>
    <n v="8.2699999999999996E-2"/>
    <n v="79"/>
    <s v="not outlier"/>
    <s v="not outlier"/>
    <s v="not outlier"/>
    <s v="not outlier"/>
  </r>
  <r>
    <x v="2"/>
    <x v="7"/>
    <x v="2"/>
    <x v="2"/>
    <x v="2"/>
    <n v="10.0684"/>
    <n v="1936.7996920000001"/>
    <n v="4.0274000000000001"/>
    <n v="1724"/>
    <s v="not outlier"/>
    <s v="not outlier"/>
    <s v="not outlier"/>
    <s v="not outlier"/>
  </r>
  <r>
    <x v="2"/>
    <x v="7"/>
    <x v="0"/>
    <x v="2"/>
    <x v="0"/>
    <n v="1.5531999999999999"/>
    <n v="186.21826899999999"/>
    <n v="0.31059999999999999"/>
    <n v="276"/>
    <s v="not outlier"/>
    <s v="not outlier"/>
    <s v="not outlier"/>
    <s v="not outlier"/>
  </r>
  <r>
    <x v="2"/>
    <x v="7"/>
    <x v="0"/>
    <x v="2"/>
    <x v="2"/>
    <n v="29.5306"/>
    <n v="6132.8843349999997"/>
    <n v="11.812200000000001"/>
    <n v="4155"/>
    <s v="outlier"/>
    <s v="outlier"/>
    <s v="outlier"/>
    <s v="outlier"/>
  </r>
  <r>
    <x v="2"/>
    <x v="8"/>
    <x v="1"/>
    <x v="2"/>
    <x v="0"/>
    <n v="1.2669999999999999"/>
    <n v="121.73906700000001"/>
    <n v="0.25340000000000001"/>
    <n v="81"/>
    <s v="not outlier"/>
    <s v="not outlier"/>
    <s v="not outlier"/>
    <s v="not outlier"/>
  </r>
  <r>
    <x v="2"/>
    <x v="8"/>
    <x v="1"/>
    <x v="2"/>
    <x v="2"/>
    <n v="40.531799999999997"/>
    <n v="7236.9815360000002"/>
    <n v="16.212700000000002"/>
    <n v="627"/>
    <s v="outlier"/>
    <s v="outlier"/>
    <s v="outlier"/>
    <s v="not outlier"/>
  </r>
  <r>
    <x v="2"/>
    <x v="8"/>
    <x v="2"/>
    <x v="2"/>
    <x v="0"/>
    <n v="0.48599999999999999"/>
    <n v="65.735039"/>
    <n v="9.7199999999999995E-2"/>
    <n v="83"/>
    <s v="not outlier"/>
    <s v="not outlier"/>
    <s v="not outlier"/>
    <s v="not outlier"/>
  </r>
  <r>
    <x v="2"/>
    <x v="8"/>
    <x v="2"/>
    <x v="2"/>
    <x v="2"/>
    <n v="10.2943"/>
    <n v="1980.9562169999999"/>
    <n v="4.1177000000000001"/>
    <n v="1693"/>
    <s v="not outlier"/>
    <s v="not outlier"/>
    <s v="not outlier"/>
    <s v="not outlier"/>
  </r>
  <r>
    <x v="2"/>
    <x v="8"/>
    <x v="0"/>
    <x v="2"/>
    <x v="0"/>
    <n v="1.0061"/>
    <n v="141.81813500000001"/>
    <n v="0.20119999999999999"/>
    <n v="224"/>
    <s v="not outlier"/>
    <s v="not outlier"/>
    <s v="not outlier"/>
    <s v="not outlier"/>
  </r>
  <r>
    <x v="2"/>
    <x v="8"/>
    <x v="0"/>
    <x v="2"/>
    <x v="2"/>
    <n v="40.710799999999999"/>
    <n v="7831.7069760000004"/>
    <n v="16.284300000000002"/>
    <n v="3981"/>
    <s v="outlier"/>
    <s v="outlier"/>
    <s v="outlier"/>
    <s v="outlier"/>
  </r>
  <r>
    <x v="2"/>
    <x v="9"/>
    <x v="1"/>
    <x v="2"/>
    <x v="0"/>
    <n v="0.46550000000000002"/>
    <n v="39.605674999999998"/>
    <n v="9.3200000000000005E-2"/>
    <n v="65"/>
    <s v="not outlier"/>
    <s v="not outlier"/>
    <s v="not outlier"/>
    <s v="not outlier"/>
  </r>
  <r>
    <x v="2"/>
    <x v="9"/>
    <x v="1"/>
    <x v="2"/>
    <x v="2"/>
    <n v="28.076799999999999"/>
    <n v="5767.1397370000004"/>
    <n v="11.2308"/>
    <n v="620"/>
    <s v="outlier"/>
    <s v="outlier"/>
    <s v="outlier"/>
    <s v="not outlier"/>
  </r>
  <r>
    <x v="2"/>
    <x v="9"/>
    <x v="2"/>
    <x v="2"/>
    <x v="0"/>
    <n v="0.64800000000000002"/>
    <n v="79.544736999999998"/>
    <n v="0.12959999999999999"/>
    <n v="163"/>
    <s v="not outlier"/>
    <s v="not outlier"/>
    <s v="not outlier"/>
    <s v="not outlier"/>
  </r>
  <r>
    <x v="2"/>
    <x v="9"/>
    <x v="2"/>
    <x v="2"/>
    <x v="2"/>
    <n v="9.7257999999999996"/>
    <n v="1693.249683"/>
    <n v="3.8904000000000001"/>
    <n v="1743"/>
    <s v="not outlier"/>
    <s v="not outlier"/>
    <s v="not outlier"/>
    <s v="not outlier"/>
  </r>
  <r>
    <x v="2"/>
    <x v="9"/>
    <x v="0"/>
    <x v="2"/>
    <x v="0"/>
    <n v="1.6218999999999999"/>
    <n v="225.96517600000001"/>
    <n v="0.32440000000000002"/>
    <n v="262"/>
    <s v="not outlier"/>
    <s v="not outlier"/>
    <s v="not outlier"/>
    <s v="not outlier"/>
  </r>
  <r>
    <x v="2"/>
    <x v="9"/>
    <x v="0"/>
    <x v="2"/>
    <x v="2"/>
    <n v="35.424799999999998"/>
    <n v="7079.5944049999998"/>
    <n v="14.1701"/>
    <n v="3846"/>
    <s v="outlier"/>
    <s v="outlier"/>
    <s v="outlier"/>
    <s v="outlier"/>
  </r>
  <r>
    <x v="2"/>
    <x v="10"/>
    <x v="1"/>
    <x v="2"/>
    <x v="0"/>
    <n v="0.2591"/>
    <n v="21.931858999999999"/>
    <n v="5.1799999999999999E-2"/>
    <n v="32"/>
    <s v="not outlier"/>
    <s v="not outlier"/>
    <s v="not outlier"/>
    <s v="not outlier"/>
  </r>
  <r>
    <x v="2"/>
    <x v="10"/>
    <x v="1"/>
    <x v="2"/>
    <x v="2"/>
    <n v="38.967300000000002"/>
    <n v="7477.9733239999996"/>
    <n v="15.587"/>
    <n v="622"/>
    <s v="outlier"/>
    <s v="outlier"/>
    <s v="outlier"/>
    <s v="not outlier"/>
  </r>
  <r>
    <x v="2"/>
    <x v="10"/>
    <x v="2"/>
    <x v="2"/>
    <x v="0"/>
    <n v="0.70309999999999995"/>
    <n v="83.168761000000003"/>
    <n v="0.1406"/>
    <n v="202"/>
    <s v="not outlier"/>
    <s v="not outlier"/>
    <s v="not outlier"/>
    <s v="not outlier"/>
  </r>
  <r>
    <x v="2"/>
    <x v="10"/>
    <x v="2"/>
    <x v="2"/>
    <x v="2"/>
    <n v="11.0032"/>
    <n v="2009.1188569999999"/>
    <n v="4.4013"/>
    <n v="1621"/>
    <s v="not outlier"/>
    <s v="not outlier"/>
    <s v="not outlier"/>
    <s v="not outlier"/>
  </r>
  <r>
    <x v="2"/>
    <x v="10"/>
    <x v="0"/>
    <x v="2"/>
    <x v="0"/>
    <n v="1.0855999999999999"/>
    <n v="141.04062999999999"/>
    <n v="0.21709999999999999"/>
    <n v="251"/>
    <s v="not outlier"/>
    <s v="not outlier"/>
    <s v="not outlier"/>
    <s v="not outlier"/>
  </r>
  <r>
    <x v="2"/>
    <x v="10"/>
    <x v="0"/>
    <x v="2"/>
    <x v="2"/>
    <n v="31.026700000000002"/>
    <n v="6399.1824299999998"/>
    <n v="12.410600000000001"/>
    <n v="3549"/>
    <s v="outlier"/>
    <s v="outlier"/>
    <s v="outlier"/>
    <s v="outlier"/>
  </r>
  <r>
    <x v="2"/>
    <x v="11"/>
    <x v="1"/>
    <x v="2"/>
    <x v="0"/>
    <n v="0.1794"/>
    <n v="17.551945"/>
    <n v="3.5900000000000001E-2"/>
    <n v="20"/>
    <s v="not outlier"/>
    <s v="not outlier"/>
    <s v="not outlier"/>
    <s v="not outlier"/>
  </r>
  <r>
    <x v="2"/>
    <x v="11"/>
    <x v="1"/>
    <x v="2"/>
    <x v="2"/>
    <n v="33.0304"/>
    <n v="6797.6770530000003"/>
    <n v="13.212199999999999"/>
    <n v="629"/>
    <s v="outlier"/>
    <s v="outlier"/>
    <s v="outlier"/>
    <s v="not outlier"/>
  </r>
  <r>
    <x v="2"/>
    <x v="11"/>
    <x v="2"/>
    <x v="2"/>
    <x v="0"/>
    <n v="0.67889999999999995"/>
    <n v="87.049256999999997"/>
    <n v="0.1358"/>
    <n v="209"/>
    <s v="not outlier"/>
    <s v="not outlier"/>
    <s v="not outlier"/>
    <s v="not outlier"/>
  </r>
  <r>
    <x v="2"/>
    <x v="11"/>
    <x v="2"/>
    <x v="2"/>
    <x v="2"/>
    <n v="12.4224"/>
    <n v="2134.3948879999998"/>
    <n v="4.9690000000000003"/>
    <n v="1809"/>
    <s v="not outlier"/>
    <s v="outlier"/>
    <s v="not outlier"/>
    <s v="not outlier"/>
  </r>
  <r>
    <x v="2"/>
    <x v="11"/>
    <x v="0"/>
    <x v="2"/>
    <x v="0"/>
    <n v="1.2179"/>
    <n v="171.42359500000001"/>
    <n v="0.24360000000000001"/>
    <n v="317"/>
    <s v="not outlier"/>
    <s v="not outlier"/>
    <s v="not outlier"/>
    <s v="not outlier"/>
  </r>
  <r>
    <x v="2"/>
    <x v="11"/>
    <x v="0"/>
    <x v="2"/>
    <x v="2"/>
    <n v="51.350499999999997"/>
    <n v="9478.1592290000008"/>
    <n v="20.540199999999999"/>
    <n v="3575"/>
    <s v="outlier"/>
    <s v="outlier"/>
    <s v="outlier"/>
    <s v="outlier"/>
  </r>
  <r>
    <x v="2"/>
    <x v="0"/>
    <x v="1"/>
    <x v="2"/>
    <x v="0"/>
    <n v="0.16009999999999999"/>
    <n v="16.871047999999998"/>
    <n v="3.2000000000000001E-2"/>
    <n v="15"/>
    <s v="not outlier"/>
    <s v="not outlier"/>
    <s v="not outlier"/>
    <s v="not outlier"/>
  </r>
  <r>
    <x v="2"/>
    <x v="0"/>
    <x v="1"/>
    <x v="2"/>
    <x v="2"/>
    <n v="52.838799999999999"/>
    <n v="9408.4418470000001"/>
    <n v="21.1356"/>
    <n v="641"/>
    <s v="outlier"/>
    <s v="outlier"/>
    <s v="outlier"/>
    <s v="not outlier"/>
  </r>
  <r>
    <x v="2"/>
    <x v="0"/>
    <x v="2"/>
    <x v="2"/>
    <x v="0"/>
    <n v="0.72570000000000001"/>
    <n v="88.458725000000001"/>
    <n v="0.14510000000000001"/>
    <n v="211"/>
    <s v="not outlier"/>
    <s v="not outlier"/>
    <s v="not outlier"/>
    <s v="not outlier"/>
  </r>
  <r>
    <x v="2"/>
    <x v="0"/>
    <x v="2"/>
    <x v="2"/>
    <x v="2"/>
    <n v="16.7315"/>
    <n v="2785.7551250000001"/>
    <n v="6.6925999999999997"/>
    <n v="2672"/>
    <s v="not outlier"/>
    <s v="outlier"/>
    <s v="not outlier"/>
    <s v="not outlier"/>
  </r>
  <r>
    <x v="2"/>
    <x v="0"/>
    <x v="0"/>
    <x v="2"/>
    <x v="0"/>
    <n v="1.3379000000000001"/>
    <n v="183.44634400000001"/>
    <n v="0.26750000000000002"/>
    <n v="343"/>
    <s v="not outlier"/>
    <s v="not outlier"/>
    <s v="not outlier"/>
    <s v="not outlier"/>
  </r>
  <r>
    <x v="2"/>
    <x v="0"/>
    <x v="0"/>
    <x v="2"/>
    <x v="2"/>
    <n v="66.876199999999997"/>
    <n v="11510.502179999999"/>
    <n v="26.750499999999999"/>
    <n v="8509"/>
    <s v="outlier"/>
    <s v="outlier"/>
    <s v="outlier"/>
    <s v="outlier"/>
  </r>
  <r>
    <x v="2"/>
    <x v="1"/>
    <x v="1"/>
    <x v="2"/>
    <x v="0"/>
    <n v="9.7199999999999995E-2"/>
    <n v="12.649938000000001"/>
    <n v="1.9400000000000001E-2"/>
    <n v="14"/>
    <s v="not outlier"/>
    <s v="not outlier"/>
    <s v="not outlier"/>
    <s v="not outlier"/>
  </r>
  <r>
    <x v="2"/>
    <x v="1"/>
    <x v="1"/>
    <x v="2"/>
    <x v="2"/>
    <n v="41.707599999999999"/>
    <n v="7988.0453440000001"/>
    <n v="16.6831"/>
    <n v="615"/>
    <s v="outlier"/>
    <s v="outlier"/>
    <s v="outlier"/>
    <s v="not outlier"/>
  </r>
  <r>
    <x v="2"/>
    <x v="1"/>
    <x v="2"/>
    <x v="2"/>
    <x v="0"/>
    <n v="0.55920000000000003"/>
    <n v="70.359689000000003"/>
    <n v="0.1119"/>
    <n v="229"/>
    <s v="not outlier"/>
    <s v="not outlier"/>
    <s v="not outlier"/>
    <s v="not outlier"/>
  </r>
  <r>
    <x v="2"/>
    <x v="1"/>
    <x v="2"/>
    <x v="2"/>
    <x v="2"/>
    <n v="13.1007"/>
    <n v="2332.3043750000002"/>
    <n v="5.2404000000000002"/>
    <n v="2389"/>
    <s v="not outlier"/>
    <s v="outlier"/>
    <s v="not outlier"/>
    <s v="not outlier"/>
  </r>
  <r>
    <x v="2"/>
    <x v="1"/>
    <x v="0"/>
    <x v="2"/>
    <x v="0"/>
    <n v="1.3947000000000001"/>
    <n v="182.29401100000001"/>
    <n v="0.27889999999999998"/>
    <n v="295"/>
    <s v="not outlier"/>
    <s v="not outlier"/>
    <s v="not outlier"/>
    <s v="not outlier"/>
  </r>
  <r>
    <x v="2"/>
    <x v="1"/>
    <x v="0"/>
    <x v="2"/>
    <x v="2"/>
    <n v="50.753999999999998"/>
    <n v="9074.1547040000005"/>
    <n v="20.301600000000001"/>
    <n v="8459"/>
    <s v="outlier"/>
    <s v="outlier"/>
    <s v="outlier"/>
    <s v="outlier"/>
  </r>
  <r>
    <x v="2"/>
    <x v="9"/>
    <x v="1"/>
    <x v="34"/>
    <x v="6"/>
    <n v="2.399"/>
    <n v="145.440369"/>
    <n v="0.59970000000000001"/>
    <n v="0"/>
    <s v="not outlier"/>
    <s v="not outlier"/>
    <s v="not outlier"/>
    <s v="not outlier"/>
  </r>
  <r>
    <x v="2"/>
    <x v="10"/>
    <x v="1"/>
    <x v="34"/>
    <x v="6"/>
    <n v="1.1431"/>
    <n v="75.358834999999999"/>
    <n v="0.2858"/>
    <n v="0"/>
    <s v="not outlier"/>
    <s v="not outlier"/>
    <s v="not outlier"/>
    <s v="not outlier"/>
  </r>
  <r>
    <x v="2"/>
    <x v="10"/>
    <x v="2"/>
    <x v="34"/>
    <x v="6"/>
    <n v="1.3413999999999999"/>
    <n v="127.422027"/>
    <n v="0.33539999999999998"/>
    <n v="825"/>
    <s v="not outlier"/>
    <s v="not outlier"/>
    <s v="not outlier"/>
    <s v="not outlier"/>
  </r>
  <r>
    <x v="2"/>
    <x v="11"/>
    <x v="1"/>
    <x v="34"/>
    <x v="6"/>
    <n v="1.3633"/>
    <n v="66.180682000000004"/>
    <n v="0.34079999999999999"/>
    <n v="67"/>
    <s v="not outlier"/>
    <s v="not outlier"/>
    <s v="not outlier"/>
    <s v="not outlier"/>
  </r>
  <r>
    <x v="2"/>
    <x v="0"/>
    <x v="1"/>
    <x v="34"/>
    <x v="6"/>
    <n v="1.3554999999999999"/>
    <n v="43.217829999999999"/>
    <n v="0.33889999999999998"/>
    <n v="0"/>
    <s v="not outlier"/>
    <s v="not outlier"/>
    <s v="not outlier"/>
    <s v="not outlier"/>
  </r>
  <r>
    <x v="2"/>
    <x v="0"/>
    <x v="2"/>
    <x v="34"/>
    <x v="6"/>
    <n v="1.0662"/>
    <n v="94.908581999999996"/>
    <n v="0.2666"/>
    <n v="624"/>
    <s v="not outlier"/>
    <s v="not outlier"/>
    <s v="not outlier"/>
    <s v="not outlier"/>
  </r>
  <r>
    <x v="2"/>
    <x v="1"/>
    <x v="2"/>
    <x v="34"/>
    <x v="6"/>
    <n v="0.98160000000000003"/>
    <n v="92.915289000000001"/>
    <n v="0.24540000000000001"/>
    <n v="547"/>
    <s v="not outlier"/>
    <s v="not outlier"/>
    <s v="not outlier"/>
    <s v="not outlier"/>
  </r>
  <r>
    <x v="2"/>
    <x v="2"/>
    <x v="1"/>
    <x v="28"/>
    <x v="2"/>
    <n v="0.19020000000000001"/>
    <n v="32.450189000000002"/>
    <n v="8.6499999999999994E-2"/>
    <n v="0"/>
    <s v="not outlier"/>
    <s v="not outlier"/>
    <s v="not outlier"/>
    <s v="not outlier"/>
  </r>
  <r>
    <x v="2"/>
    <x v="11"/>
    <x v="2"/>
    <x v="35"/>
    <x v="1"/>
    <n v="0.98880000000000001"/>
    <n v="68.042955000000006"/>
    <n v="0.35599999999999998"/>
    <n v="341"/>
    <s v="not outlier"/>
    <s v="not outlier"/>
    <s v="not outlier"/>
    <s v="not outlier"/>
  </r>
  <r>
    <x v="2"/>
    <x v="0"/>
    <x v="2"/>
    <x v="35"/>
    <x v="1"/>
    <n v="1.3532"/>
    <n v="95.727793000000005"/>
    <n v="0.48720000000000002"/>
    <n v="382"/>
    <s v="not outlier"/>
    <s v="not outlier"/>
    <s v="not outlier"/>
    <s v="not outlier"/>
  </r>
  <r>
    <x v="2"/>
    <x v="2"/>
    <x v="0"/>
    <x v="4"/>
    <x v="5"/>
    <n v="1.1420999999999999"/>
    <n v="359.10961500000002"/>
    <n v="0.217"/>
    <n v="112"/>
    <s v="not outlier"/>
    <s v="not outlier"/>
    <s v="not outlier"/>
    <s v="not outlier"/>
  </r>
  <r>
    <x v="2"/>
    <x v="2"/>
    <x v="0"/>
    <x v="4"/>
    <x v="1"/>
    <n v="1.18E-2"/>
    <n v="5.1717409999999999"/>
    <n v="4.1999999999999997E-3"/>
    <n v="5"/>
    <s v="not outlier"/>
    <s v="not outlier"/>
    <s v="not outlier"/>
    <s v="not outlier"/>
  </r>
  <r>
    <x v="2"/>
    <x v="2"/>
    <x v="0"/>
    <x v="4"/>
    <x v="2"/>
    <n v="6.0299999999999999E-2"/>
    <n v="31.900511999999999"/>
    <n v="3.0200000000000001E-2"/>
    <n v="44"/>
    <s v="not outlier"/>
    <s v="not outlier"/>
    <s v="not outlier"/>
    <s v="not outlier"/>
  </r>
  <r>
    <x v="2"/>
    <x v="3"/>
    <x v="0"/>
    <x v="4"/>
    <x v="5"/>
    <n v="1.3058000000000001"/>
    <n v="401.38802099999998"/>
    <n v="0.24809999999999999"/>
    <n v="99"/>
    <s v="not outlier"/>
    <s v="not outlier"/>
    <s v="not outlier"/>
    <s v="not outlier"/>
  </r>
  <r>
    <x v="2"/>
    <x v="3"/>
    <x v="0"/>
    <x v="4"/>
    <x v="1"/>
    <n v="1.44E-2"/>
    <n v="6.543679"/>
    <n v="5.1000000000000004E-3"/>
    <n v="3"/>
    <s v="not outlier"/>
    <s v="not outlier"/>
    <s v="not outlier"/>
    <s v="not outlier"/>
  </r>
  <r>
    <x v="2"/>
    <x v="3"/>
    <x v="0"/>
    <x v="4"/>
    <x v="2"/>
    <n v="8.6900000000000005E-2"/>
    <n v="46.111162"/>
    <n v="4.3499999999999997E-2"/>
    <n v="42"/>
    <s v="not outlier"/>
    <s v="not outlier"/>
    <s v="not outlier"/>
    <s v="not outlier"/>
  </r>
  <r>
    <x v="2"/>
    <x v="4"/>
    <x v="0"/>
    <x v="4"/>
    <x v="5"/>
    <n v="2.2362000000000002"/>
    <n v="709.715146"/>
    <n v="0.42480000000000001"/>
    <n v="116"/>
    <s v="not outlier"/>
    <s v="not outlier"/>
    <s v="not outlier"/>
    <s v="not outlier"/>
  </r>
  <r>
    <x v="2"/>
    <x v="4"/>
    <x v="0"/>
    <x v="4"/>
    <x v="1"/>
    <n v="5.0999999999999997E-2"/>
    <n v="22.146691000000001"/>
    <n v="1.7999999999999999E-2"/>
    <n v="6"/>
    <s v="not outlier"/>
    <s v="not outlier"/>
    <s v="not outlier"/>
    <s v="not outlier"/>
  </r>
  <r>
    <x v="2"/>
    <x v="4"/>
    <x v="0"/>
    <x v="4"/>
    <x v="2"/>
    <n v="0.16880000000000001"/>
    <n v="88.881426000000005"/>
    <n v="8.4400000000000003E-2"/>
    <n v="64"/>
    <s v="not outlier"/>
    <s v="not outlier"/>
    <s v="not outlier"/>
    <s v="not outlier"/>
  </r>
  <r>
    <x v="2"/>
    <x v="5"/>
    <x v="0"/>
    <x v="4"/>
    <x v="5"/>
    <n v="2.2896999999999998"/>
    <n v="723.54970800000001"/>
    <n v="0.435"/>
    <n v="122"/>
    <s v="not outlier"/>
    <s v="not outlier"/>
    <s v="not outlier"/>
    <s v="not outlier"/>
  </r>
  <r>
    <x v="2"/>
    <x v="5"/>
    <x v="0"/>
    <x v="4"/>
    <x v="1"/>
    <n v="2.4E-2"/>
    <n v="10.674282"/>
    <n v="8.6E-3"/>
    <n v="6"/>
    <s v="not outlier"/>
    <s v="not outlier"/>
    <s v="not outlier"/>
    <s v="not outlier"/>
  </r>
  <r>
    <x v="2"/>
    <x v="5"/>
    <x v="0"/>
    <x v="4"/>
    <x v="2"/>
    <n v="0.1361"/>
    <n v="71.973048000000006"/>
    <n v="6.8000000000000005E-2"/>
    <n v="52"/>
    <s v="not outlier"/>
    <s v="not outlier"/>
    <s v="not outlier"/>
    <s v="not outlier"/>
  </r>
  <r>
    <x v="2"/>
    <x v="6"/>
    <x v="0"/>
    <x v="4"/>
    <x v="5"/>
    <n v="1.5366"/>
    <n v="489.37299000000002"/>
    <n v="0.29189999999999999"/>
    <n v="121"/>
    <s v="not outlier"/>
    <s v="not outlier"/>
    <s v="not outlier"/>
    <s v="not outlier"/>
  </r>
  <r>
    <x v="2"/>
    <x v="6"/>
    <x v="0"/>
    <x v="4"/>
    <x v="1"/>
    <n v="2.53E-2"/>
    <n v="11.949414000000001"/>
    <n v="8.9999999999999993E-3"/>
    <n v="6"/>
    <s v="not outlier"/>
    <s v="not outlier"/>
    <s v="not outlier"/>
    <s v="not outlier"/>
  </r>
  <r>
    <x v="2"/>
    <x v="6"/>
    <x v="0"/>
    <x v="4"/>
    <x v="2"/>
    <n v="9.0899999999999995E-2"/>
    <n v="47.841617999999997"/>
    <n v="4.5499999999999999E-2"/>
    <n v="52"/>
    <s v="not outlier"/>
    <s v="not outlier"/>
    <s v="not outlier"/>
    <s v="not outlier"/>
  </r>
  <r>
    <x v="2"/>
    <x v="7"/>
    <x v="0"/>
    <x v="4"/>
    <x v="5"/>
    <n v="1.1775"/>
    <n v="383.185945"/>
    <n v="0.22370000000000001"/>
    <n v="106"/>
    <s v="not outlier"/>
    <s v="not outlier"/>
    <s v="not outlier"/>
    <s v="not outlier"/>
  </r>
  <r>
    <x v="2"/>
    <x v="7"/>
    <x v="0"/>
    <x v="4"/>
    <x v="1"/>
    <n v="1.41E-2"/>
    <n v="6.649438"/>
    <n v="4.8999999999999998E-3"/>
    <n v="4"/>
    <s v="not outlier"/>
    <s v="not outlier"/>
    <s v="not outlier"/>
    <s v="not outlier"/>
  </r>
  <r>
    <x v="2"/>
    <x v="7"/>
    <x v="0"/>
    <x v="4"/>
    <x v="2"/>
    <n v="4.6399999999999997E-2"/>
    <n v="24.763261"/>
    <n v="2.3199999999999998E-2"/>
    <n v="37"/>
    <s v="not outlier"/>
    <s v="not outlier"/>
    <s v="not outlier"/>
    <s v="not outlier"/>
  </r>
  <r>
    <x v="2"/>
    <x v="8"/>
    <x v="0"/>
    <x v="4"/>
    <x v="5"/>
    <n v="0.97009999999999996"/>
    <n v="318.702764"/>
    <n v="0.18429999999999999"/>
    <n v="99"/>
    <s v="not outlier"/>
    <s v="not outlier"/>
    <s v="not outlier"/>
    <s v="not outlier"/>
  </r>
  <r>
    <x v="2"/>
    <x v="8"/>
    <x v="0"/>
    <x v="4"/>
    <x v="1"/>
    <n v="7.7000000000000002E-3"/>
    <n v="3.731573"/>
    <n v="2.7000000000000001E-3"/>
    <n v="3"/>
    <s v="not outlier"/>
    <s v="not outlier"/>
    <s v="not outlier"/>
    <s v="not outlier"/>
  </r>
  <r>
    <x v="2"/>
    <x v="8"/>
    <x v="0"/>
    <x v="4"/>
    <x v="2"/>
    <n v="4.1799999999999997E-2"/>
    <n v="22.339708000000002"/>
    <n v="2.1000000000000001E-2"/>
    <n v="36"/>
    <s v="not outlier"/>
    <s v="not outlier"/>
    <s v="not outlier"/>
    <s v="not outlier"/>
  </r>
  <r>
    <x v="2"/>
    <x v="9"/>
    <x v="0"/>
    <x v="4"/>
    <x v="5"/>
    <n v="1.0411999999999999"/>
    <n v="345.81836499999997"/>
    <n v="0.1978"/>
    <n v="106"/>
    <s v="not outlier"/>
    <s v="not outlier"/>
    <s v="not outlier"/>
    <s v="not outlier"/>
  </r>
  <r>
    <x v="2"/>
    <x v="9"/>
    <x v="0"/>
    <x v="4"/>
    <x v="1"/>
    <n v="2.0199999999999999E-2"/>
    <n v="9.1996350000000007"/>
    <n v="7.1999999999999998E-3"/>
    <n v="7"/>
    <s v="not outlier"/>
    <s v="not outlier"/>
    <s v="not outlier"/>
    <s v="not outlier"/>
  </r>
  <r>
    <x v="2"/>
    <x v="9"/>
    <x v="0"/>
    <x v="4"/>
    <x v="2"/>
    <n v="3.7499999999999999E-2"/>
    <n v="20.010375"/>
    <n v="1.8800000000000001E-2"/>
    <n v="35"/>
    <s v="not outlier"/>
    <s v="not outlier"/>
    <s v="not outlier"/>
    <s v="not outlier"/>
  </r>
  <r>
    <x v="2"/>
    <x v="10"/>
    <x v="0"/>
    <x v="4"/>
    <x v="5"/>
    <n v="1.1708000000000001"/>
    <n v="382.11987599999998"/>
    <n v="0.2225"/>
    <n v="101"/>
    <s v="not outlier"/>
    <s v="not outlier"/>
    <s v="not outlier"/>
    <s v="not outlier"/>
  </r>
  <r>
    <x v="2"/>
    <x v="10"/>
    <x v="0"/>
    <x v="4"/>
    <x v="1"/>
    <n v="1.41E-2"/>
    <n v="6.9241440000000001"/>
    <n v="5.0000000000000001E-3"/>
    <n v="6"/>
    <s v="not outlier"/>
    <s v="not outlier"/>
    <s v="not outlier"/>
    <s v="not outlier"/>
  </r>
  <r>
    <x v="2"/>
    <x v="10"/>
    <x v="0"/>
    <x v="4"/>
    <x v="2"/>
    <n v="3.8100000000000002E-2"/>
    <n v="20.303315999999999"/>
    <n v="1.9E-2"/>
    <n v="28"/>
    <s v="not outlier"/>
    <s v="not outlier"/>
    <s v="not outlier"/>
    <s v="not outlier"/>
  </r>
  <r>
    <x v="2"/>
    <x v="11"/>
    <x v="0"/>
    <x v="4"/>
    <x v="5"/>
    <n v="1.0773999999999999"/>
    <n v="357.692522"/>
    <n v="0.2046"/>
    <n v="103"/>
    <s v="not outlier"/>
    <s v="not outlier"/>
    <s v="not outlier"/>
    <s v="not outlier"/>
  </r>
  <r>
    <x v="2"/>
    <x v="11"/>
    <x v="0"/>
    <x v="4"/>
    <x v="1"/>
    <n v="1.4500000000000001E-2"/>
    <n v="6.7097100000000003"/>
    <n v="5.1999999999999998E-3"/>
    <n v="5"/>
    <s v="not outlier"/>
    <s v="not outlier"/>
    <s v="not outlier"/>
    <s v="not outlier"/>
  </r>
  <r>
    <x v="2"/>
    <x v="11"/>
    <x v="0"/>
    <x v="4"/>
    <x v="2"/>
    <n v="5.2200000000000003E-2"/>
    <n v="27.388981000000001"/>
    <n v="2.6100000000000002E-2"/>
    <n v="39"/>
    <s v="not outlier"/>
    <s v="not outlier"/>
    <s v="not outlier"/>
    <s v="not outlier"/>
  </r>
  <r>
    <x v="2"/>
    <x v="0"/>
    <x v="0"/>
    <x v="4"/>
    <x v="5"/>
    <n v="1.2791999999999999"/>
    <n v="430.25821300000001"/>
    <n v="0.24310000000000001"/>
    <n v="102"/>
    <s v="not outlier"/>
    <s v="not outlier"/>
    <s v="not outlier"/>
    <s v="not outlier"/>
  </r>
  <r>
    <x v="2"/>
    <x v="0"/>
    <x v="0"/>
    <x v="4"/>
    <x v="1"/>
    <n v="1.66E-2"/>
    <n v="7.83141"/>
    <n v="5.7999999999999996E-3"/>
    <n v="6"/>
    <s v="not outlier"/>
    <s v="not outlier"/>
    <s v="not outlier"/>
    <s v="not outlier"/>
  </r>
  <r>
    <x v="2"/>
    <x v="0"/>
    <x v="0"/>
    <x v="4"/>
    <x v="2"/>
    <n v="5.4600000000000003E-2"/>
    <n v="29.143439000000001"/>
    <n v="2.7300000000000001E-2"/>
    <n v="42"/>
    <s v="not outlier"/>
    <s v="not outlier"/>
    <s v="not outlier"/>
    <s v="not outlier"/>
  </r>
  <r>
    <x v="2"/>
    <x v="1"/>
    <x v="0"/>
    <x v="4"/>
    <x v="5"/>
    <n v="1.3492"/>
    <n v="434.61664400000001"/>
    <n v="0.25629999999999997"/>
    <n v="108"/>
    <s v="not outlier"/>
    <s v="not outlier"/>
    <s v="not outlier"/>
    <s v="not outlier"/>
  </r>
  <r>
    <x v="2"/>
    <x v="1"/>
    <x v="0"/>
    <x v="4"/>
    <x v="1"/>
    <n v="1.2999999999999999E-2"/>
    <n v="6.659516"/>
    <n v="4.4999999999999997E-3"/>
    <n v="4"/>
    <s v="not outlier"/>
    <s v="not outlier"/>
    <s v="not outlier"/>
    <s v="not outlier"/>
  </r>
  <r>
    <x v="2"/>
    <x v="1"/>
    <x v="0"/>
    <x v="4"/>
    <x v="2"/>
    <n v="5.74E-2"/>
    <n v="30.069205"/>
    <n v="2.87E-2"/>
    <n v="43"/>
    <s v="not outlier"/>
    <s v="not outlier"/>
    <s v="not outlier"/>
    <s v="not outlier"/>
  </r>
  <r>
    <x v="2"/>
    <x v="4"/>
    <x v="0"/>
    <x v="6"/>
    <x v="1"/>
    <n v="0.4466"/>
    <n v="200.89193399999999"/>
    <n v="0.15629999999999999"/>
    <n v="0"/>
    <s v="not outlier"/>
    <s v="not outlier"/>
    <s v="not outlier"/>
    <s v="not outlier"/>
  </r>
  <r>
    <x v="2"/>
    <x v="4"/>
    <x v="0"/>
    <x v="6"/>
    <x v="2"/>
    <n v="0.53059999999999996"/>
    <n v="290.884253"/>
    <n v="0.22289999999999999"/>
    <n v="0"/>
    <s v="not outlier"/>
    <s v="not outlier"/>
    <s v="not outlier"/>
    <s v="not outlier"/>
  </r>
  <r>
    <x v="2"/>
    <x v="5"/>
    <x v="0"/>
    <x v="6"/>
    <x v="1"/>
    <n v="0.434"/>
    <n v="183.83927399999999"/>
    <n v="0.15190000000000001"/>
    <n v="0"/>
    <s v="not outlier"/>
    <s v="not outlier"/>
    <s v="not outlier"/>
    <s v="not outlier"/>
  </r>
  <r>
    <x v="2"/>
    <x v="5"/>
    <x v="0"/>
    <x v="6"/>
    <x v="2"/>
    <n v="0.5333"/>
    <n v="288.943805"/>
    <n v="0.224"/>
    <n v="0"/>
    <s v="not outlier"/>
    <s v="not outlier"/>
    <s v="not outlier"/>
    <s v="not outlier"/>
  </r>
  <r>
    <x v="2"/>
    <x v="6"/>
    <x v="0"/>
    <x v="6"/>
    <x v="1"/>
    <n v="0.45429999999999998"/>
    <n v="194.672956"/>
    <n v="0.159"/>
    <n v="0"/>
    <s v="not outlier"/>
    <s v="not outlier"/>
    <s v="not outlier"/>
    <s v="not outlier"/>
  </r>
  <r>
    <x v="2"/>
    <x v="6"/>
    <x v="0"/>
    <x v="6"/>
    <x v="2"/>
    <n v="0.1734"/>
    <n v="100.229246"/>
    <n v="7.2800000000000004E-2"/>
    <n v="0"/>
    <s v="not outlier"/>
    <s v="not outlier"/>
    <s v="not outlier"/>
    <s v="not outlier"/>
  </r>
  <r>
    <x v="2"/>
    <x v="7"/>
    <x v="0"/>
    <x v="6"/>
    <x v="1"/>
    <n v="0.29060000000000002"/>
    <n v="122.495486"/>
    <n v="0.1017"/>
    <n v="0"/>
    <s v="not outlier"/>
    <s v="not outlier"/>
    <s v="not outlier"/>
    <s v="not outlier"/>
  </r>
  <r>
    <x v="2"/>
    <x v="7"/>
    <x v="0"/>
    <x v="6"/>
    <x v="2"/>
    <n v="0.1318"/>
    <n v="74.971474000000001"/>
    <n v="5.5300000000000002E-2"/>
    <n v="0"/>
    <s v="not outlier"/>
    <s v="not outlier"/>
    <s v="not outlier"/>
    <s v="not outlier"/>
  </r>
  <r>
    <x v="2"/>
    <x v="2"/>
    <x v="1"/>
    <x v="9"/>
    <x v="0"/>
    <n v="15.2249"/>
    <n v="899.26549299999999"/>
    <n v="3.1972"/>
    <n v="536"/>
    <s v="not outlier"/>
    <s v="not outlier"/>
    <s v="not outlier"/>
    <s v="not outlier"/>
  </r>
  <r>
    <x v="2"/>
    <x v="2"/>
    <x v="1"/>
    <x v="9"/>
    <x v="1"/>
    <n v="58.244300000000003"/>
    <n v="5622.5804420000004"/>
    <n v="20.3855"/>
    <n v="758"/>
    <s v="outlier"/>
    <s v="outlier"/>
    <s v="outlier"/>
    <s v="not outlier"/>
  </r>
  <r>
    <x v="2"/>
    <x v="2"/>
    <x v="1"/>
    <x v="9"/>
    <x v="2"/>
    <n v="38.410200000000003"/>
    <n v="4457.2247900000002"/>
    <n v="19.205100000000002"/>
    <n v="633"/>
    <s v="outlier"/>
    <s v="outlier"/>
    <s v="outlier"/>
    <s v="not outlier"/>
  </r>
  <r>
    <x v="2"/>
    <x v="2"/>
    <x v="2"/>
    <x v="9"/>
    <x v="0"/>
    <n v="88.491699999999994"/>
    <n v="4389.8095540000004"/>
    <n v="18.583300000000001"/>
    <n v="9100"/>
    <s v="outlier"/>
    <s v="outlier"/>
    <s v="outlier"/>
    <s v="outlier"/>
  </r>
  <r>
    <x v="2"/>
    <x v="2"/>
    <x v="2"/>
    <x v="9"/>
    <x v="1"/>
    <n v="57.690800000000003"/>
    <n v="5967.1194320000004"/>
    <n v="20.191800000000001"/>
    <n v="9322"/>
    <s v="outlier"/>
    <s v="outlier"/>
    <s v="outlier"/>
    <s v="outlier"/>
  </r>
  <r>
    <x v="2"/>
    <x v="2"/>
    <x v="2"/>
    <x v="9"/>
    <x v="2"/>
    <n v="2.8340000000000001"/>
    <n v="485.82223299999998"/>
    <n v="1.4171"/>
    <n v="721"/>
    <s v="not outlier"/>
    <s v="not outlier"/>
    <s v="not outlier"/>
    <s v="not outlier"/>
  </r>
  <r>
    <x v="2"/>
    <x v="2"/>
    <x v="2"/>
    <x v="9"/>
    <x v="4"/>
    <n v="0.28560000000000002"/>
    <n v="46.137219999999999"/>
    <n v="0.2142"/>
    <n v="163"/>
    <s v="not outlier"/>
    <s v="not outlier"/>
    <s v="not outlier"/>
    <s v="not outlier"/>
  </r>
  <r>
    <x v="2"/>
    <x v="2"/>
    <x v="0"/>
    <x v="9"/>
    <x v="0"/>
    <n v="200.7302"/>
    <n v="10271.139880000001"/>
    <n v="42.153399999999998"/>
    <n v="17167"/>
    <s v="outlier"/>
    <s v="outlier"/>
    <s v="outlier"/>
    <s v="outlier"/>
  </r>
  <r>
    <x v="2"/>
    <x v="2"/>
    <x v="0"/>
    <x v="9"/>
    <x v="1"/>
    <n v="159.5171"/>
    <n v="14567.697899999999"/>
    <n v="55.8309"/>
    <n v="17397"/>
    <s v="outlier"/>
    <s v="outlier"/>
    <s v="outlier"/>
    <s v="outlier"/>
  </r>
  <r>
    <x v="2"/>
    <x v="2"/>
    <x v="0"/>
    <x v="9"/>
    <x v="2"/>
    <n v="9.9210999999999991"/>
    <n v="1323.619549"/>
    <n v="4.9606000000000003"/>
    <n v="729"/>
    <s v="not outlier"/>
    <s v="not outlier"/>
    <s v="not outlier"/>
    <s v="not outlier"/>
  </r>
  <r>
    <x v="2"/>
    <x v="2"/>
    <x v="0"/>
    <x v="9"/>
    <x v="4"/>
    <n v="8.6999999999999994E-3"/>
    <n v="1.791126"/>
    <n v="6.4999999999999997E-3"/>
    <n v="3"/>
    <s v="not outlier"/>
    <s v="not outlier"/>
    <s v="not outlier"/>
    <s v="not outlier"/>
  </r>
  <r>
    <x v="2"/>
    <x v="3"/>
    <x v="1"/>
    <x v="9"/>
    <x v="0"/>
    <n v="11.107900000000001"/>
    <n v="729.82120099999997"/>
    <n v="2.3325999999999998"/>
    <n v="533"/>
    <s v="not outlier"/>
    <s v="not outlier"/>
    <s v="not outlier"/>
    <s v="not outlier"/>
  </r>
  <r>
    <x v="2"/>
    <x v="3"/>
    <x v="1"/>
    <x v="9"/>
    <x v="1"/>
    <n v="47.110900000000001"/>
    <n v="4702.004113"/>
    <n v="16.488900000000001"/>
    <n v="744"/>
    <s v="outlier"/>
    <s v="outlier"/>
    <s v="outlier"/>
    <s v="not outlier"/>
  </r>
  <r>
    <x v="2"/>
    <x v="3"/>
    <x v="1"/>
    <x v="9"/>
    <x v="2"/>
    <n v="32.415199999999999"/>
    <n v="3969.1989400000002"/>
    <n v="16.2075"/>
    <n v="641"/>
    <s v="outlier"/>
    <s v="outlier"/>
    <s v="outlier"/>
    <s v="not outlier"/>
  </r>
  <r>
    <x v="2"/>
    <x v="3"/>
    <x v="2"/>
    <x v="9"/>
    <x v="0"/>
    <n v="82.454999999999998"/>
    <n v="4483.615135"/>
    <n v="17.3156"/>
    <n v="9842"/>
    <s v="outlier"/>
    <s v="outlier"/>
    <s v="outlier"/>
    <s v="outlier"/>
  </r>
  <r>
    <x v="2"/>
    <x v="3"/>
    <x v="2"/>
    <x v="9"/>
    <x v="1"/>
    <n v="54.681100000000001"/>
    <n v="5765.4214149999998"/>
    <n v="19.138400000000001"/>
    <n v="8884"/>
    <s v="outlier"/>
    <s v="outlier"/>
    <s v="outlier"/>
    <s v="outlier"/>
  </r>
  <r>
    <x v="2"/>
    <x v="3"/>
    <x v="2"/>
    <x v="9"/>
    <x v="2"/>
    <n v="3.2303000000000002"/>
    <n v="555.28155200000003"/>
    <n v="1.6151"/>
    <n v="698"/>
    <s v="not outlier"/>
    <s v="not outlier"/>
    <s v="not outlier"/>
    <s v="not outlier"/>
  </r>
  <r>
    <x v="2"/>
    <x v="3"/>
    <x v="2"/>
    <x v="9"/>
    <x v="4"/>
    <n v="0.29289999999999999"/>
    <n v="47.309114000000001"/>
    <n v="0.21970000000000001"/>
    <n v="179"/>
    <s v="not outlier"/>
    <s v="not outlier"/>
    <s v="not outlier"/>
    <s v="not outlier"/>
  </r>
  <r>
    <x v="2"/>
    <x v="3"/>
    <x v="0"/>
    <x v="9"/>
    <x v="0"/>
    <n v="211.82910000000001"/>
    <n v="11127.30868"/>
    <n v="44.484099999999998"/>
    <n v="18131"/>
    <s v="outlier"/>
    <s v="outlier"/>
    <s v="outlier"/>
    <s v="outlier"/>
  </r>
  <r>
    <x v="2"/>
    <x v="3"/>
    <x v="0"/>
    <x v="9"/>
    <x v="1"/>
    <n v="129.52809999999999"/>
    <n v="12648.513944"/>
    <n v="45.334800000000001"/>
    <n v="16535"/>
    <s v="outlier"/>
    <s v="outlier"/>
    <s v="outlier"/>
    <s v="outlier"/>
  </r>
  <r>
    <x v="2"/>
    <x v="3"/>
    <x v="0"/>
    <x v="9"/>
    <x v="2"/>
    <n v="7.3784999999999998"/>
    <n v="1108.9610170000001"/>
    <n v="3.6892999999999998"/>
    <n v="690"/>
    <s v="not outlier"/>
    <s v="not outlier"/>
    <s v="not outlier"/>
    <s v="not outlier"/>
  </r>
  <r>
    <x v="2"/>
    <x v="3"/>
    <x v="0"/>
    <x v="9"/>
    <x v="4"/>
    <n v="1.52E-2"/>
    <n v="3.141648"/>
    <n v="1.14E-2"/>
    <n v="4"/>
    <s v="not outlier"/>
    <s v="not outlier"/>
    <s v="not outlier"/>
    <s v="not outlier"/>
  </r>
  <r>
    <x v="2"/>
    <x v="4"/>
    <x v="1"/>
    <x v="9"/>
    <x v="0"/>
    <n v="14.1119"/>
    <n v="1000.988615"/>
    <n v="2.9634999999999998"/>
    <n v="478"/>
    <s v="not outlier"/>
    <s v="not outlier"/>
    <s v="not outlier"/>
    <s v="not outlier"/>
  </r>
  <r>
    <x v="2"/>
    <x v="4"/>
    <x v="1"/>
    <x v="9"/>
    <x v="1"/>
    <n v="73.746099999999998"/>
    <n v="7356.7611919999999"/>
    <n v="25.811299999999999"/>
    <n v="710"/>
    <s v="outlier"/>
    <s v="outlier"/>
    <s v="outlier"/>
    <s v="not outlier"/>
  </r>
  <r>
    <x v="2"/>
    <x v="4"/>
    <x v="1"/>
    <x v="9"/>
    <x v="2"/>
    <n v="55.554200000000002"/>
    <n v="6568.2463909999997"/>
    <n v="27.777100000000001"/>
    <n v="618"/>
    <s v="outlier"/>
    <s v="outlier"/>
    <s v="outlier"/>
    <s v="not outlier"/>
  </r>
  <r>
    <x v="2"/>
    <x v="4"/>
    <x v="2"/>
    <x v="9"/>
    <x v="0"/>
    <n v="52.485700000000001"/>
    <n v="3593.9786079999999"/>
    <n v="11.022"/>
    <n v="8349"/>
    <s v="outlier"/>
    <s v="outlier"/>
    <s v="outlier"/>
    <s v="outlier"/>
  </r>
  <r>
    <x v="2"/>
    <x v="4"/>
    <x v="2"/>
    <x v="9"/>
    <x v="1"/>
    <n v="62.9831"/>
    <n v="6762.7386630000001"/>
    <n v="22.0441"/>
    <n v="9221"/>
    <s v="outlier"/>
    <s v="outlier"/>
    <s v="outlier"/>
    <s v="outlier"/>
  </r>
  <r>
    <x v="2"/>
    <x v="4"/>
    <x v="2"/>
    <x v="9"/>
    <x v="2"/>
    <n v="3.6111"/>
    <n v="602.11737300000004"/>
    <n v="1.8055000000000001"/>
    <n v="786"/>
    <s v="not outlier"/>
    <s v="not outlier"/>
    <s v="not outlier"/>
    <s v="not outlier"/>
  </r>
  <r>
    <x v="2"/>
    <x v="4"/>
    <x v="2"/>
    <x v="9"/>
    <x v="4"/>
    <n v="0.31319999999999998"/>
    <n v="50.571637000000003"/>
    <n v="0.2349"/>
    <n v="179"/>
    <s v="not outlier"/>
    <s v="not outlier"/>
    <s v="not outlier"/>
    <s v="not outlier"/>
  </r>
  <r>
    <x v="2"/>
    <x v="4"/>
    <x v="0"/>
    <x v="9"/>
    <x v="0"/>
    <n v="161.93020000000001"/>
    <n v="10159.89176"/>
    <n v="34.005299999999998"/>
    <n v="16513"/>
    <s v="outlier"/>
    <s v="outlier"/>
    <s v="outlier"/>
    <s v="outlier"/>
  </r>
  <r>
    <x v="2"/>
    <x v="4"/>
    <x v="0"/>
    <x v="9"/>
    <x v="1"/>
    <n v="159.762"/>
    <n v="16676.614219999999"/>
    <n v="55.916600000000003"/>
    <n v="17796"/>
    <s v="outlier"/>
    <s v="outlier"/>
    <s v="outlier"/>
    <s v="outlier"/>
  </r>
  <r>
    <x v="2"/>
    <x v="4"/>
    <x v="0"/>
    <x v="9"/>
    <x v="2"/>
    <n v="26.552499999999998"/>
    <n v="3433.7747290000002"/>
    <n v="13.276300000000001"/>
    <n v="918"/>
    <s v="outlier"/>
    <s v="outlier"/>
    <s v="outlier"/>
    <s v="not outlier"/>
  </r>
  <r>
    <x v="2"/>
    <x v="4"/>
    <x v="0"/>
    <x v="9"/>
    <x v="4"/>
    <n v="1.6199999999999999E-2"/>
    <n v="3.358336"/>
    <n v="1.2200000000000001E-2"/>
    <n v="4"/>
    <s v="not outlier"/>
    <s v="not outlier"/>
    <s v="not outlier"/>
    <s v="not outlier"/>
  </r>
  <r>
    <x v="2"/>
    <x v="5"/>
    <x v="1"/>
    <x v="9"/>
    <x v="0"/>
    <n v="11.337899999999999"/>
    <n v="820.41610800000001"/>
    <n v="2.3809"/>
    <n v="442"/>
    <s v="not outlier"/>
    <s v="not outlier"/>
    <s v="not outlier"/>
    <s v="not outlier"/>
  </r>
  <r>
    <x v="2"/>
    <x v="5"/>
    <x v="1"/>
    <x v="9"/>
    <x v="1"/>
    <n v="54.245699999999999"/>
    <n v="5684.181431"/>
    <n v="18.986000000000001"/>
    <n v="679"/>
    <s v="outlier"/>
    <s v="outlier"/>
    <s v="outlier"/>
    <s v="not outlier"/>
  </r>
  <r>
    <x v="2"/>
    <x v="5"/>
    <x v="1"/>
    <x v="9"/>
    <x v="2"/>
    <n v="25.783000000000001"/>
    <n v="3564.3508029999998"/>
    <n v="12.8916"/>
    <n v="538"/>
    <s v="outlier"/>
    <s v="outlier"/>
    <s v="outlier"/>
    <s v="not outlier"/>
  </r>
  <r>
    <x v="2"/>
    <x v="5"/>
    <x v="2"/>
    <x v="9"/>
    <x v="0"/>
    <n v="41.018300000000004"/>
    <n v="2841.1043800000002"/>
    <n v="8.6137999999999995"/>
    <n v="7512"/>
    <s v="outlier"/>
    <s v="outlier"/>
    <s v="outlier"/>
    <s v="outlier"/>
  </r>
  <r>
    <x v="2"/>
    <x v="5"/>
    <x v="2"/>
    <x v="9"/>
    <x v="1"/>
    <n v="61.099299999999999"/>
    <n v="6623.0000179999997"/>
    <n v="21.384699999999999"/>
    <n v="8855"/>
    <s v="outlier"/>
    <s v="outlier"/>
    <s v="outlier"/>
    <s v="outlier"/>
  </r>
  <r>
    <x v="2"/>
    <x v="5"/>
    <x v="2"/>
    <x v="9"/>
    <x v="2"/>
    <n v="2.8633999999999999"/>
    <n v="525.96028000000001"/>
    <n v="1.4317"/>
    <n v="472"/>
    <s v="not outlier"/>
    <s v="not outlier"/>
    <s v="not outlier"/>
    <s v="not outlier"/>
  </r>
  <r>
    <x v="2"/>
    <x v="5"/>
    <x v="2"/>
    <x v="9"/>
    <x v="4"/>
    <n v="0.30299999999999999"/>
    <n v="48.940376000000001"/>
    <n v="0.2273"/>
    <n v="179"/>
    <s v="not outlier"/>
    <s v="not outlier"/>
    <s v="not outlier"/>
    <s v="not outlier"/>
  </r>
  <r>
    <x v="2"/>
    <x v="5"/>
    <x v="0"/>
    <x v="9"/>
    <x v="0"/>
    <n v="94.072100000000006"/>
    <n v="6235.1577299999999"/>
    <n v="19.755099999999999"/>
    <n v="13935"/>
    <s v="outlier"/>
    <s v="outlier"/>
    <s v="outlier"/>
    <s v="outlier"/>
  </r>
  <r>
    <x v="2"/>
    <x v="5"/>
    <x v="0"/>
    <x v="9"/>
    <x v="1"/>
    <n v="150.4402"/>
    <n v="15700.382104"/>
    <n v="52.6541"/>
    <n v="17610"/>
    <s v="outlier"/>
    <s v="outlier"/>
    <s v="outlier"/>
    <s v="outlier"/>
  </r>
  <r>
    <x v="2"/>
    <x v="5"/>
    <x v="0"/>
    <x v="9"/>
    <x v="2"/>
    <n v="12.196300000000001"/>
    <n v="1938.3899759999999"/>
    <n v="6.0980999999999996"/>
    <n v="971"/>
    <s v="not outlier"/>
    <s v="not outlier"/>
    <s v="not outlier"/>
    <s v="not outlier"/>
  </r>
  <r>
    <x v="2"/>
    <x v="5"/>
    <x v="0"/>
    <x v="9"/>
    <x v="4"/>
    <n v="1.5699999999999999E-2"/>
    <n v="3.2499920000000002"/>
    <n v="1.18E-2"/>
    <n v="4"/>
    <s v="not outlier"/>
    <s v="not outlier"/>
    <s v="not outlier"/>
    <s v="not outlier"/>
  </r>
  <r>
    <x v="2"/>
    <x v="6"/>
    <x v="1"/>
    <x v="9"/>
    <x v="0"/>
    <n v="10.422700000000001"/>
    <n v="773.76654099999996"/>
    <n v="2.1888000000000001"/>
    <n v="423"/>
    <s v="not outlier"/>
    <s v="not outlier"/>
    <s v="not outlier"/>
    <s v="not outlier"/>
  </r>
  <r>
    <x v="2"/>
    <x v="6"/>
    <x v="1"/>
    <x v="9"/>
    <x v="1"/>
    <n v="42.728000000000002"/>
    <n v="4568.3092669999996"/>
    <n v="14.9549"/>
    <n v="677"/>
    <s v="outlier"/>
    <s v="outlier"/>
    <s v="outlier"/>
    <s v="not outlier"/>
  </r>
  <r>
    <x v="2"/>
    <x v="6"/>
    <x v="1"/>
    <x v="9"/>
    <x v="2"/>
    <n v="38.6723"/>
    <n v="4738.7843540000003"/>
    <n v="19.336099999999998"/>
    <n v="554"/>
    <s v="outlier"/>
    <s v="outlier"/>
    <s v="outlier"/>
    <s v="not outlier"/>
  </r>
  <r>
    <x v="2"/>
    <x v="6"/>
    <x v="2"/>
    <x v="9"/>
    <x v="0"/>
    <n v="38.142800000000001"/>
    <n v="2383.2716610000002"/>
    <n v="8.01"/>
    <n v="6985"/>
    <s v="outlier"/>
    <s v="outlier"/>
    <s v="outlier"/>
    <s v="outlier"/>
  </r>
  <r>
    <x v="2"/>
    <x v="6"/>
    <x v="2"/>
    <x v="9"/>
    <x v="1"/>
    <n v="62.5334"/>
    <n v="6723.1640189999998"/>
    <n v="21.886500000000002"/>
    <n v="8839"/>
    <s v="outlier"/>
    <s v="outlier"/>
    <s v="outlier"/>
    <s v="outlier"/>
  </r>
  <r>
    <x v="2"/>
    <x v="6"/>
    <x v="2"/>
    <x v="9"/>
    <x v="2"/>
    <n v="2.8616000000000001"/>
    <n v="523.02981699999998"/>
    <n v="1.4308000000000001"/>
    <n v="438"/>
    <s v="not outlier"/>
    <s v="not outlier"/>
    <s v="not outlier"/>
    <s v="not outlier"/>
  </r>
  <r>
    <x v="2"/>
    <x v="6"/>
    <x v="2"/>
    <x v="9"/>
    <x v="4"/>
    <n v="0.29330000000000001"/>
    <n v="47.363750000000003"/>
    <n v="0.21990000000000001"/>
    <n v="168"/>
    <s v="not outlier"/>
    <s v="not outlier"/>
    <s v="not outlier"/>
    <s v="not outlier"/>
  </r>
  <r>
    <x v="2"/>
    <x v="6"/>
    <x v="0"/>
    <x v="9"/>
    <x v="0"/>
    <n v="83.008799999999994"/>
    <n v="5184.360197"/>
    <n v="17.431899999999999"/>
    <n v="12256"/>
    <s v="outlier"/>
    <s v="outlier"/>
    <s v="outlier"/>
    <s v="outlier"/>
  </r>
  <r>
    <x v="2"/>
    <x v="6"/>
    <x v="0"/>
    <x v="9"/>
    <x v="1"/>
    <n v="139.11660000000001"/>
    <n v="14277.08856"/>
    <n v="48.6907"/>
    <n v="18024"/>
    <s v="outlier"/>
    <s v="outlier"/>
    <s v="outlier"/>
    <s v="outlier"/>
  </r>
  <r>
    <x v="2"/>
    <x v="6"/>
    <x v="0"/>
    <x v="9"/>
    <x v="2"/>
    <n v="11.2546"/>
    <n v="1644.230536"/>
    <n v="5.6273"/>
    <n v="891"/>
    <s v="not outlier"/>
    <s v="not outlier"/>
    <s v="not outlier"/>
    <s v="not outlier"/>
  </r>
  <r>
    <x v="2"/>
    <x v="6"/>
    <x v="0"/>
    <x v="9"/>
    <x v="4"/>
    <n v="1.7299999999999999E-2"/>
    <n v="3.582185"/>
    <n v="1.2999999999999999E-2"/>
    <n v="5"/>
    <s v="not outlier"/>
    <s v="not outlier"/>
    <s v="not outlier"/>
    <s v="not outlier"/>
  </r>
  <r>
    <x v="2"/>
    <x v="7"/>
    <x v="1"/>
    <x v="9"/>
    <x v="0"/>
    <n v="7.5260999999999996"/>
    <n v="562.87664700000005"/>
    <n v="1.5805"/>
    <n v="403"/>
    <s v="not outlier"/>
    <s v="not outlier"/>
    <s v="not outlier"/>
    <s v="not outlier"/>
  </r>
  <r>
    <x v="2"/>
    <x v="7"/>
    <x v="1"/>
    <x v="9"/>
    <x v="1"/>
    <n v="56.865200000000002"/>
    <n v="5681.495903"/>
    <n v="19.902799999999999"/>
    <n v="681"/>
    <s v="outlier"/>
    <s v="outlier"/>
    <s v="outlier"/>
    <s v="not outlier"/>
  </r>
  <r>
    <x v="2"/>
    <x v="7"/>
    <x v="1"/>
    <x v="9"/>
    <x v="2"/>
    <n v="22.7316"/>
    <n v="2922.3966789999999"/>
    <n v="11.3659"/>
    <n v="558"/>
    <s v="not outlier"/>
    <s v="outlier"/>
    <s v="outlier"/>
    <s v="not outlier"/>
  </r>
  <r>
    <x v="2"/>
    <x v="7"/>
    <x v="2"/>
    <x v="9"/>
    <x v="0"/>
    <n v="23.008400000000002"/>
    <n v="1685.635691"/>
    <n v="4.8318000000000003"/>
    <n v="5156"/>
    <s v="not outlier"/>
    <s v="not outlier"/>
    <s v="not outlier"/>
    <s v="outlier"/>
  </r>
  <r>
    <x v="2"/>
    <x v="7"/>
    <x v="2"/>
    <x v="9"/>
    <x v="1"/>
    <n v="49.532600000000002"/>
    <n v="5592.5030820000002"/>
    <n v="17.336400000000001"/>
    <n v="9047"/>
    <s v="outlier"/>
    <s v="outlier"/>
    <s v="outlier"/>
    <s v="outlier"/>
  </r>
  <r>
    <x v="2"/>
    <x v="7"/>
    <x v="2"/>
    <x v="9"/>
    <x v="2"/>
    <n v="1.6842999999999999"/>
    <n v="272.15079900000001"/>
    <n v="0.84219999999999995"/>
    <n v="405"/>
    <s v="not outlier"/>
    <s v="not outlier"/>
    <s v="not outlier"/>
    <s v="not outlier"/>
  </r>
  <r>
    <x v="2"/>
    <x v="7"/>
    <x v="2"/>
    <x v="9"/>
    <x v="4"/>
    <n v="0.2838"/>
    <n v="45.835925000000003"/>
    <n v="0.21279999999999999"/>
    <n v="168"/>
    <s v="not outlier"/>
    <s v="not outlier"/>
    <s v="not outlier"/>
    <s v="not outlier"/>
  </r>
  <r>
    <x v="2"/>
    <x v="7"/>
    <x v="0"/>
    <x v="9"/>
    <x v="0"/>
    <n v="51.0212"/>
    <n v="3597.9911860000002"/>
    <n v="10.714399999999999"/>
    <n v="9488"/>
    <s v="outlier"/>
    <s v="outlier"/>
    <s v="outlier"/>
    <s v="outlier"/>
  </r>
  <r>
    <x v="2"/>
    <x v="7"/>
    <x v="0"/>
    <x v="9"/>
    <x v="1"/>
    <n v="107.7345"/>
    <n v="12022.168798000001"/>
    <n v="37.707000000000001"/>
    <n v="17303"/>
    <s v="outlier"/>
    <s v="outlier"/>
    <s v="outlier"/>
    <s v="outlier"/>
  </r>
  <r>
    <x v="2"/>
    <x v="7"/>
    <x v="0"/>
    <x v="9"/>
    <x v="2"/>
    <n v="7.0644"/>
    <n v="1132.8631600000001"/>
    <n v="3.5320999999999998"/>
    <n v="824"/>
    <s v="not outlier"/>
    <s v="not outlier"/>
    <s v="not outlier"/>
    <s v="not outlier"/>
  </r>
  <r>
    <x v="2"/>
    <x v="7"/>
    <x v="0"/>
    <x v="9"/>
    <x v="4"/>
    <n v="1.6799999999999999E-2"/>
    <n v="3.4666800000000002"/>
    <n v="1.26E-2"/>
    <n v="5"/>
    <s v="not outlier"/>
    <s v="not outlier"/>
    <s v="not outlier"/>
    <s v="not outlier"/>
  </r>
  <r>
    <x v="2"/>
    <x v="8"/>
    <x v="1"/>
    <x v="9"/>
    <x v="0"/>
    <n v="7.9512"/>
    <n v="593.09145999999998"/>
    <n v="1.6698"/>
    <n v="431"/>
    <s v="not outlier"/>
    <s v="not outlier"/>
    <s v="not outlier"/>
    <s v="not outlier"/>
  </r>
  <r>
    <x v="2"/>
    <x v="8"/>
    <x v="1"/>
    <x v="9"/>
    <x v="1"/>
    <n v="38.008899999999997"/>
    <n v="4003.4489410000001"/>
    <n v="13.3033"/>
    <n v="654"/>
    <s v="outlier"/>
    <s v="outlier"/>
    <s v="outlier"/>
    <s v="not outlier"/>
  </r>
  <r>
    <x v="2"/>
    <x v="8"/>
    <x v="1"/>
    <x v="9"/>
    <x v="2"/>
    <n v="24.308599999999998"/>
    <n v="3206.174313"/>
    <n v="12.154400000000001"/>
    <n v="540"/>
    <s v="outlier"/>
    <s v="outlier"/>
    <s v="outlier"/>
    <s v="not outlier"/>
  </r>
  <r>
    <x v="2"/>
    <x v="8"/>
    <x v="2"/>
    <x v="9"/>
    <x v="0"/>
    <n v="21.645199999999999"/>
    <n v="1619.21498"/>
    <n v="4.5454999999999997"/>
    <n v="4711"/>
    <s v="not outlier"/>
    <s v="not outlier"/>
    <s v="not outlier"/>
    <s v="outlier"/>
  </r>
  <r>
    <x v="2"/>
    <x v="8"/>
    <x v="2"/>
    <x v="9"/>
    <x v="1"/>
    <n v="59.872500000000002"/>
    <n v="6284.66363"/>
    <n v="20.955400000000001"/>
    <n v="9650"/>
    <s v="outlier"/>
    <s v="outlier"/>
    <s v="outlier"/>
    <s v="outlier"/>
  </r>
  <r>
    <x v="2"/>
    <x v="8"/>
    <x v="2"/>
    <x v="9"/>
    <x v="2"/>
    <n v="1.7908999999999999"/>
    <n v="304.38489700000002"/>
    <n v="0.89539999999999997"/>
    <n v="432"/>
    <s v="not outlier"/>
    <s v="not outlier"/>
    <s v="not outlier"/>
    <s v="not outlier"/>
  </r>
  <r>
    <x v="2"/>
    <x v="8"/>
    <x v="2"/>
    <x v="9"/>
    <x v="4"/>
    <n v="0.29330000000000001"/>
    <n v="47.363750000000003"/>
    <n v="0.21990000000000001"/>
    <n v="168"/>
    <s v="not outlier"/>
    <s v="not outlier"/>
    <s v="not outlier"/>
    <s v="not outlier"/>
  </r>
  <r>
    <x v="2"/>
    <x v="8"/>
    <x v="0"/>
    <x v="9"/>
    <x v="0"/>
    <n v="40.090299999999999"/>
    <n v="2873.741751"/>
    <n v="8.4189000000000007"/>
    <n v="7904"/>
    <s v="outlier"/>
    <s v="outlier"/>
    <s v="outlier"/>
    <s v="outlier"/>
  </r>
  <r>
    <x v="2"/>
    <x v="8"/>
    <x v="0"/>
    <x v="9"/>
    <x v="1"/>
    <n v="154.49189999999999"/>
    <n v="15221.22025"/>
    <n v="54.072299999999998"/>
    <n v="18868"/>
    <s v="outlier"/>
    <s v="outlier"/>
    <s v="outlier"/>
    <s v="outlier"/>
  </r>
  <r>
    <x v="2"/>
    <x v="8"/>
    <x v="0"/>
    <x v="9"/>
    <x v="2"/>
    <n v="8.9411000000000005"/>
    <n v="1254.763085"/>
    <n v="4.4703999999999997"/>
    <n v="724"/>
    <s v="not outlier"/>
    <s v="not outlier"/>
    <s v="not outlier"/>
    <s v="not outlier"/>
  </r>
  <r>
    <x v="2"/>
    <x v="8"/>
    <x v="0"/>
    <x v="9"/>
    <x v="4"/>
    <n v="1.7299999999999999E-2"/>
    <n v="3.582185"/>
    <n v="1.2999999999999999E-2"/>
    <n v="5"/>
    <s v="not outlier"/>
    <s v="not outlier"/>
    <s v="not outlier"/>
    <s v="not outlier"/>
  </r>
  <r>
    <x v="2"/>
    <x v="9"/>
    <x v="1"/>
    <x v="9"/>
    <x v="0"/>
    <n v="8.0892999999999997"/>
    <n v="594.58878300000003"/>
    <n v="1.6988000000000001"/>
    <n v="408"/>
    <s v="not outlier"/>
    <s v="not outlier"/>
    <s v="not outlier"/>
    <s v="not outlier"/>
  </r>
  <r>
    <x v="2"/>
    <x v="9"/>
    <x v="1"/>
    <x v="9"/>
    <x v="1"/>
    <n v="30.621600000000001"/>
    <n v="3368.8655979999999"/>
    <n v="10.717599999999999"/>
    <n v="636"/>
    <s v="outlier"/>
    <s v="outlier"/>
    <s v="outlier"/>
    <s v="not outlier"/>
  </r>
  <r>
    <x v="2"/>
    <x v="9"/>
    <x v="1"/>
    <x v="9"/>
    <x v="2"/>
    <n v="26.051400000000001"/>
    <n v="3372.1738730000002"/>
    <n v="13.0236"/>
    <n v="490"/>
    <s v="outlier"/>
    <s v="outlier"/>
    <s v="outlier"/>
    <s v="not outlier"/>
  </r>
  <r>
    <x v="2"/>
    <x v="9"/>
    <x v="2"/>
    <x v="9"/>
    <x v="0"/>
    <n v="17.5685"/>
    <n v="1345.404076"/>
    <n v="3.6894"/>
    <n v="3957"/>
    <s v="not outlier"/>
    <s v="not outlier"/>
    <s v="not outlier"/>
    <s v="outlier"/>
  </r>
  <r>
    <x v="2"/>
    <x v="9"/>
    <x v="2"/>
    <x v="9"/>
    <x v="1"/>
    <n v="58.143999999999998"/>
    <n v="6175.5323969999999"/>
    <n v="20.3505"/>
    <n v="9622"/>
    <s v="outlier"/>
    <s v="outlier"/>
    <s v="outlier"/>
    <s v="outlier"/>
  </r>
  <r>
    <x v="2"/>
    <x v="9"/>
    <x v="2"/>
    <x v="9"/>
    <x v="2"/>
    <n v="2.6274000000000002"/>
    <n v="400.43831899999998"/>
    <n v="1.3064"/>
    <n v="873"/>
    <s v="not outlier"/>
    <s v="not outlier"/>
    <s v="not outlier"/>
    <s v="not outlier"/>
  </r>
  <r>
    <x v="2"/>
    <x v="9"/>
    <x v="2"/>
    <x v="9"/>
    <x v="4"/>
    <n v="0.29330000000000001"/>
    <n v="47.363750000000003"/>
    <n v="0.21990000000000001"/>
    <n v="168"/>
    <s v="not outlier"/>
    <s v="not outlier"/>
    <s v="not outlier"/>
    <s v="not outlier"/>
  </r>
  <r>
    <x v="2"/>
    <x v="9"/>
    <x v="0"/>
    <x v="9"/>
    <x v="0"/>
    <n v="43.929200000000002"/>
    <n v="3039.610091"/>
    <n v="9.2250999999999994"/>
    <n v="7021"/>
    <s v="outlier"/>
    <s v="outlier"/>
    <s v="outlier"/>
    <s v="outlier"/>
  </r>
  <r>
    <x v="2"/>
    <x v="9"/>
    <x v="0"/>
    <x v="9"/>
    <x v="3"/>
    <n v="6.9999999999999999E-4"/>
    <n v="4.6413999999999997E-2"/>
    <n v="2.0000000000000001E-4"/>
    <n v="1"/>
    <s v="not outlier"/>
    <s v="not outlier"/>
    <s v="not outlier"/>
    <s v="not outlier"/>
  </r>
  <r>
    <x v="2"/>
    <x v="9"/>
    <x v="0"/>
    <x v="9"/>
    <x v="1"/>
    <n v="136.4948"/>
    <n v="13934.444727"/>
    <n v="47.773200000000003"/>
    <n v="19290"/>
    <s v="outlier"/>
    <s v="outlier"/>
    <s v="outlier"/>
    <s v="outlier"/>
  </r>
  <r>
    <x v="2"/>
    <x v="9"/>
    <x v="0"/>
    <x v="9"/>
    <x v="2"/>
    <n v="8.7719000000000005"/>
    <n v="1290.3116910000001"/>
    <n v="4.3630000000000004"/>
    <n v="2403"/>
    <s v="not outlier"/>
    <s v="not outlier"/>
    <s v="not outlier"/>
    <s v="not outlier"/>
  </r>
  <r>
    <x v="2"/>
    <x v="9"/>
    <x v="0"/>
    <x v="9"/>
    <x v="4"/>
    <n v="1.7299999999999999E-2"/>
    <n v="3.582185"/>
    <n v="1.2999999999999999E-2"/>
    <n v="5"/>
    <s v="not outlier"/>
    <s v="not outlier"/>
    <s v="not outlier"/>
    <s v="not outlier"/>
  </r>
  <r>
    <x v="2"/>
    <x v="10"/>
    <x v="1"/>
    <x v="9"/>
    <x v="0"/>
    <n v="4.4724000000000004"/>
    <n v="372.44873799999999"/>
    <n v="0.93920000000000003"/>
    <n v="337"/>
    <s v="not outlier"/>
    <s v="not outlier"/>
    <s v="not outlier"/>
    <s v="not outlier"/>
  </r>
  <r>
    <x v="2"/>
    <x v="10"/>
    <x v="1"/>
    <x v="9"/>
    <x v="1"/>
    <n v="36.849400000000003"/>
    <n v="3683.3465890000002"/>
    <n v="12.8973"/>
    <n v="561"/>
    <s v="outlier"/>
    <s v="outlier"/>
    <s v="outlier"/>
    <s v="not outlier"/>
  </r>
  <r>
    <x v="2"/>
    <x v="10"/>
    <x v="1"/>
    <x v="9"/>
    <x v="2"/>
    <n v="20.111599999999999"/>
    <n v="2658.1624259999999"/>
    <n v="10.045500000000001"/>
    <n v="459"/>
    <s v="not outlier"/>
    <s v="outlier"/>
    <s v="outlier"/>
    <s v="not outlier"/>
  </r>
  <r>
    <x v="2"/>
    <x v="10"/>
    <x v="2"/>
    <x v="9"/>
    <x v="0"/>
    <n v="13.612"/>
    <n v="1019.348168"/>
    <n v="2.8586"/>
    <n v="3207"/>
    <s v="not outlier"/>
    <s v="not outlier"/>
    <s v="not outlier"/>
    <s v="outlier"/>
  </r>
  <r>
    <x v="2"/>
    <x v="10"/>
    <x v="2"/>
    <x v="9"/>
    <x v="1"/>
    <n v="53.9114"/>
    <n v="5939.7496799999999"/>
    <n v="18.869"/>
    <n v="8071"/>
    <s v="outlier"/>
    <s v="outlier"/>
    <s v="outlier"/>
    <s v="outlier"/>
  </r>
  <r>
    <x v="2"/>
    <x v="10"/>
    <x v="2"/>
    <x v="9"/>
    <x v="2"/>
    <n v="6.1974999999999998"/>
    <n v="813.65182900000002"/>
    <n v="3.0510999999999999"/>
    <n v="1798"/>
    <s v="not outlier"/>
    <s v="not outlier"/>
    <s v="not outlier"/>
    <s v="not outlier"/>
  </r>
  <r>
    <x v="2"/>
    <x v="10"/>
    <x v="2"/>
    <x v="9"/>
    <x v="4"/>
    <n v="0.2838"/>
    <n v="45.835925000000003"/>
    <n v="0.21279999999999999"/>
    <n v="168"/>
    <s v="not outlier"/>
    <s v="not outlier"/>
    <s v="not outlier"/>
    <s v="not outlier"/>
  </r>
  <r>
    <x v="2"/>
    <x v="10"/>
    <x v="0"/>
    <x v="9"/>
    <x v="0"/>
    <n v="33.580800000000004"/>
    <n v="2550.8101190000002"/>
    <n v="7.0519999999999996"/>
    <n v="5417"/>
    <s v="outlier"/>
    <s v="outlier"/>
    <s v="not outlier"/>
    <s v="outlier"/>
  </r>
  <r>
    <x v="2"/>
    <x v="10"/>
    <x v="0"/>
    <x v="9"/>
    <x v="1"/>
    <n v="101.4127"/>
    <n v="12097.787420000001"/>
    <n v="35.494399999999999"/>
    <n v="16888"/>
    <s v="outlier"/>
    <s v="outlier"/>
    <s v="outlier"/>
    <s v="outlier"/>
  </r>
  <r>
    <x v="2"/>
    <x v="10"/>
    <x v="0"/>
    <x v="9"/>
    <x v="2"/>
    <n v="20.623999999999999"/>
    <n v="2737.0403230000002"/>
    <n v="10.1936"/>
    <n v="4012"/>
    <s v="not outlier"/>
    <s v="outlier"/>
    <s v="outlier"/>
    <s v="outlier"/>
  </r>
  <r>
    <x v="2"/>
    <x v="10"/>
    <x v="0"/>
    <x v="9"/>
    <x v="4"/>
    <n v="1.6799999999999999E-2"/>
    <n v="3.4666800000000002"/>
    <n v="1.26E-2"/>
    <n v="5"/>
    <s v="not outlier"/>
    <s v="not outlier"/>
    <s v="not outlier"/>
    <s v="not outlier"/>
  </r>
  <r>
    <x v="2"/>
    <x v="11"/>
    <x v="1"/>
    <x v="9"/>
    <x v="0"/>
    <n v="8.1066000000000003"/>
    <n v="618.48177699999997"/>
    <n v="1.7023999999999999"/>
    <n v="392"/>
    <s v="not outlier"/>
    <s v="not outlier"/>
    <s v="not outlier"/>
    <s v="not outlier"/>
  </r>
  <r>
    <x v="2"/>
    <x v="11"/>
    <x v="1"/>
    <x v="9"/>
    <x v="1"/>
    <n v="65.06"/>
    <n v="5995.7105419999998"/>
    <n v="22.771000000000001"/>
    <n v="624"/>
    <s v="outlier"/>
    <s v="outlier"/>
    <s v="outlier"/>
    <s v="not outlier"/>
  </r>
  <r>
    <x v="2"/>
    <x v="11"/>
    <x v="1"/>
    <x v="9"/>
    <x v="2"/>
    <n v="34.969799999999999"/>
    <n v="4346.8723309999996"/>
    <n v="17.473700000000001"/>
    <n v="522"/>
    <s v="outlier"/>
    <s v="outlier"/>
    <s v="outlier"/>
    <s v="not outlier"/>
  </r>
  <r>
    <x v="2"/>
    <x v="11"/>
    <x v="2"/>
    <x v="9"/>
    <x v="0"/>
    <n v="14.072900000000001"/>
    <n v="1104.7091399999999"/>
    <n v="2.9552999999999998"/>
    <n v="2918"/>
    <s v="not outlier"/>
    <s v="not outlier"/>
    <s v="not outlier"/>
    <s v="outlier"/>
  </r>
  <r>
    <x v="2"/>
    <x v="11"/>
    <x v="2"/>
    <x v="9"/>
    <x v="1"/>
    <n v="53.130099999999999"/>
    <n v="5945.9333839999999"/>
    <n v="18.595500000000001"/>
    <n v="8665"/>
    <s v="outlier"/>
    <s v="outlier"/>
    <s v="outlier"/>
    <s v="outlier"/>
  </r>
  <r>
    <x v="2"/>
    <x v="11"/>
    <x v="2"/>
    <x v="9"/>
    <x v="2"/>
    <n v="8.8827999999999996"/>
    <n v="1161.74794"/>
    <n v="4.3691000000000004"/>
    <n v="2423"/>
    <s v="not outlier"/>
    <s v="not outlier"/>
    <s v="not outlier"/>
    <s v="not outlier"/>
  </r>
  <r>
    <x v="2"/>
    <x v="11"/>
    <x v="2"/>
    <x v="9"/>
    <x v="4"/>
    <n v="0.29680000000000001"/>
    <n v="47.929870999999999"/>
    <n v="0.22259999999999999"/>
    <n v="170"/>
    <s v="not outlier"/>
    <s v="not outlier"/>
    <s v="not outlier"/>
    <s v="not outlier"/>
  </r>
  <r>
    <x v="2"/>
    <x v="11"/>
    <x v="0"/>
    <x v="9"/>
    <x v="0"/>
    <n v="41.805799999999998"/>
    <n v="2955.4400420000002"/>
    <n v="8.7791999999999994"/>
    <n v="4562"/>
    <s v="outlier"/>
    <s v="outlier"/>
    <s v="outlier"/>
    <s v="outlier"/>
  </r>
  <r>
    <x v="2"/>
    <x v="11"/>
    <x v="0"/>
    <x v="9"/>
    <x v="1"/>
    <n v="195.5282"/>
    <n v="18673.789433000002"/>
    <n v="68.435000000000002"/>
    <n v="18126"/>
    <s v="outlier"/>
    <s v="outlier"/>
    <s v="outlier"/>
    <s v="outlier"/>
  </r>
  <r>
    <x v="2"/>
    <x v="11"/>
    <x v="0"/>
    <x v="9"/>
    <x v="2"/>
    <n v="23.982099999999999"/>
    <n v="3245.0298010000001"/>
    <n v="11.837400000000001"/>
    <n v="4735"/>
    <s v="outlier"/>
    <s v="outlier"/>
    <s v="outlier"/>
    <s v="outlier"/>
  </r>
  <r>
    <x v="2"/>
    <x v="11"/>
    <x v="0"/>
    <x v="9"/>
    <x v="4"/>
    <n v="2.4899999999999999E-2"/>
    <n v="5.1493950000000002"/>
    <n v="1.8700000000000001E-2"/>
    <n v="6"/>
    <s v="not outlier"/>
    <s v="not outlier"/>
    <s v="not outlier"/>
    <s v="not outlier"/>
  </r>
  <r>
    <x v="2"/>
    <x v="0"/>
    <x v="1"/>
    <x v="9"/>
    <x v="0"/>
    <n v="6.0646000000000004"/>
    <n v="496.74595900000003"/>
    <n v="1.2735000000000001"/>
    <n v="408"/>
    <s v="not outlier"/>
    <s v="not outlier"/>
    <s v="not outlier"/>
    <s v="not outlier"/>
  </r>
  <r>
    <x v="2"/>
    <x v="0"/>
    <x v="1"/>
    <x v="9"/>
    <x v="1"/>
    <n v="49.632199999999997"/>
    <n v="4540.5662780000002"/>
    <n v="17.371300000000002"/>
    <n v="623"/>
    <s v="outlier"/>
    <s v="outlier"/>
    <s v="outlier"/>
    <s v="not outlier"/>
  </r>
  <r>
    <x v="2"/>
    <x v="0"/>
    <x v="1"/>
    <x v="9"/>
    <x v="2"/>
    <n v="27.436599999999999"/>
    <n v="3393.6358869999999"/>
    <n v="13.708600000000001"/>
    <n v="530"/>
    <s v="outlier"/>
    <s v="outlier"/>
    <s v="outlier"/>
    <s v="not outlier"/>
  </r>
  <r>
    <x v="2"/>
    <x v="0"/>
    <x v="2"/>
    <x v="9"/>
    <x v="0"/>
    <n v="15.3058"/>
    <n v="1228.08464"/>
    <n v="3.2141999999999999"/>
    <n v="2865"/>
    <s v="not outlier"/>
    <s v="not outlier"/>
    <s v="not outlier"/>
    <s v="outlier"/>
  </r>
  <r>
    <x v="2"/>
    <x v="0"/>
    <x v="2"/>
    <x v="9"/>
    <x v="1"/>
    <n v="33.4998"/>
    <n v="4286.6524319999999"/>
    <n v="11.7249"/>
    <n v="8472"/>
    <s v="outlier"/>
    <s v="outlier"/>
    <s v="outlier"/>
    <s v="outlier"/>
  </r>
  <r>
    <x v="2"/>
    <x v="0"/>
    <x v="2"/>
    <x v="9"/>
    <x v="2"/>
    <n v="8"/>
    <n v="1120.3620129999999"/>
    <n v="3.94"/>
    <n v="3215"/>
    <s v="not outlier"/>
    <s v="not outlier"/>
    <s v="not outlier"/>
    <s v="outlier"/>
  </r>
  <r>
    <x v="2"/>
    <x v="0"/>
    <x v="0"/>
    <x v="9"/>
    <x v="0"/>
    <n v="32.9255"/>
    <n v="2573.4751900000001"/>
    <n v="6.9143999999999997"/>
    <n v="4883"/>
    <s v="outlier"/>
    <s v="outlier"/>
    <s v="not outlier"/>
    <s v="outlier"/>
  </r>
  <r>
    <x v="2"/>
    <x v="0"/>
    <x v="0"/>
    <x v="9"/>
    <x v="1"/>
    <n v="109.5556"/>
    <n v="12847.27447"/>
    <n v="38.344499999999996"/>
    <n v="17478"/>
    <s v="outlier"/>
    <s v="outlier"/>
    <s v="outlier"/>
    <s v="outlier"/>
  </r>
  <r>
    <x v="2"/>
    <x v="0"/>
    <x v="0"/>
    <x v="9"/>
    <x v="2"/>
    <n v="25.076799999999999"/>
    <n v="3373.0182810000001"/>
    <n v="12.3856"/>
    <n v="5795"/>
    <s v="outlier"/>
    <s v="outlier"/>
    <s v="outlier"/>
    <s v="outlier"/>
  </r>
  <r>
    <x v="2"/>
    <x v="0"/>
    <x v="0"/>
    <x v="9"/>
    <x v="4"/>
    <n v="2.41E-2"/>
    <n v="4.9832989999999997"/>
    <n v="1.7999999999999999E-2"/>
    <n v="6"/>
    <s v="not outlier"/>
    <s v="not outlier"/>
    <s v="not outlier"/>
    <s v="not outlier"/>
  </r>
  <r>
    <x v="2"/>
    <x v="1"/>
    <x v="1"/>
    <x v="9"/>
    <x v="0"/>
    <n v="5.7782999999999998"/>
    <n v="479.59158500000001"/>
    <n v="1.2135"/>
    <n v="389"/>
    <s v="not outlier"/>
    <s v="not outlier"/>
    <s v="not outlier"/>
    <s v="not outlier"/>
  </r>
  <r>
    <x v="2"/>
    <x v="1"/>
    <x v="1"/>
    <x v="9"/>
    <x v="1"/>
    <n v="26.398"/>
    <n v="3098.2747159999999"/>
    <n v="9.2393000000000001"/>
    <n v="596"/>
    <s v="outlier"/>
    <s v="outlier"/>
    <s v="outlier"/>
    <s v="not outlier"/>
  </r>
  <r>
    <x v="2"/>
    <x v="1"/>
    <x v="1"/>
    <x v="9"/>
    <x v="2"/>
    <n v="30.0701"/>
    <n v="3720.114364"/>
    <n v="15.0265"/>
    <n v="501"/>
    <s v="outlier"/>
    <s v="outlier"/>
    <s v="outlier"/>
    <s v="not outlier"/>
  </r>
  <r>
    <x v="2"/>
    <x v="1"/>
    <x v="2"/>
    <x v="9"/>
    <x v="0"/>
    <n v="14.025399999999999"/>
    <n v="1104.6946849999999"/>
    <n v="2.9453"/>
    <n v="2688"/>
    <s v="not outlier"/>
    <s v="not outlier"/>
    <s v="not outlier"/>
    <s v="not outlier"/>
  </r>
  <r>
    <x v="2"/>
    <x v="1"/>
    <x v="2"/>
    <x v="9"/>
    <x v="1"/>
    <n v="41.937199999999997"/>
    <n v="5315.2365040000004"/>
    <n v="14.678000000000001"/>
    <n v="7912"/>
    <s v="outlier"/>
    <s v="outlier"/>
    <s v="outlier"/>
    <s v="outlier"/>
  </r>
  <r>
    <x v="2"/>
    <x v="1"/>
    <x v="2"/>
    <x v="9"/>
    <x v="2"/>
    <n v="8.8173999999999992"/>
    <n v="1180.5506829999999"/>
    <n v="4.3360000000000003"/>
    <n v="3076"/>
    <s v="not outlier"/>
    <s v="not outlier"/>
    <s v="not outlier"/>
    <s v="outlier"/>
  </r>
  <r>
    <x v="2"/>
    <x v="1"/>
    <x v="0"/>
    <x v="9"/>
    <x v="0"/>
    <n v="27.536799999999999"/>
    <n v="2257.7323289999999"/>
    <n v="5.7827999999999999"/>
    <n v="4364"/>
    <s v="outlier"/>
    <s v="outlier"/>
    <s v="not outlier"/>
    <s v="outlier"/>
  </r>
  <r>
    <x v="2"/>
    <x v="1"/>
    <x v="0"/>
    <x v="9"/>
    <x v="1"/>
    <n v="124.5474"/>
    <n v="14747.014971000001"/>
    <n v="43.5916"/>
    <n v="16029"/>
    <s v="outlier"/>
    <s v="outlier"/>
    <s v="outlier"/>
    <s v="outlier"/>
  </r>
  <r>
    <x v="2"/>
    <x v="1"/>
    <x v="0"/>
    <x v="9"/>
    <x v="2"/>
    <n v="22.1265"/>
    <n v="2942.5828320000001"/>
    <n v="10.9131"/>
    <n v="6072"/>
    <s v="not outlier"/>
    <s v="outlier"/>
    <s v="outlier"/>
    <s v="outlier"/>
  </r>
  <r>
    <x v="2"/>
    <x v="1"/>
    <x v="0"/>
    <x v="9"/>
    <x v="4"/>
    <n v="2.4899999999999999E-2"/>
    <n v="5.1493950000000002"/>
    <n v="1.8700000000000001E-2"/>
    <n v="6"/>
    <s v="not outlier"/>
    <s v="not outlier"/>
    <s v="not outlier"/>
    <s v="not outlier"/>
  </r>
  <r>
    <x v="2"/>
    <x v="2"/>
    <x v="1"/>
    <x v="9"/>
    <x v="5"/>
    <n v="10.053699999999999"/>
    <n v="732.97979999999995"/>
    <n v="2.0106999999999999"/>
    <n v="411"/>
    <s v="not outlier"/>
    <s v="not outlier"/>
    <s v="not outlier"/>
    <s v="not outlier"/>
  </r>
  <r>
    <x v="2"/>
    <x v="2"/>
    <x v="2"/>
    <x v="9"/>
    <x v="5"/>
    <n v="6.1787999999999998"/>
    <n v="460.20650000000001"/>
    <n v="1.2358"/>
    <n v="1101"/>
    <s v="not outlier"/>
    <s v="not outlier"/>
    <s v="not outlier"/>
    <s v="not outlier"/>
  </r>
  <r>
    <x v="2"/>
    <x v="2"/>
    <x v="0"/>
    <x v="9"/>
    <x v="5"/>
    <n v="17.2088"/>
    <n v="1310.1595"/>
    <n v="3.4417"/>
    <n v="1929"/>
    <s v="not outlier"/>
    <s v="not outlier"/>
    <s v="not outlier"/>
    <s v="not outlier"/>
  </r>
  <r>
    <x v="2"/>
    <x v="3"/>
    <x v="1"/>
    <x v="9"/>
    <x v="5"/>
    <n v="9.7912999999999997"/>
    <n v="666.1454"/>
    <n v="1.9583999999999999"/>
    <n v="392"/>
    <s v="not outlier"/>
    <s v="not outlier"/>
    <s v="not outlier"/>
    <s v="not outlier"/>
  </r>
  <r>
    <x v="2"/>
    <x v="3"/>
    <x v="2"/>
    <x v="9"/>
    <x v="5"/>
    <n v="4.6616"/>
    <n v="367.68819999999999"/>
    <n v="0.93240000000000001"/>
    <n v="843"/>
    <s v="not outlier"/>
    <s v="not outlier"/>
    <s v="not outlier"/>
    <s v="not outlier"/>
  </r>
  <r>
    <x v="2"/>
    <x v="3"/>
    <x v="0"/>
    <x v="9"/>
    <x v="5"/>
    <n v="12.1234"/>
    <n v="992.17550000000006"/>
    <n v="2.4245999999999999"/>
    <n v="1624"/>
    <s v="not outlier"/>
    <s v="not outlier"/>
    <s v="not outlier"/>
    <s v="not outlier"/>
  </r>
  <r>
    <x v="2"/>
    <x v="4"/>
    <x v="1"/>
    <x v="9"/>
    <x v="5"/>
    <n v="16.243300000000001"/>
    <n v="1111.4856"/>
    <n v="3.2486000000000002"/>
    <n v="339"/>
    <s v="not outlier"/>
    <s v="not outlier"/>
    <s v="not outlier"/>
    <s v="not outlier"/>
  </r>
  <r>
    <x v="2"/>
    <x v="4"/>
    <x v="2"/>
    <x v="9"/>
    <x v="5"/>
    <n v="3.9952000000000001"/>
    <n v="333.67649999999998"/>
    <n v="0.79890000000000005"/>
    <n v="791"/>
    <s v="not outlier"/>
    <s v="not outlier"/>
    <s v="not outlier"/>
    <s v="not outlier"/>
  </r>
  <r>
    <x v="2"/>
    <x v="4"/>
    <x v="0"/>
    <x v="9"/>
    <x v="5"/>
    <n v="18.528300000000002"/>
    <n v="1307.2"/>
    <n v="3.7056"/>
    <n v="1466"/>
    <s v="not outlier"/>
    <s v="not outlier"/>
    <s v="not outlier"/>
    <s v="not outlier"/>
  </r>
  <r>
    <x v="2"/>
    <x v="5"/>
    <x v="1"/>
    <x v="9"/>
    <x v="5"/>
    <n v="7.3804999999999996"/>
    <n v="577.65989999999999"/>
    <n v="1.4761"/>
    <n v="310"/>
    <s v="not outlier"/>
    <s v="not outlier"/>
    <s v="not outlier"/>
    <s v="not outlier"/>
  </r>
  <r>
    <x v="2"/>
    <x v="5"/>
    <x v="2"/>
    <x v="9"/>
    <x v="5"/>
    <n v="4.2591000000000001"/>
    <n v="348.50400000000002"/>
    <n v="0.85189999999999999"/>
    <n v="778"/>
    <s v="not outlier"/>
    <s v="not outlier"/>
    <s v="not outlier"/>
    <s v="not outlier"/>
  </r>
  <r>
    <x v="2"/>
    <x v="5"/>
    <x v="0"/>
    <x v="9"/>
    <x v="5"/>
    <n v="28.006599999999999"/>
    <n v="1561.4301"/>
    <n v="5.6012000000000004"/>
    <n v="1607"/>
    <s v="outlier"/>
    <s v="not outlier"/>
    <s v="not outlier"/>
    <s v="not outlier"/>
  </r>
  <r>
    <x v="2"/>
    <x v="6"/>
    <x v="1"/>
    <x v="9"/>
    <x v="5"/>
    <n v="6.8372999999999999"/>
    <n v="551.19290000000001"/>
    <n v="1.3674999999999999"/>
    <n v="312"/>
    <s v="not outlier"/>
    <s v="not outlier"/>
    <s v="not outlier"/>
    <s v="not outlier"/>
  </r>
  <r>
    <x v="2"/>
    <x v="6"/>
    <x v="2"/>
    <x v="9"/>
    <x v="5"/>
    <n v="5.7554999999999996"/>
    <n v="467.64339999999999"/>
    <n v="1.151"/>
    <n v="820"/>
    <s v="not outlier"/>
    <s v="not outlier"/>
    <s v="not outlier"/>
    <s v="not outlier"/>
  </r>
  <r>
    <x v="2"/>
    <x v="6"/>
    <x v="0"/>
    <x v="9"/>
    <x v="5"/>
    <n v="14.3789"/>
    <n v="1050.2044000000001"/>
    <n v="2.8757999999999999"/>
    <n v="1236"/>
    <s v="not outlier"/>
    <s v="not outlier"/>
    <s v="not outlier"/>
    <s v="not outlier"/>
  </r>
  <r>
    <x v="2"/>
    <x v="7"/>
    <x v="1"/>
    <x v="9"/>
    <x v="5"/>
    <n v="5.7480000000000002"/>
    <n v="460.81889999999999"/>
    <n v="1.1496"/>
    <n v="315"/>
    <s v="not outlier"/>
    <s v="not outlier"/>
    <s v="not outlier"/>
    <s v="not outlier"/>
  </r>
  <r>
    <x v="2"/>
    <x v="7"/>
    <x v="2"/>
    <x v="9"/>
    <x v="5"/>
    <n v="5.8023999999999996"/>
    <n v="436.7045"/>
    <n v="1.1605000000000001"/>
    <n v="846"/>
    <s v="not outlier"/>
    <s v="not outlier"/>
    <s v="not outlier"/>
    <s v="not outlier"/>
  </r>
  <r>
    <x v="2"/>
    <x v="7"/>
    <x v="0"/>
    <x v="9"/>
    <x v="5"/>
    <n v="13.5144"/>
    <n v="1010.165"/>
    <n v="2.7029000000000001"/>
    <n v="1255"/>
    <s v="not outlier"/>
    <s v="not outlier"/>
    <s v="not outlier"/>
    <s v="not outlier"/>
  </r>
  <r>
    <x v="2"/>
    <x v="8"/>
    <x v="1"/>
    <x v="9"/>
    <x v="5"/>
    <n v="5.6314000000000002"/>
    <n v="432.37329999999997"/>
    <n v="1.1262000000000001"/>
    <n v="301"/>
    <s v="not outlier"/>
    <s v="not outlier"/>
    <s v="not outlier"/>
    <s v="not outlier"/>
  </r>
  <r>
    <x v="2"/>
    <x v="8"/>
    <x v="2"/>
    <x v="9"/>
    <x v="5"/>
    <n v="3.7073999999999998"/>
    <n v="311.91520000000003"/>
    <n v="0.74139999999999995"/>
    <n v="589"/>
    <s v="not outlier"/>
    <s v="not outlier"/>
    <s v="not outlier"/>
    <s v="not outlier"/>
  </r>
  <r>
    <x v="2"/>
    <x v="8"/>
    <x v="0"/>
    <x v="9"/>
    <x v="5"/>
    <n v="11.843500000000001"/>
    <n v="894.30610000000001"/>
    <n v="2.3685999999999998"/>
    <n v="1201"/>
    <s v="not outlier"/>
    <s v="not outlier"/>
    <s v="not outlier"/>
    <s v="not outlier"/>
  </r>
  <r>
    <x v="2"/>
    <x v="9"/>
    <x v="1"/>
    <x v="9"/>
    <x v="5"/>
    <n v="4.9946999999999999"/>
    <n v="350.64789999999999"/>
    <n v="0.99890000000000001"/>
    <n v="295"/>
    <s v="not outlier"/>
    <s v="not outlier"/>
    <s v="not outlier"/>
    <s v="not outlier"/>
  </r>
  <r>
    <x v="2"/>
    <x v="9"/>
    <x v="2"/>
    <x v="9"/>
    <x v="5"/>
    <n v="3.7602000000000002"/>
    <n v="312.31299999999999"/>
    <n v="0.75190000000000001"/>
    <n v="813"/>
    <s v="not outlier"/>
    <s v="not outlier"/>
    <s v="not outlier"/>
    <s v="not outlier"/>
  </r>
  <r>
    <x v="2"/>
    <x v="9"/>
    <x v="0"/>
    <x v="9"/>
    <x v="5"/>
    <n v="9.8409999999999993"/>
    <n v="794.33199999999999"/>
    <n v="1.9681999999999999"/>
    <n v="1201"/>
    <s v="not outlier"/>
    <s v="not outlier"/>
    <s v="not outlier"/>
    <s v="not outlier"/>
  </r>
  <r>
    <x v="2"/>
    <x v="10"/>
    <x v="1"/>
    <x v="9"/>
    <x v="5"/>
    <n v="2.8003999999999998"/>
    <n v="175.3501"/>
    <n v="0.56010000000000004"/>
    <n v="154"/>
    <s v="not outlier"/>
    <s v="not outlier"/>
    <s v="not outlier"/>
    <s v="not outlier"/>
  </r>
  <r>
    <x v="2"/>
    <x v="10"/>
    <x v="2"/>
    <x v="9"/>
    <x v="5"/>
    <n v="1.9584999999999999"/>
    <n v="150.93379999999999"/>
    <n v="0.39169999999999999"/>
    <n v="311"/>
    <s v="not outlier"/>
    <s v="not outlier"/>
    <s v="not outlier"/>
    <s v="not outlier"/>
  </r>
  <r>
    <x v="2"/>
    <x v="10"/>
    <x v="0"/>
    <x v="9"/>
    <x v="5"/>
    <n v="7.5782999999999996"/>
    <n v="633.95069999999998"/>
    <n v="1.5157"/>
    <n v="1050"/>
    <s v="not outlier"/>
    <s v="not outlier"/>
    <s v="not outlier"/>
    <s v="not outlier"/>
  </r>
  <r>
    <x v="2"/>
    <x v="11"/>
    <x v="1"/>
    <x v="9"/>
    <x v="5"/>
    <n v="0.5806"/>
    <n v="42.938899999999997"/>
    <n v="0.11609999999999999"/>
    <n v="46"/>
    <s v="not outlier"/>
    <s v="not outlier"/>
    <s v="not outlier"/>
    <s v="not outlier"/>
  </r>
  <r>
    <x v="2"/>
    <x v="11"/>
    <x v="2"/>
    <x v="9"/>
    <x v="5"/>
    <n v="1.4260999999999999"/>
    <n v="96.634600000000006"/>
    <n v="0.28520000000000001"/>
    <n v="404"/>
    <s v="not outlier"/>
    <s v="not outlier"/>
    <s v="not outlier"/>
    <s v="not outlier"/>
  </r>
  <r>
    <x v="2"/>
    <x v="11"/>
    <x v="0"/>
    <x v="9"/>
    <x v="5"/>
    <n v="5.1253000000000002"/>
    <n v="461.78949999999998"/>
    <n v="1.0251999999999999"/>
    <n v="858"/>
    <s v="not outlier"/>
    <s v="not outlier"/>
    <s v="not outlier"/>
    <s v="not outlier"/>
  </r>
  <r>
    <x v="2"/>
    <x v="0"/>
    <x v="1"/>
    <x v="9"/>
    <x v="5"/>
    <n v="0.52729999999999999"/>
    <n v="37.752800000000001"/>
    <n v="0.10539999999999999"/>
    <n v="36"/>
    <s v="not outlier"/>
    <s v="not outlier"/>
    <s v="not outlier"/>
    <s v="not outlier"/>
  </r>
  <r>
    <x v="2"/>
    <x v="0"/>
    <x v="2"/>
    <x v="9"/>
    <x v="5"/>
    <n v="1.1739999999999999"/>
    <n v="97.2256"/>
    <n v="0.23480000000000001"/>
    <n v="187"/>
    <s v="not outlier"/>
    <s v="not outlier"/>
    <s v="not outlier"/>
    <s v="not outlier"/>
  </r>
  <r>
    <x v="2"/>
    <x v="0"/>
    <x v="0"/>
    <x v="9"/>
    <x v="5"/>
    <n v="4.2365000000000004"/>
    <n v="353.291"/>
    <n v="0.84730000000000005"/>
    <n v="778"/>
    <s v="not outlier"/>
    <s v="not outlier"/>
    <s v="not outlier"/>
    <s v="not outlier"/>
  </r>
  <r>
    <x v="2"/>
    <x v="1"/>
    <x v="1"/>
    <x v="9"/>
    <x v="5"/>
    <n v="0.1749"/>
    <n v="14.3406"/>
    <n v="3.5000000000000003E-2"/>
    <n v="22"/>
    <s v="not outlier"/>
    <s v="not outlier"/>
    <s v="not outlier"/>
    <s v="not outlier"/>
  </r>
  <r>
    <x v="2"/>
    <x v="1"/>
    <x v="2"/>
    <x v="9"/>
    <x v="5"/>
    <n v="2.0994999999999999"/>
    <n v="123.60080000000001"/>
    <n v="0.42"/>
    <n v="200"/>
    <s v="not outlier"/>
    <s v="not outlier"/>
    <s v="not outlier"/>
    <s v="not outlier"/>
  </r>
  <r>
    <x v="2"/>
    <x v="1"/>
    <x v="0"/>
    <x v="9"/>
    <x v="5"/>
    <n v="2.5091999999999999"/>
    <n v="223.1901"/>
    <n v="0.50180000000000002"/>
    <n v="514"/>
    <s v="not outlier"/>
    <s v="not outlier"/>
    <s v="not outlier"/>
    <s v="not outlier"/>
  </r>
  <r>
    <x v="2"/>
    <x v="2"/>
    <x v="2"/>
    <x v="30"/>
    <x v="2"/>
    <n v="1.1685000000000001"/>
    <n v="135.05644100000001"/>
    <n v="0.46739999999999998"/>
    <n v="0"/>
    <s v="not outlier"/>
    <s v="not outlier"/>
    <s v="not outlier"/>
    <s v="not outlier"/>
  </r>
  <r>
    <x v="2"/>
    <x v="9"/>
    <x v="2"/>
    <x v="30"/>
    <x v="2"/>
    <n v="0.48020000000000002"/>
    <n v="56.659264"/>
    <n v="0.19209999999999999"/>
    <n v="0"/>
    <s v="not outlier"/>
    <s v="not outlier"/>
    <s v="not outlier"/>
    <s v="not outlier"/>
  </r>
  <r>
    <x v="2"/>
    <x v="3"/>
    <x v="1"/>
    <x v="12"/>
    <x v="2"/>
    <n v="0.20200000000000001"/>
    <n v="33.859988999999999"/>
    <n v="8.0799999999999997E-2"/>
    <n v="0"/>
    <s v="not outlier"/>
    <s v="not outlier"/>
    <s v="not outlier"/>
    <s v="not outlier"/>
  </r>
  <r>
    <x v="2"/>
    <x v="4"/>
    <x v="1"/>
    <x v="12"/>
    <x v="2"/>
    <n v="0.4511"/>
    <n v="82.923760000000001"/>
    <n v="0.1804"/>
    <n v="0"/>
    <s v="not outlier"/>
    <s v="not outlier"/>
    <s v="not outlier"/>
    <s v="not outlier"/>
  </r>
  <r>
    <x v="2"/>
    <x v="7"/>
    <x v="1"/>
    <x v="12"/>
    <x v="2"/>
    <n v="0.51590000000000003"/>
    <n v="65.759904000000006"/>
    <n v="0.2064"/>
    <n v="0"/>
    <s v="not outlier"/>
    <s v="not outlier"/>
    <s v="not outlier"/>
    <s v="not outlier"/>
  </r>
  <r>
    <x v="2"/>
    <x v="8"/>
    <x v="0"/>
    <x v="36"/>
    <x v="2"/>
    <n v="1.0334000000000001"/>
    <n v="198.984905"/>
    <n v="0.4133"/>
    <n v="0"/>
    <s v="not outlier"/>
    <s v="not outlier"/>
    <s v="not outlier"/>
    <s v="not outlier"/>
  </r>
  <r>
    <x v="2"/>
    <x v="1"/>
    <x v="2"/>
    <x v="36"/>
    <x v="2"/>
    <n v="0.19450000000000001"/>
    <n v="41.641204999999999"/>
    <n v="7.7799999999999994E-2"/>
    <n v="0"/>
    <s v="not outlier"/>
    <s v="not outlier"/>
    <s v="not outlier"/>
    <s v="not outlier"/>
  </r>
  <r>
    <x v="2"/>
    <x v="5"/>
    <x v="1"/>
    <x v="37"/>
    <x v="1"/>
    <n v="1.4502999999999999"/>
    <n v="92.093954999999994"/>
    <n v="0.50760000000000005"/>
    <n v="104"/>
    <s v="not outlier"/>
    <s v="not outlier"/>
    <s v="not outlier"/>
    <s v="not outlier"/>
  </r>
  <r>
    <x v="2"/>
    <x v="5"/>
    <x v="2"/>
    <x v="37"/>
    <x v="1"/>
    <n v="1.1158999999999999"/>
    <n v="89.912221000000002"/>
    <n v="0.39050000000000001"/>
    <n v="566"/>
    <s v="not outlier"/>
    <s v="not outlier"/>
    <s v="not outlier"/>
    <s v="not outlier"/>
  </r>
  <r>
    <x v="2"/>
    <x v="6"/>
    <x v="1"/>
    <x v="37"/>
    <x v="1"/>
    <n v="2.8144999999999998"/>
    <n v="192.815258"/>
    <n v="0.98509999999999998"/>
    <n v="132"/>
    <s v="not outlier"/>
    <s v="not outlier"/>
    <s v="not outlier"/>
    <s v="not outlier"/>
  </r>
  <r>
    <x v="2"/>
    <x v="6"/>
    <x v="2"/>
    <x v="37"/>
    <x v="1"/>
    <n v="4.7601000000000004"/>
    <n v="382.14135900000002"/>
    <n v="1.6660999999999999"/>
    <n v="870"/>
    <s v="not outlier"/>
    <s v="not outlier"/>
    <s v="not outlier"/>
    <s v="not outlier"/>
  </r>
  <r>
    <x v="2"/>
    <x v="6"/>
    <x v="0"/>
    <x v="37"/>
    <x v="1"/>
    <n v="4.1803999999999997"/>
    <n v="344.14095400000002"/>
    <n v="1.4631000000000001"/>
    <n v="641"/>
    <s v="not outlier"/>
    <s v="not outlier"/>
    <s v="not outlier"/>
    <s v="not outlier"/>
  </r>
  <r>
    <x v="2"/>
    <x v="7"/>
    <x v="1"/>
    <x v="37"/>
    <x v="1"/>
    <n v="1.3609"/>
    <n v="99.192218999999994"/>
    <n v="0.4763"/>
    <n v="123"/>
    <s v="not outlier"/>
    <s v="not outlier"/>
    <s v="not outlier"/>
    <s v="not outlier"/>
  </r>
  <r>
    <x v="2"/>
    <x v="7"/>
    <x v="2"/>
    <x v="37"/>
    <x v="1"/>
    <n v="2.3031000000000001"/>
    <n v="185.18833699999999"/>
    <n v="0.80610000000000004"/>
    <n v="800"/>
    <s v="not outlier"/>
    <s v="not outlier"/>
    <s v="not outlier"/>
    <s v="not outlier"/>
  </r>
  <r>
    <x v="2"/>
    <x v="8"/>
    <x v="1"/>
    <x v="37"/>
    <x v="1"/>
    <n v="1.5616000000000001"/>
    <n v="116.54471599999999"/>
    <n v="0.54659999999999997"/>
    <n v="107"/>
    <s v="not outlier"/>
    <s v="not outlier"/>
    <s v="not outlier"/>
    <s v="not outlier"/>
  </r>
  <r>
    <x v="2"/>
    <x v="8"/>
    <x v="2"/>
    <x v="37"/>
    <x v="1"/>
    <n v="1.0859000000000001"/>
    <n v="87.554177999999993"/>
    <n v="0.38009999999999999"/>
    <n v="525"/>
    <s v="not outlier"/>
    <s v="not outlier"/>
    <s v="not outlier"/>
    <s v="not outlier"/>
  </r>
  <r>
    <x v="2"/>
    <x v="9"/>
    <x v="1"/>
    <x v="37"/>
    <x v="1"/>
    <n v="1.1654"/>
    <n v="91.105464999999995"/>
    <n v="0.4078"/>
    <n v="85"/>
    <s v="not outlier"/>
    <s v="not outlier"/>
    <s v="not outlier"/>
    <s v="not outlier"/>
  </r>
  <r>
    <x v="2"/>
    <x v="10"/>
    <x v="1"/>
    <x v="37"/>
    <x v="1"/>
    <n v="0.97430000000000005"/>
    <n v="88.223206000000005"/>
    <n v="0.34100000000000003"/>
    <n v="81"/>
    <s v="not outlier"/>
    <s v="not outlier"/>
    <s v="not outlier"/>
    <s v="not outlier"/>
  </r>
  <r>
    <x v="2"/>
    <x v="11"/>
    <x v="1"/>
    <x v="37"/>
    <x v="1"/>
    <n v="0.75260000000000005"/>
    <n v="68.122720999999999"/>
    <n v="0.26340000000000002"/>
    <n v="80"/>
    <s v="not outlier"/>
    <s v="not outlier"/>
    <s v="not outlier"/>
    <s v="not outlier"/>
  </r>
  <r>
    <x v="2"/>
    <x v="0"/>
    <x v="1"/>
    <x v="37"/>
    <x v="1"/>
    <n v="1.0639000000000001"/>
    <n v="88.332611"/>
    <n v="0.37240000000000001"/>
    <n v="76"/>
    <s v="not outlier"/>
    <s v="not outlier"/>
    <s v="not outlier"/>
    <s v="not outlier"/>
  </r>
  <r>
    <x v="2"/>
    <x v="1"/>
    <x v="1"/>
    <x v="37"/>
    <x v="1"/>
    <n v="0.9899"/>
    <n v="81.820758999999995"/>
    <n v="0.34639999999999999"/>
    <n v="69"/>
    <s v="not outlier"/>
    <s v="not outlier"/>
    <s v="not outlier"/>
    <s v="not outlier"/>
  </r>
  <r>
    <x v="2"/>
    <x v="2"/>
    <x v="1"/>
    <x v="31"/>
    <x v="3"/>
    <n v="0.89410000000000001"/>
    <n v="95.339903000000007"/>
    <n v="0.28610000000000002"/>
    <n v="209"/>
    <s v="not outlier"/>
    <s v="not outlier"/>
    <s v="not outlier"/>
    <s v="not outlier"/>
  </r>
  <r>
    <x v="2"/>
    <x v="2"/>
    <x v="2"/>
    <x v="31"/>
    <x v="3"/>
    <n v="1.0834999999999999"/>
    <n v="96.791210000000007"/>
    <n v="0.34670000000000001"/>
    <n v="921"/>
    <s v="not outlier"/>
    <s v="not outlier"/>
    <s v="not outlier"/>
    <s v="not outlier"/>
  </r>
  <r>
    <x v="2"/>
    <x v="2"/>
    <x v="0"/>
    <x v="31"/>
    <x v="3"/>
    <n v="3.0057999999999998"/>
    <n v="280.30021299999999"/>
    <n v="0.96179999999999999"/>
    <n v="2426"/>
    <s v="not outlier"/>
    <s v="not outlier"/>
    <s v="not outlier"/>
    <s v="not outlier"/>
  </r>
  <r>
    <x v="2"/>
    <x v="3"/>
    <x v="1"/>
    <x v="31"/>
    <x v="3"/>
    <n v="0.75270000000000004"/>
    <n v="74.063677999999996"/>
    <n v="0.2409"/>
    <n v="251"/>
    <s v="not outlier"/>
    <s v="not outlier"/>
    <s v="not outlier"/>
    <s v="not outlier"/>
  </r>
  <r>
    <x v="2"/>
    <x v="3"/>
    <x v="2"/>
    <x v="31"/>
    <x v="3"/>
    <n v="1.6042000000000001"/>
    <n v="121.20178799999999"/>
    <n v="0.51329999999999998"/>
    <n v="1290"/>
    <s v="not outlier"/>
    <s v="not outlier"/>
    <s v="not outlier"/>
    <s v="not outlier"/>
  </r>
  <r>
    <x v="2"/>
    <x v="3"/>
    <x v="0"/>
    <x v="31"/>
    <x v="3"/>
    <n v="3.7242999999999999"/>
    <n v="298.288386"/>
    <n v="1.1918"/>
    <n v="2653"/>
    <s v="not outlier"/>
    <s v="not outlier"/>
    <s v="not outlier"/>
    <s v="not outlier"/>
  </r>
  <r>
    <x v="2"/>
    <x v="4"/>
    <x v="1"/>
    <x v="31"/>
    <x v="3"/>
    <n v="1.2496"/>
    <n v="117.282172"/>
    <n v="0.39989999999999998"/>
    <n v="291"/>
    <s v="not outlier"/>
    <s v="not outlier"/>
    <s v="not outlier"/>
    <s v="not outlier"/>
  </r>
  <r>
    <x v="2"/>
    <x v="4"/>
    <x v="2"/>
    <x v="31"/>
    <x v="3"/>
    <n v="2.2679"/>
    <n v="163.897989"/>
    <n v="0.72570000000000001"/>
    <n v="1604"/>
    <s v="not outlier"/>
    <s v="not outlier"/>
    <s v="not outlier"/>
    <s v="not outlier"/>
  </r>
  <r>
    <x v="2"/>
    <x v="4"/>
    <x v="0"/>
    <x v="31"/>
    <x v="3"/>
    <n v="7.9659000000000004"/>
    <n v="521.41672300000005"/>
    <n v="2.5491000000000001"/>
    <n v="3499"/>
    <s v="not outlier"/>
    <s v="not outlier"/>
    <s v="not outlier"/>
    <s v="outlier"/>
  </r>
  <r>
    <x v="2"/>
    <x v="5"/>
    <x v="1"/>
    <x v="31"/>
    <x v="3"/>
    <n v="0.48530000000000001"/>
    <n v="55.820227000000003"/>
    <n v="0.15529999999999999"/>
    <n v="245"/>
    <s v="not outlier"/>
    <s v="not outlier"/>
    <s v="not outlier"/>
    <s v="not outlier"/>
  </r>
  <r>
    <x v="2"/>
    <x v="5"/>
    <x v="2"/>
    <x v="31"/>
    <x v="3"/>
    <n v="1.2133"/>
    <n v="95.999382999999995"/>
    <n v="0.38819999999999999"/>
    <n v="1026"/>
    <s v="not outlier"/>
    <s v="not outlier"/>
    <s v="not outlier"/>
    <s v="not outlier"/>
  </r>
  <r>
    <x v="2"/>
    <x v="6"/>
    <x v="1"/>
    <x v="31"/>
    <x v="3"/>
    <n v="0.45729999999999998"/>
    <n v="52.727248000000003"/>
    <n v="0.14630000000000001"/>
    <n v="234"/>
    <s v="not outlier"/>
    <s v="not outlier"/>
    <s v="not outlier"/>
    <s v="not outlier"/>
  </r>
  <r>
    <x v="2"/>
    <x v="6"/>
    <x v="2"/>
    <x v="31"/>
    <x v="3"/>
    <n v="1.3728"/>
    <n v="107.913191"/>
    <n v="0.43930000000000002"/>
    <n v="1203"/>
    <s v="not outlier"/>
    <s v="not outlier"/>
    <s v="not outlier"/>
    <s v="not outlier"/>
  </r>
  <r>
    <x v="2"/>
    <x v="7"/>
    <x v="2"/>
    <x v="31"/>
    <x v="3"/>
    <n v="0.77680000000000005"/>
    <n v="77.288938000000002"/>
    <n v="0.24859999999999999"/>
    <n v="548"/>
    <s v="not outlier"/>
    <s v="not outlier"/>
    <s v="not outlier"/>
    <s v="not outlier"/>
  </r>
  <r>
    <x v="2"/>
    <x v="9"/>
    <x v="2"/>
    <x v="31"/>
    <x v="3"/>
    <n v="0.51549999999999996"/>
    <n v="52.392999000000003"/>
    <n v="0.16500000000000001"/>
    <n v="424"/>
    <s v="not outlier"/>
    <s v="not outlier"/>
    <s v="not outlier"/>
    <s v="not outlier"/>
  </r>
  <r>
    <x v="2"/>
    <x v="10"/>
    <x v="2"/>
    <x v="31"/>
    <x v="3"/>
    <n v="0.60770000000000002"/>
    <n v="63.000511000000003"/>
    <n v="0.19450000000000001"/>
    <n v="426"/>
    <s v="not outlier"/>
    <s v="not outlier"/>
    <s v="not outlier"/>
    <s v="not outlier"/>
  </r>
  <r>
    <x v="2"/>
    <x v="2"/>
    <x v="1"/>
    <x v="15"/>
    <x v="6"/>
    <n v="2.2499999999999999E-2"/>
    <n v="6.4226049999999999"/>
    <n v="6.3E-3"/>
    <n v="13"/>
    <s v="not outlier"/>
    <s v="not outlier"/>
    <s v="not outlier"/>
    <s v="not outlier"/>
  </r>
  <r>
    <x v="2"/>
    <x v="2"/>
    <x v="1"/>
    <x v="15"/>
    <x v="2"/>
    <n v="1.5595000000000001"/>
    <n v="212.46996799999999"/>
    <n v="0.62370000000000003"/>
    <n v="178"/>
    <s v="not outlier"/>
    <s v="not outlier"/>
    <s v="not outlier"/>
    <s v="not outlier"/>
  </r>
  <r>
    <x v="2"/>
    <x v="2"/>
    <x v="2"/>
    <x v="15"/>
    <x v="6"/>
    <n v="3.5999999999999999E-3"/>
    <n v="1.59307"/>
    <n v="1E-3"/>
    <n v="0"/>
    <s v="not outlier"/>
    <s v="not outlier"/>
    <s v="not outlier"/>
    <s v="not outlier"/>
  </r>
  <r>
    <x v="2"/>
    <x v="2"/>
    <x v="2"/>
    <x v="15"/>
    <x v="3"/>
    <n v="3.0999999999999999E-3"/>
    <n v="0.95189000000000001"/>
    <n v="8.9999999999999998E-4"/>
    <n v="0"/>
    <s v="not outlier"/>
    <s v="not outlier"/>
    <s v="not outlier"/>
    <s v="not outlier"/>
  </r>
  <r>
    <x v="2"/>
    <x v="2"/>
    <x v="2"/>
    <x v="15"/>
    <x v="2"/>
    <n v="0.871"/>
    <n v="127.584278"/>
    <n v="0.3483"/>
    <n v="0"/>
    <s v="not outlier"/>
    <s v="not outlier"/>
    <s v="not outlier"/>
    <s v="not outlier"/>
  </r>
  <r>
    <x v="2"/>
    <x v="2"/>
    <x v="0"/>
    <x v="15"/>
    <x v="6"/>
    <n v="8.3999999999999995E-3"/>
    <n v="3.2303649999999999"/>
    <n v="2.3999999999999998E-3"/>
    <n v="4"/>
    <s v="not outlier"/>
    <s v="not outlier"/>
    <s v="not outlier"/>
    <s v="not outlier"/>
  </r>
  <r>
    <x v="2"/>
    <x v="2"/>
    <x v="0"/>
    <x v="15"/>
    <x v="3"/>
    <n v="1.9300000000000001E-2"/>
    <n v="6.0866980000000002"/>
    <n v="5.7999999999999996E-3"/>
    <n v="14"/>
    <s v="not outlier"/>
    <s v="not outlier"/>
    <s v="not outlier"/>
    <s v="not outlier"/>
  </r>
  <r>
    <x v="2"/>
    <x v="2"/>
    <x v="0"/>
    <x v="15"/>
    <x v="2"/>
    <n v="1.4654"/>
    <n v="261.31347099999999"/>
    <n v="0.58609999999999995"/>
    <n v="188"/>
    <s v="not outlier"/>
    <s v="not outlier"/>
    <s v="not outlier"/>
    <s v="not outlier"/>
  </r>
  <r>
    <x v="2"/>
    <x v="3"/>
    <x v="1"/>
    <x v="15"/>
    <x v="6"/>
    <n v="9.2999999999999992E-3"/>
    <n v="2.9506860000000001"/>
    <n v="2.7000000000000001E-3"/>
    <n v="7"/>
    <s v="not outlier"/>
    <s v="not outlier"/>
    <s v="not outlier"/>
    <s v="not outlier"/>
  </r>
  <r>
    <x v="2"/>
    <x v="3"/>
    <x v="1"/>
    <x v="15"/>
    <x v="2"/>
    <n v="1.6618999999999999"/>
    <n v="234.19879800000001"/>
    <n v="0.66469999999999996"/>
    <n v="171"/>
    <s v="not outlier"/>
    <s v="not outlier"/>
    <s v="not outlier"/>
    <s v="not outlier"/>
  </r>
  <r>
    <x v="2"/>
    <x v="3"/>
    <x v="2"/>
    <x v="15"/>
    <x v="6"/>
    <n v="2E-3"/>
    <n v="0.90885700000000003"/>
    <n v="5.9999999999999995E-4"/>
    <n v="0"/>
    <s v="not outlier"/>
    <s v="not outlier"/>
    <s v="not outlier"/>
    <s v="not outlier"/>
  </r>
  <r>
    <x v="2"/>
    <x v="3"/>
    <x v="2"/>
    <x v="15"/>
    <x v="3"/>
    <n v="4.4000000000000003E-3"/>
    <n v="1.373464"/>
    <n v="1.2999999999999999E-3"/>
    <n v="0"/>
    <s v="not outlier"/>
    <s v="not outlier"/>
    <s v="not outlier"/>
    <s v="not outlier"/>
  </r>
  <r>
    <x v="2"/>
    <x v="3"/>
    <x v="2"/>
    <x v="15"/>
    <x v="2"/>
    <n v="1.0492999999999999"/>
    <n v="156.258602"/>
    <n v="0.41970000000000002"/>
    <n v="0"/>
    <s v="not outlier"/>
    <s v="not outlier"/>
    <s v="not outlier"/>
    <s v="not outlier"/>
  </r>
  <r>
    <x v="2"/>
    <x v="3"/>
    <x v="0"/>
    <x v="15"/>
    <x v="6"/>
    <n v="1.14E-2"/>
    <n v="4.7138309999999999"/>
    <n v="3.2000000000000002E-3"/>
    <n v="5"/>
    <s v="not outlier"/>
    <s v="not outlier"/>
    <s v="not outlier"/>
    <s v="not outlier"/>
  </r>
  <r>
    <x v="2"/>
    <x v="3"/>
    <x v="0"/>
    <x v="15"/>
    <x v="3"/>
    <n v="7.7000000000000002E-3"/>
    <n v="2.390466"/>
    <n v="2.3E-3"/>
    <n v="7"/>
    <s v="not outlier"/>
    <s v="not outlier"/>
    <s v="not outlier"/>
    <s v="not outlier"/>
  </r>
  <r>
    <x v="2"/>
    <x v="3"/>
    <x v="0"/>
    <x v="15"/>
    <x v="2"/>
    <n v="3.7361"/>
    <n v="756.53332899999998"/>
    <n v="1.4944999999999999"/>
    <n v="411"/>
    <s v="not outlier"/>
    <s v="not outlier"/>
    <s v="not outlier"/>
    <s v="not outlier"/>
  </r>
  <r>
    <x v="2"/>
    <x v="4"/>
    <x v="1"/>
    <x v="15"/>
    <x v="6"/>
    <n v="1.35E-2"/>
    <n v="4.1804649999999999"/>
    <n v="3.8E-3"/>
    <n v="8"/>
    <s v="not outlier"/>
    <s v="not outlier"/>
    <s v="not outlier"/>
    <s v="not outlier"/>
  </r>
  <r>
    <x v="2"/>
    <x v="4"/>
    <x v="1"/>
    <x v="15"/>
    <x v="2"/>
    <n v="2.2989999999999999"/>
    <n v="346.64095800000001"/>
    <n v="0.91959999999999997"/>
    <n v="169"/>
    <s v="not outlier"/>
    <s v="not outlier"/>
    <s v="not outlier"/>
    <s v="not outlier"/>
  </r>
  <r>
    <x v="2"/>
    <x v="4"/>
    <x v="2"/>
    <x v="15"/>
    <x v="6"/>
    <n v="1.2999999999999999E-3"/>
    <n v="0.48920599999999997"/>
    <n v="4.0000000000000002E-4"/>
    <n v="3"/>
    <s v="not outlier"/>
    <s v="not outlier"/>
    <s v="not outlier"/>
    <s v="not outlier"/>
  </r>
  <r>
    <x v="2"/>
    <x v="4"/>
    <x v="2"/>
    <x v="15"/>
    <x v="3"/>
    <n v="6.1999999999999998E-3"/>
    <n v="1.9124000000000001"/>
    <n v="1.9E-3"/>
    <n v="5"/>
    <s v="not outlier"/>
    <s v="not outlier"/>
    <s v="not outlier"/>
    <s v="not outlier"/>
  </r>
  <r>
    <x v="2"/>
    <x v="4"/>
    <x v="2"/>
    <x v="15"/>
    <x v="2"/>
    <n v="1.2257"/>
    <n v="191.38331299999999"/>
    <n v="0.4904"/>
    <n v="385"/>
    <s v="not outlier"/>
    <s v="not outlier"/>
    <s v="not outlier"/>
    <s v="not outlier"/>
  </r>
  <r>
    <x v="2"/>
    <x v="4"/>
    <x v="0"/>
    <x v="15"/>
    <x v="6"/>
    <n v="9.7000000000000003E-3"/>
    <n v="3.9300929999999998"/>
    <n v="2.7000000000000001E-3"/>
    <n v="8"/>
    <s v="not outlier"/>
    <s v="not outlier"/>
    <s v="not outlier"/>
    <s v="not outlier"/>
  </r>
  <r>
    <x v="2"/>
    <x v="4"/>
    <x v="0"/>
    <x v="15"/>
    <x v="3"/>
    <n v="4.2999999999999997E-2"/>
    <n v="13.459402000000001"/>
    <n v="1.29E-2"/>
    <n v="15"/>
    <s v="not outlier"/>
    <s v="not outlier"/>
    <s v="not outlier"/>
    <s v="not outlier"/>
  </r>
  <r>
    <x v="2"/>
    <x v="4"/>
    <x v="0"/>
    <x v="15"/>
    <x v="2"/>
    <n v="4.5225"/>
    <n v="1072.6836410000001"/>
    <n v="1.8089999999999999"/>
    <n v="470"/>
    <s v="not outlier"/>
    <s v="not outlier"/>
    <s v="not outlier"/>
    <s v="not outlier"/>
  </r>
  <r>
    <x v="2"/>
    <x v="5"/>
    <x v="1"/>
    <x v="15"/>
    <x v="6"/>
    <n v="1.26E-2"/>
    <n v="3.8186330000000002"/>
    <n v="3.5000000000000001E-3"/>
    <n v="7"/>
    <s v="not outlier"/>
    <s v="not outlier"/>
    <s v="not outlier"/>
    <s v="not outlier"/>
  </r>
  <r>
    <x v="2"/>
    <x v="5"/>
    <x v="1"/>
    <x v="15"/>
    <x v="2"/>
    <n v="2.839"/>
    <n v="475.48093999999998"/>
    <n v="1.1355999999999999"/>
    <n v="163"/>
    <s v="not outlier"/>
    <s v="not outlier"/>
    <s v="not outlier"/>
    <s v="not outlier"/>
  </r>
  <r>
    <x v="2"/>
    <x v="5"/>
    <x v="2"/>
    <x v="15"/>
    <x v="6"/>
    <n v="2E-3"/>
    <n v="0.89559599999999995"/>
    <n v="5.9999999999999995E-4"/>
    <n v="2"/>
    <s v="not outlier"/>
    <s v="not outlier"/>
    <s v="not outlier"/>
    <s v="not outlier"/>
  </r>
  <r>
    <x v="2"/>
    <x v="5"/>
    <x v="2"/>
    <x v="15"/>
    <x v="3"/>
    <n v="6.9999999999999999E-4"/>
    <n v="0.238702"/>
    <n v="2.0000000000000001E-4"/>
    <n v="2"/>
    <s v="not outlier"/>
    <s v="not outlier"/>
    <s v="not outlier"/>
    <s v="not outlier"/>
  </r>
  <r>
    <x v="2"/>
    <x v="5"/>
    <x v="2"/>
    <x v="15"/>
    <x v="2"/>
    <n v="1.2879"/>
    <n v="227.064729"/>
    <n v="0.51519999999999999"/>
    <n v="388"/>
    <s v="not outlier"/>
    <s v="not outlier"/>
    <s v="not outlier"/>
    <s v="not outlier"/>
  </r>
  <r>
    <x v="2"/>
    <x v="5"/>
    <x v="0"/>
    <x v="15"/>
    <x v="6"/>
    <n v="5.1999999999999998E-3"/>
    <n v="2.054427"/>
    <n v="1.4E-3"/>
    <n v="4"/>
    <s v="not outlier"/>
    <s v="not outlier"/>
    <s v="not outlier"/>
    <s v="not outlier"/>
  </r>
  <r>
    <x v="2"/>
    <x v="5"/>
    <x v="0"/>
    <x v="15"/>
    <x v="3"/>
    <n v="7.7299999999999994E-2"/>
    <n v="23.693545"/>
    <n v="2.3199999999999998E-2"/>
    <n v="28"/>
    <s v="not outlier"/>
    <s v="not outlier"/>
    <s v="not outlier"/>
    <s v="not outlier"/>
  </r>
  <r>
    <x v="2"/>
    <x v="5"/>
    <x v="0"/>
    <x v="15"/>
    <x v="2"/>
    <n v="4.3506999999999998"/>
    <n v="1098.9411749999999"/>
    <n v="1.7402"/>
    <n v="426"/>
    <s v="not outlier"/>
    <s v="not outlier"/>
    <s v="not outlier"/>
    <s v="not outlier"/>
  </r>
  <r>
    <x v="2"/>
    <x v="6"/>
    <x v="1"/>
    <x v="15"/>
    <x v="6"/>
    <n v="1.1900000000000001E-2"/>
    <n v="3.7430439999999998"/>
    <n v="3.3999999999999998E-3"/>
    <n v="9"/>
    <s v="not outlier"/>
    <s v="not outlier"/>
    <s v="not outlier"/>
    <s v="not outlier"/>
  </r>
  <r>
    <x v="2"/>
    <x v="6"/>
    <x v="1"/>
    <x v="15"/>
    <x v="2"/>
    <n v="4.3141999999999996"/>
    <n v="760.29407700000002"/>
    <n v="1.7256"/>
    <n v="166"/>
    <s v="not outlier"/>
    <s v="not outlier"/>
    <s v="not outlier"/>
    <s v="not outlier"/>
  </r>
  <r>
    <x v="2"/>
    <x v="6"/>
    <x v="2"/>
    <x v="15"/>
    <x v="6"/>
    <n v="6.9999999999999999E-4"/>
    <n v="0.296985"/>
    <n v="2.0000000000000001E-4"/>
    <n v="2"/>
    <s v="not outlier"/>
    <s v="not outlier"/>
    <s v="not outlier"/>
    <s v="not outlier"/>
  </r>
  <r>
    <x v="2"/>
    <x v="6"/>
    <x v="2"/>
    <x v="15"/>
    <x v="3"/>
    <n v="9.1999999999999998E-3"/>
    <n v="2.8114439999999998"/>
    <n v="2.8E-3"/>
    <n v="11"/>
    <s v="not outlier"/>
    <s v="not outlier"/>
    <s v="not outlier"/>
    <s v="not outlier"/>
  </r>
  <r>
    <x v="2"/>
    <x v="6"/>
    <x v="2"/>
    <x v="15"/>
    <x v="2"/>
    <n v="1.3945000000000001"/>
    <n v="246.06579400000001"/>
    <n v="0.55779999999999996"/>
    <n v="345"/>
    <s v="not outlier"/>
    <s v="not outlier"/>
    <s v="not outlier"/>
    <s v="not outlier"/>
  </r>
  <r>
    <x v="2"/>
    <x v="6"/>
    <x v="0"/>
    <x v="15"/>
    <x v="6"/>
    <n v="8.8000000000000005E-3"/>
    <n v="3.5453190000000001"/>
    <n v="2.5000000000000001E-3"/>
    <n v="6"/>
    <s v="not outlier"/>
    <s v="not outlier"/>
    <s v="not outlier"/>
    <s v="not outlier"/>
  </r>
  <r>
    <x v="2"/>
    <x v="6"/>
    <x v="0"/>
    <x v="15"/>
    <x v="3"/>
    <n v="5.8500000000000003E-2"/>
    <n v="17.701398999999999"/>
    <n v="1.7600000000000001E-2"/>
    <n v="33"/>
    <s v="not outlier"/>
    <s v="not outlier"/>
    <s v="not outlier"/>
    <s v="not outlier"/>
  </r>
  <r>
    <x v="2"/>
    <x v="6"/>
    <x v="0"/>
    <x v="15"/>
    <x v="2"/>
    <n v="4.6614000000000004"/>
    <n v="1070.0705849999999"/>
    <n v="1.8646"/>
    <n v="447"/>
    <s v="not outlier"/>
    <s v="not outlier"/>
    <s v="not outlier"/>
    <s v="not outlier"/>
  </r>
  <r>
    <x v="2"/>
    <x v="7"/>
    <x v="1"/>
    <x v="15"/>
    <x v="6"/>
    <n v="9.4999999999999998E-3"/>
    <n v="2.8811979999999999"/>
    <n v="2.7000000000000001E-3"/>
    <n v="8"/>
    <s v="not outlier"/>
    <s v="not outlier"/>
    <s v="not outlier"/>
    <s v="not outlier"/>
  </r>
  <r>
    <x v="2"/>
    <x v="7"/>
    <x v="1"/>
    <x v="15"/>
    <x v="2"/>
    <n v="3.1193"/>
    <n v="536.89680199999998"/>
    <n v="1.2478"/>
    <n v="166"/>
    <s v="not outlier"/>
    <s v="not outlier"/>
    <s v="not outlier"/>
    <s v="not outlier"/>
  </r>
  <r>
    <x v="2"/>
    <x v="7"/>
    <x v="2"/>
    <x v="15"/>
    <x v="6"/>
    <n v="1.2999999999999999E-3"/>
    <n v="0.43669200000000002"/>
    <n v="4.0000000000000002E-4"/>
    <n v="0"/>
    <s v="not outlier"/>
    <s v="not outlier"/>
    <s v="not outlier"/>
    <s v="not outlier"/>
  </r>
  <r>
    <x v="2"/>
    <x v="7"/>
    <x v="2"/>
    <x v="15"/>
    <x v="3"/>
    <n v="5.7000000000000002E-3"/>
    <n v="1.798287"/>
    <n v="1.6999999999999999E-3"/>
    <n v="0"/>
    <s v="not outlier"/>
    <s v="not outlier"/>
    <s v="not outlier"/>
    <s v="not outlier"/>
  </r>
  <r>
    <x v="2"/>
    <x v="7"/>
    <x v="2"/>
    <x v="15"/>
    <x v="2"/>
    <n v="0.79730000000000001"/>
    <n v="130.88930400000001"/>
    <n v="0.31890000000000002"/>
    <n v="0"/>
    <s v="not outlier"/>
    <s v="not outlier"/>
    <s v="not outlier"/>
    <s v="not outlier"/>
  </r>
  <r>
    <x v="2"/>
    <x v="7"/>
    <x v="0"/>
    <x v="15"/>
    <x v="6"/>
    <n v="4.0000000000000001E-3"/>
    <n v="1.783766"/>
    <n v="1.1000000000000001E-3"/>
    <n v="3"/>
    <s v="not outlier"/>
    <s v="not outlier"/>
    <s v="not outlier"/>
    <s v="not outlier"/>
  </r>
  <r>
    <x v="2"/>
    <x v="7"/>
    <x v="0"/>
    <x v="15"/>
    <x v="3"/>
    <n v="4.3700000000000003E-2"/>
    <n v="12.487819"/>
    <n v="1.3100000000000001E-2"/>
    <n v="31"/>
    <s v="not outlier"/>
    <s v="not outlier"/>
    <s v="not outlier"/>
    <s v="not outlier"/>
  </r>
  <r>
    <x v="2"/>
    <x v="7"/>
    <x v="0"/>
    <x v="15"/>
    <x v="2"/>
    <n v="2.0888"/>
    <n v="570.03286200000002"/>
    <n v="0.83550000000000002"/>
    <n v="353"/>
    <s v="not outlier"/>
    <s v="not outlier"/>
    <s v="not outlier"/>
    <s v="not outlier"/>
  </r>
  <r>
    <x v="2"/>
    <x v="8"/>
    <x v="1"/>
    <x v="15"/>
    <x v="6"/>
    <n v="4.8999999999999998E-3"/>
    <n v="1.5916110000000001"/>
    <n v="1.4E-3"/>
    <n v="6"/>
    <s v="not outlier"/>
    <s v="not outlier"/>
    <s v="not outlier"/>
    <s v="not outlier"/>
  </r>
  <r>
    <x v="2"/>
    <x v="8"/>
    <x v="1"/>
    <x v="15"/>
    <x v="2"/>
    <n v="2.5055000000000001"/>
    <n v="410.21554700000002"/>
    <n v="1.0021"/>
    <n v="168"/>
    <s v="not outlier"/>
    <s v="not outlier"/>
    <s v="not outlier"/>
    <s v="not outlier"/>
  </r>
  <r>
    <x v="2"/>
    <x v="8"/>
    <x v="2"/>
    <x v="15"/>
    <x v="6"/>
    <n v="6.9999999999999999E-4"/>
    <n v="0.279082"/>
    <n v="2.0000000000000001E-4"/>
    <n v="0"/>
    <s v="not outlier"/>
    <s v="not outlier"/>
    <s v="not outlier"/>
    <s v="not outlier"/>
  </r>
  <r>
    <x v="2"/>
    <x v="8"/>
    <x v="2"/>
    <x v="15"/>
    <x v="3"/>
    <n v="3.8999999999999998E-3"/>
    <n v="1.31538"/>
    <n v="1.1999999999999999E-3"/>
    <n v="0"/>
    <s v="not outlier"/>
    <s v="not outlier"/>
    <s v="not outlier"/>
    <s v="not outlier"/>
  </r>
  <r>
    <x v="2"/>
    <x v="8"/>
    <x v="2"/>
    <x v="15"/>
    <x v="2"/>
    <n v="0.54149999999999998"/>
    <n v="82.367585000000005"/>
    <n v="0.21659999999999999"/>
    <n v="0"/>
    <s v="not outlier"/>
    <s v="not outlier"/>
    <s v="not outlier"/>
    <s v="not outlier"/>
  </r>
  <r>
    <x v="2"/>
    <x v="8"/>
    <x v="0"/>
    <x v="15"/>
    <x v="6"/>
    <n v="1.4E-3"/>
    <n v="0.52587300000000003"/>
    <n v="4.0000000000000002E-4"/>
    <n v="2"/>
    <s v="not outlier"/>
    <s v="not outlier"/>
    <s v="not outlier"/>
    <s v="not outlier"/>
  </r>
  <r>
    <x v="2"/>
    <x v="8"/>
    <x v="0"/>
    <x v="15"/>
    <x v="3"/>
    <n v="2.3099999999999999E-2"/>
    <n v="7.314819"/>
    <n v="7.0000000000000001E-3"/>
    <n v="29"/>
    <s v="not outlier"/>
    <s v="not outlier"/>
    <s v="not outlier"/>
    <s v="not outlier"/>
  </r>
  <r>
    <x v="2"/>
    <x v="8"/>
    <x v="0"/>
    <x v="15"/>
    <x v="2"/>
    <n v="2.3618000000000001"/>
    <n v="597.38252299999999"/>
    <n v="0.94469999999999998"/>
    <n v="406"/>
    <s v="not outlier"/>
    <s v="not outlier"/>
    <s v="not outlier"/>
    <s v="not outlier"/>
  </r>
  <r>
    <x v="2"/>
    <x v="9"/>
    <x v="1"/>
    <x v="15"/>
    <x v="6"/>
    <n v="2.7000000000000001E-3"/>
    <n v="0.85083900000000001"/>
    <n v="6.9999999999999999E-4"/>
    <n v="4"/>
    <s v="not outlier"/>
    <s v="not outlier"/>
    <s v="not outlier"/>
    <s v="not outlier"/>
  </r>
  <r>
    <x v="2"/>
    <x v="9"/>
    <x v="1"/>
    <x v="15"/>
    <x v="2"/>
    <n v="2.3601000000000001"/>
    <n v="370.52380699999998"/>
    <n v="0.94399999999999995"/>
    <n v="168"/>
    <s v="not outlier"/>
    <s v="not outlier"/>
    <s v="not outlier"/>
    <s v="not outlier"/>
  </r>
  <r>
    <x v="2"/>
    <x v="9"/>
    <x v="2"/>
    <x v="15"/>
    <x v="6"/>
    <n v="4.1999999999999997E-3"/>
    <n v="1.3345419999999999"/>
    <n v="1.1999999999999999E-3"/>
    <n v="3"/>
    <s v="not outlier"/>
    <s v="not outlier"/>
    <s v="not outlier"/>
    <s v="not outlier"/>
  </r>
  <r>
    <x v="2"/>
    <x v="9"/>
    <x v="2"/>
    <x v="15"/>
    <x v="3"/>
    <n v="2.3999999999999998E-3"/>
    <n v="0.80237000000000003"/>
    <n v="6.9999999999999999E-4"/>
    <n v="6"/>
    <s v="not outlier"/>
    <s v="not outlier"/>
    <s v="not outlier"/>
    <s v="not outlier"/>
  </r>
  <r>
    <x v="2"/>
    <x v="9"/>
    <x v="2"/>
    <x v="15"/>
    <x v="2"/>
    <n v="0.68210000000000004"/>
    <n v="114.57960300000001"/>
    <n v="0.27279999999999999"/>
    <n v="254"/>
    <s v="not outlier"/>
    <s v="not outlier"/>
    <s v="not outlier"/>
    <s v="not outlier"/>
  </r>
  <r>
    <x v="2"/>
    <x v="9"/>
    <x v="0"/>
    <x v="15"/>
    <x v="6"/>
    <n v="3.8999999999999998E-3"/>
    <n v="1.7209080000000001"/>
    <n v="1.1000000000000001E-3"/>
    <n v="5"/>
    <s v="not outlier"/>
    <s v="not outlier"/>
    <s v="not outlier"/>
    <s v="not outlier"/>
  </r>
  <r>
    <x v="2"/>
    <x v="9"/>
    <x v="0"/>
    <x v="15"/>
    <x v="3"/>
    <n v="2.29E-2"/>
    <n v="7.5275290000000004"/>
    <n v="6.8999999999999999E-3"/>
    <n v="20"/>
    <s v="not outlier"/>
    <s v="not outlier"/>
    <s v="not outlier"/>
    <s v="not outlier"/>
  </r>
  <r>
    <x v="2"/>
    <x v="9"/>
    <x v="0"/>
    <x v="15"/>
    <x v="2"/>
    <n v="1.9689000000000001"/>
    <n v="514.08347100000003"/>
    <n v="0.78759999999999997"/>
    <n v="413"/>
    <s v="not outlier"/>
    <s v="not outlier"/>
    <s v="not outlier"/>
    <s v="not outlier"/>
  </r>
  <r>
    <x v="2"/>
    <x v="10"/>
    <x v="1"/>
    <x v="15"/>
    <x v="6"/>
    <n v="5.4999999999999997E-3"/>
    <n v="1.1916530000000001"/>
    <n v="1.5E-3"/>
    <n v="2"/>
    <s v="not outlier"/>
    <s v="not outlier"/>
    <s v="not outlier"/>
    <s v="not outlier"/>
  </r>
  <r>
    <x v="2"/>
    <x v="10"/>
    <x v="1"/>
    <x v="15"/>
    <x v="2"/>
    <n v="3.7585999999999999"/>
    <n v="578.31913099999997"/>
    <n v="1.5034000000000001"/>
    <n v="164"/>
    <s v="not outlier"/>
    <s v="not outlier"/>
    <s v="not outlier"/>
    <s v="not outlier"/>
  </r>
  <r>
    <x v="2"/>
    <x v="10"/>
    <x v="2"/>
    <x v="15"/>
    <x v="6"/>
    <n v="4.4000000000000003E-3"/>
    <n v="1.132441"/>
    <n v="1.1999999999999999E-3"/>
    <n v="1"/>
    <s v="not outlier"/>
    <s v="not outlier"/>
    <s v="not outlier"/>
    <s v="not outlier"/>
  </r>
  <r>
    <x v="2"/>
    <x v="10"/>
    <x v="2"/>
    <x v="15"/>
    <x v="3"/>
    <n v="2E-3"/>
    <n v="0.67433299999999996"/>
    <n v="5.9999999999999995E-4"/>
    <n v="3"/>
    <s v="not outlier"/>
    <s v="not outlier"/>
    <s v="not outlier"/>
    <s v="not outlier"/>
  </r>
  <r>
    <x v="2"/>
    <x v="10"/>
    <x v="2"/>
    <x v="15"/>
    <x v="2"/>
    <n v="0.62770000000000004"/>
    <n v="100.602947"/>
    <n v="0.25109999999999999"/>
    <n v="322"/>
    <s v="not outlier"/>
    <s v="not outlier"/>
    <s v="not outlier"/>
    <s v="not outlier"/>
  </r>
  <r>
    <x v="2"/>
    <x v="10"/>
    <x v="0"/>
    <x v="15"/>
    <x v="6"/>
    <n v="1.2999999999999999E-3"/>
    <n v="0.68620099999999995"/>
    <n v="4.0000000000000002E-4"/>
    <n v="2"/>
    <s v="not outlier"/>
    <s v="not outlier"/>
    <s v="not outlier"/>
    <s v="not outlier"/>
  </r>
  <r>
    <x v="2"/>
    <x v="10"/>
    <x v="0"/>
    <x v="15"/>
    <x v="3"/>
    <n v="1.03E-2"/>
    <n v="3.4660829999999998"/>
    <n v="3.0999999999999999E-3"/>
    <n v="12"/>
    <s v="not outlier"/>
    <s v="not outlier"/>
    <s v="not outlier"/>
    <s v="not outlier"/>
  </r>
  <r>
    <x v="2"/>
    <x v="10"/>
    <x v="0"/>
    <x v="15"/>
    <x v="2"/>
    <n v="1.7531000000000001"/>
    <n v="477.69954100000001"/>
    <n v="0.70130000000000003"/>
    <n v="375"/>
    <s v="not outlier"/>
    <s v="not outlier"/>
    <s v="not outlier"/>
    <s v="not outlier"/>
  </r>
  <r>
    <x v="2"/>
    <x v="11"/>
    <x v="1"/>
    <x v="15"/>
    <x v="6"/>
    <n v="2E-3"/>
    <n v="0.47594500000000001"/>
    <n v="5.0000000000000001E-4"/>
    <n v="1"/>
    <s v="not outlier"/>
    <s v="not outlier"/>
    <s v="not outlier"/>
    <s v="not outlier"/>
  </r>
  <r>
    <x v="2"/>
    <x v="11"/>
    <x v="1"/>
    <x v="15"/>
    <x v="2"/>
    <n v="2.8843999999999999"/>
    <n v="443.89737100000002"/>
    <n v="1.1536999999999999"/>
    <n v="162"/>
    <s v="not outlier"/>
    <s v="not outlier"/>
    <s v="not outlier"/>
    <s v="not outlier"/>
  </r>
  <r>
    <x v="2"/>
    <x v="11"/>
    <x v="2"/>
    <x v="15"/>
    <x v="6"/>
    <n v="8.0000000000000002E-3"/>
    <n v="2.6375890000000002"/>
    <n v="2.3E-3"/>
    <n v="2"/>
    <s v="not outlier"/>
    <s v="not outlier"/>
    <s v="not outlier"/>
    <s v="not outlier"/>
  </r>
  <r>
    <x v="2"/>
    <x v="11"/>
    <x v="2"/>
    <x v="15"/>
    <x v="3"/>
    <n v="2E-3"/>
    <n v="0.673736"/>
    <n v="5.9999999999999995E-4"/>
    <n v="3"/>
    <s v="not outlier"/>
    <s v="not outlier"/>
    <s v="not outlier"/>
    <s v="not outlier"/>
  </r>
  <r>
    <x v="2"/>
    <x v="11"/>
    <x v="2"/>
    <x v="15"/>
    <x v="2"/>
    <n v="0.83360000000000001"/>
    <n v="142.36648600000001"/>
    <n v="0.33350000000000002"/>
    <n v="312"/>
    <s v="not outlier"/>
    <s v="not outlier"/>
    <s v="not outlier"/>
    <s v="not outlier"/>
  </r>
  <r>
    <x v="2"/>
    <x v="11"/>
    <x v="0"/>
    <x v="15"/>
    <x v="6"/>
    <n v="1.9800000000000002E-2"/>
    <n v="3.0197769999999999"/>
    <n v="5.5999999999999999E-3"/>
    <n v="2"/>
    <s v="not outlier"/>
    <s v="not outlier"/>
    <s v="not outlier"/>
    <s v="not outlier"/>
  </r>
  <r>
    <x v="2"/>
    <x v="11"/>
    <x v="0"/>
    <x v="15"/>
    <x v="3"/>
    <n v="1.7000000000000001E-2"/>
    <n v="5.180294"/>
    <n v="5.1000000000000004E-3"/>
    <n v="13"/>
    <s v="not outlier"/>
    <s v="not outlier"/>
    <s v="not outlier"/>
    <s v="not outlier"/>
  </r>
  <r>
    <x v="2"/>
    <x v="11"/>
    <x v="0"/>
    <x v="15"/>
    <x v="2"/>
    <n v="2.9449000000000001"/>
    <n v="724.66623500000003"/>
    <n v="1.1778999999999999"/>
    <n v="459"/>
    <s v="not outlier"/>
    <s v="not outlier"/>
    <s v="not outlier"/>
    <s v="not outlier"/>
  </r>
  <r>
    <x v="2"/>
    <x v="0"/>
    <x v="1"/>
    <x v="15"/>
    <x v="6"/>
    <n v="2.7000000000000001E-3"/>
    <n v="0.74899300000000002"/>
    <n v="6.9999999999999999E-4"/>
    <n v="3"/>
    <s v="not outlier"/>
    <s v="not outlier"/>
    <s v="not outlier"/>
    <s v="not outlier"/>
  </r>
  <r>
    <x v="2"/>
    <x v="0"/>
    <x v="1"/>
    <x v="15"/>
    <x v="2"/>
    <n v="1.9312"/>
    <n v="324.04318699999999"/>
    <n v="0.77249999999999996"/>
    <n v="163"/>
    <s v="not outlier"/>
    <s v="not outlier"/>
    <s v="not outlier"/>
    <s v="not outlier"/>
  </r>
  <r>
    <x v="2"/>
    <x v="0"/>
    <x v="2"/>
    <x v="15"/>
    <x v="6"/>
    <n v="1.4E-3"/>
    <n v="0.84991099999999997"/>
    <n v="4.0000000000000002E-4"/>
    <n v="2"/>
    <s v="not outlier"/>
    <s v="not outlier"/>
    <s v="not outlier"/>
    <s v="not outlier"/>
  </r>
  <r>
    <x v="2"/>
    <x v="0"/>
    <x v="2"/>
    <x v="15"/>
    <x v="3"/>
    <n v="6.9999999999999999E-4"/>
    <n v="0.22941900000000001"/>
    <n v="2.0000000000000001E-4"/>
    <n v="1"/>
    <s v="not outlier"/>
    <s v="not outlier"/>
    <s v="not outlier"/>
    <s v="not outlier"/>
  </r>
  <r>
    <x v="2"/>
    <x v="0"/>
    <x v="2"/>
    <x v="15"/>
    <x v="2"/>
    <n v="0.434"/>
    <n v="106.645087"/>
    <n v="0.1736"/>
    <n v="174"/>
    <s v="not outlier"/>
    <s v="not outlier"/>
    <s v="not outlier"/>
    <s v="not outlier"/>
  </r>
  <r>
    <x v="2"/>
    <x v="0"/>
    <x v="0"/>
    <x v="15"/>
    <x v="6"/>
    <n v="6.0000000000000001E-3"/>
    <n v="1.1382099999999999"/>
    <n v="1.6999999999999999E-3"/>
    <n v="2"/>
    <s v="not outlier"/>
    <s v="not outlier"/>
    <s v="not outlier"/>
    <s v="not outlier"/>
  </r>
  <r>
    <x v="2"/>
    <x v="0"/>
    <x v="0"/>
    <x v="15"/>
    <x v="3"/>
    <n v="1.3299999999999999E-2"/>
    <n v="3.815782"/>
    <n v="4.0000000000000001E-3"/>
    <n v="18"/>
    <s v="not outlier"/>
    <s v="not outlier"/>
    <s v="not outlier"/>
    <s v="not outlier"/>
  </r>
  <r>
    <x v="2"/>
    <x v="0"/>
    <x v="0"/>
    <x v="15"/>
    <x v="2"/>
    <n v="2.6168"/>
    <n v="672.52049199999999"/>
    <n v="1.0467"/>
    <n v="564"/>
    <s v="not outlier"/>
    <s v="not outlier"/>
    <s v="not outlier"/>
    <s v="not outlier"/>
  </r>
  <r>
    <x v="2"/>
    <x v="1"/>
    <x v="1"/>
    <x v="15"/>
    <x v="2"/>
    <n v="1.4713000000000001"/>
    <n v="268.38488000000001"/>
    <n v="0.58850000000000002"/>
    <n v="113"/>
    <s v="not outlier"/>
    <s v="not outlier"/>
    <s v="not outlier"/>
    <s v="not outlier"/>
  </r>
  <r>
    <x v="2"/>
    <x v="1"/>
    <x v="2"/>
    <x v="15"/>
    <x v="2"/>
    <n v="0.45610000000000001"/>
    <n v="100.668722"/>
    <n v="0.18240000000000001"/>
    <n v="244"/>
    <s v="not outlier"/>
    <s v="not outlier"/>
    <s v="not outlier"/>
    <s v="not outlier"/>
  </r>
  <r>
    <x v="2"/>
    <x v="1"/>
    <x v="0"/>
    <x v="15"/>
    <x v="3"/>
    <n v="1.55E-2"/>
    <n v="4.6194110000000004"/>
    <n v="4.5999999999999999E-3"/>
    <n v="14"/>
    <s v="not outlier"/>
    <s v="not outlier"/>
    <s v="not outlier"/>
    <s v="not outlier"/>
  </r>
  <r>
    <x v="2"/>
    <x v="1"/>
    <x v="0"/>
    <x v="15"/>
    <x v="2"/>
    <n v="3.6888000000000001"/>
    <n v="790.26899400000002"/>
    <n v="1.4754"/>
    <n v="1083"/>
    <s v="not outlier"/>
    <s v="not outlier"/>
    <s v="not outlier"/>
    <s v="not outlier"/>
  </r>
  <r>
    <x v="2"/>
    <x v="3"/>
    <x v="0"/>
    <x v="38"/>
    <x v="1"/>
    <n v="4.6976000000000004"/>
    <n v="410.97030899999999"/>
    <n v="1.6440999999999999"/>
    <n v="2630"/>
    <s v="not outlier"/>
    <s v="not outlier"/>
    <s v="not outlier"/>
    <s v="not outlier"/>
  </r>
  <r>
    <x v="2"/>
    <x v="4"/>
    <x v="1"/>
    <x v="38"/>
    <x v="1"/>
    <n v="0.83189999999999997"/>
    <n v="75.031017000000006"/>
    <n v="0.29110000000000003"/>
    <n v="117"/>
    <s v="not outlier"/>
    <s v="not outlier"/>
    <s v="not outlier"/>
    <s v="not outlier"/>
  </r>
  <r>
    <x v="2"/>
    <x v="4"/>
    <x v="2"/>
    <x v="38"/>
    <x v="1"/>
    <n v="1.5232000000000001"/>
    <n v="136.05799400000001"/>
    <n v="0.53310000000000002"/>
    <n v="642"/>
    <s v="not outlier"/>
    <s v="not outlier"/>
    <s v="not outlier"/>
    <s v="not outlier"/>
  </r>
  <r>
    <x v="2"/>
    <x v="4"/>
    <x v="0"/>
    <x v="38"/>
    <x v="1"/>
    <n v="10.7233"/>
    <n v="982.05882899999995"/>
    <n v="3.7530999999999999"/>
    <n v="3545"/>
    <s v="not outlier"/>
    <s v="not outlier"/>
    <s v="not outlier"/>
    <s v="outlier"/>
  </r>
  <r>
    <x v="2"/>
    <x v="5"/>
    <x v="1"/>
    <x v="38"/>
    <x v="1"/>
    <n v="0.79239999999999999"/>
    <n v="73.897713999999993"/>
    <n v="0.27739999999999998"/>
    <n v="117"/>
    <s v="not outlier"/>
    <s v="not outlier"/>
    <s v="not outlier"/>
    <s v="not outlier"/>
  </r>
  <r>
    <x v="2"/>
    <x v="5"/>
    <x v="2"/>
    <x v="38"/>
    <x v="1"/>
    <n v="1.6755"/>
    <n v="152.96133399999999"/>
    <n v="0.58640000000000003"/>
    <n v="814"/>
    <s v="not outlier"/>
    <s v="not outlier"/>
    <s v="not outlier"/>
    <s v="not outlier"/>
  </r>
  <r>
    <x v="2"/>
    <x v="5"/>
    <x v="0"/>
    <x v="38"/>
    <x v="1"/>
    <n v="10.287599999999999"/>
    <n v="955.543497"/>
    <n v="3.6006999999999998"/>
    <n v="3276"/>
    <s v="not outlier"/>
    <s v="not outlier"/>
    <s v="not outlier"/>
    <s v="outlier"/>
  </r>
  <r>
    <x v="2"/>
    <x v="6"/>
    <x v="1"/>
    <x v="38"/>
    <x v="1"/>
    <n v="0.79859999999999998"/>
    <n v="74.260341999999994"/>
    <n v="0.27950000000000003"/>
    <n v="109"/>
    <s v="not outlier"/>
    <s v="not outlier"/>
    <s v="not outlier"/>
    <s v="not outlier"/>
  </r>
  <r>
    <x v="2"/>
    <x v="6"/>
    <x v="2"/>
    <x v="38"/>
    <x v="1"/>
    <n v="1.4164000000000001"/>
    <n v="129.82277099999999"/>
    <n v="0.49569999999999997"/>
    <n v="529"/>
    <s v="not outlier"/>
    <s v="not outlier"/>
    <s v="not outlier"/>
    <s v="not outlier"/>
  </r>
  <r>
    <x v="2"/>
    <x v="6"/>
    <x v="0"/>
    <x v="38"/>
    <x v="1"/>
    <n v="10.0082"/>
    <n v="934.25620000000004"/>
    <n v="3.5028999999999999"/>
    <n v="3211"/>
    <s v="not outlier"/>
    <s v="not outlier"/>
    <s v="not outlier"/>
    <s v="outlier"/>
  </r>
  <r>
    <x v="2"/>
    <x v="7"/>
    <x v="1"/>
    <x v="38"/>
    <x v="1"/>
    <n v="0.69420000000000004"/>
    <n v="64.158081999999993"/>
    <n v="0.2429"/>
    <n v="111"/>
    <s v="not outlier"/>
    <s v="not outlier"/>
    <s v="not outlier"/>
    <s v="not outlier"/>
  </r>
  <r>
    <x v="2"/>
    <x v="7"/>
    <x v="2"/>
    <x v="38"/>
    <x v="1"/>
    <n v="1.3515999999999999"/>
    <n v="123.076725"/>
    <n v="0.47310000000000002"/>
    <n v="569"/>
    <s v="not outlier"/>
    <s v="not outlier"/>
    <s v="not outlier"/>
    <s v="not outlier"/>
  </r>
  <r>
    <x v="2"/>
    <x v="7"/>
    <x v="0"/>
    <x v="38"/>
    <x v="1"/>
    <n v="8.1940000000000008"/>
    <n v="763.41112499999997"/>
    <n v="2.8679000000000001"/>
    <n v="2990"/>
    <s v="not outlier"/>
    <s v="not outlier"/>
    <s v="not outlier"/>
    <s v="outlier"/>
  </r>
  <r>
    <x v="2"/>
    <x v="8"/>
    <x v="1"/>
    <x v="38"/>
    <x v="1"/>
    <n v="0.80969999999999998"/>
    <n v="70.919377999999995"/>
    <n v="0.2833"/>
    <n v="114"/>
    <s v="not outlier"/>
    <s v="not outlier"/>
    <s v="not outlier"/>
    <s v="not outlier"/>
  </r>
  <r>
    <x v="2"/>
    <x v="8"/>
    <x v="2"/>
    <x v="38"/>
    <x v="1"/>
    <n v="1.2556"/>
    <n v="115.030749"/>
    <n v="0.4395"/>
    <n v="554"/>
    <s v="not outlier"/>
    <s v="not outlier"/>
    <s v="not outlier"/>
    <s v="not outlier"/>
  </r>
  <r>
    <x v="2"/>
    <x v="8"/>
    <x v="0"/>
    <x v="38"/>
    <x v="1"/>
    <n v="9.1713000000000005"/>
    <n v="848.26989500000002"/>
    <n v="3.2099000000000002"/>
    <n v="3168"/>
    <s v="not outlier"/>
    <s v="not outlier"/>
    <s v="not outlier"/>
    <s v="outlier"/>
  </r>
  <r>
    <x v="2"/>
    <x v="9"/>
    <x v="1"/>
    <x v="38"/>
    <x v="1"/>
    <n v="0.97130000000000005"/>
    <n v="82.145392999999999"/>
    <n v="0.34"/>
    <n v="115"/>
    <s v="not outlier"/>
    <s v="not outlier"/>
    <s v="not outlier"/>
    <s v="not outlier"/>
  </r>
  <r>
    <x v="2"/>
    <x v="9"/>
    <x v="2"/>
    <x v="38"/>
    <x v="1"/>
    <n v="1.9097999999999999"/>
    <n v="164.086365"/>
    <n v="0.66839999999999999"/>
    <n v="856"/>
    <s v="not outlier"/>
    <s v="not outlier"/>
    <s v="not outlier"/>
    <s v="not outlier"/>
  </r>
  <r>
    <x v="2"/>
    <x v="9"/>
    <x v="0"/>
    <x v="38"/>
    <x v="1"/>
    <n v="12.331200000000001"/>
    <n v="1072.2411139999999"/>
    <n v="4.3159000000000001"/>
    <n v="3741"/>
    <s v="not outlier"/>
    <s v="not outlier"/>
    <s v="not outlier"/>
    <s v="outlier"/>
  </r>
  <r>
    <x v="2"/>
    <x v="10"/>
    <x v="1"/>
    <x v="38"/>
    <x v="1"/>
    <n v="0.84909999999999997"/>
    <n v="78.136527999999998"/>
    <n v="0.29720000000000002"/>
    <n v="114"/>
    <s v="not outlier"/>
    <s v="not outlier"/>
    <s v="not outlier"/>
    <s v="not outlier"/>
  </r>
  <r>
    <x v="2"/>
    <x v="10"/>
    <x v="2"/>
    <x v="38"/>
    <x v="1"/>
    <n v="1.9004000000000001"/>
    <n v="167.379323"/>
    <n v="0.66510000000000002"/>
    <n v="984"/>
    <s v="not outlier"/>
    <s v="not outlier"/>
    <s v="not outlier"/>
    <s v="not outlier"/>
  </r>
  <r>
    <x v="2"/>
    <x v="10"/>
    <x v="0"/>
    <x v="38"/>
    <x v="1"/>
    <n v="11.807499999999999"/>
    <n v="1071.843543"/>
    <n v="4.1326000000000001"/>
    <n v="3759"/>
    <s v="not outlier"/>
    <s v="not outlier"/>
    <s v="not outlier"/>
    <s v="outlier"/>
  </r>
  <r>
    <x v="2"/>
    <x v="11"/>
    <x v="1"/>
    <x v="38"/>
    <x v="1"/>
    <n v="1.0964"/>
    <n v="99.100650000000002"/>
    <n v="0.38379999999999997"/>
    <n v="113"/>
    <s v="not outlier"/>
    <s v="not outlier"/>
    <s v="not outlier"/>
    <s v="not outlier"/>
  </r>
  <r>
    <x v="2"/>
    <x v="11"/>
    <x v="2"/>
    <x v="38"/>
    <x v="1"/>
    <n v="2.4011"/>
    <n v="208.76339300000001"/>
    <n v="0.84040000000000004"/>
    <n v="1064"/>
    <s v="not outlier"/>
    <s v="not outlier"/>
    <s v="not outlier"/>
    <s v="not outlier"/>
  </r>
  <r>
    <x v="2"/>
    <x v="11"/>
    <x v="0"/>
    <x v="38"/>
    <x v="1"/>
    <n v="14.578099999999999"/>
    <n v="1298.6762679999999"/>
    <n v="5.1024000000000003"/>
    <n v="3925"/>
    <s v="not outlier"/>
    <s v="not outlier"/>
    <s v="not outlier"/>
    <s v="outlier"/>
  </r>
  <r>
    <x v="2"/>
    <x v="0"/>
    <x v="1"/>
    <x v="38"/>
    <x v="1"/>
    <n v="1.1889000000000001"/>
    <n v="106.11928"/>
    <n v="0.41610000000000003"/>
    <n v="114"/>
    <s v="not outlier"/>
    <s v="not outlier"/>
    <s v="not outlier"/>
    <s v="not outlier"/>
  </r>
  <r>
    <x v="2"/>
    <x v="0"/>
    <x v="2"/>
    <x v="38"/>
    <x v="1"/>
    <n v="2.7107000000000001"/>
    <n v="224.93849299999999"/>
    <n v="0.94879999999999998"/>
    <n v="820"/>
    <s v="not outlier"/>
    <s v="not outlier"/>
    <s v="not outlier"/>
    <s v="not outlier"/>
  </r>
  <r>
    <x v="2"/>
    <x v="0"/>
    <x v="0"/>
    <x v="38"/>
    <x v="1"/>
    <n v="16.013500000000001"/>
    <n v="1377.6806099999999"/>
    <n v="5.6047000000000002"/>
    <n v="4305"/>
    <s v="not outlier"/>
    <s v="not outlier"/>
    <s v="not outlier"/>
    <s v="outlier"/>
  </r>
  <r>
    <x v="2"/>
    <x v="1"/>
    <x v="1"/>
    <x v="38"/>
    <x v="1"/>
    <n v="1.1106"/>
    <n v="98.254187000000002"/>
    <n v="0.3886"/>
    <n v="109"/>
    <s v="not outlier"/>
    <s v="not outlier"/>
    <s v="not outlier"/>
    <s v="not outlier"/>
  </r>
  <r>
    <x v="2"/>
    <x v="1"/>
    <x v="2"/>
    <x v="38"/>
    <x v="1"/>
    <n v="2.3782999999999999"/>
    <n v="211.17560700000001"/>
    <n v="0.83240000000000003"/>
    <n v="1073"/>
    <s v="not outlier"/>
    <s v="not outlier"/>
    <s v="not outlier"/>
    <s v="not outlier"/>
  </r>
  <r>
    <x v="2"/>
    <x v="1"/>
    <x v="0"/>
    <x v="38"/>
    <x v="1"/>
    <n v="13.8492"/>
    <n v="1260.041579"/>
    <n v="4.8472"/>
    <n v="3776"/>
    <s v="not outlier"/>
    <s v="not outlier"/>
    <s v="not outlier"/>
    <s v="outlier"/>
  </r>
  <r>
    <x v="2"/>
    <x v="2"/>
    <x v="1"/>
    <x v="18"/>
    <x v="5"/>
    <n v="0.2026"/>
    <n v="34.905171000000003"/>
    <n v="3.85E-2"/>
    <n v="80"/>
    <s v="not outlier"/>
    <s v="not outlier"/>
    <s v="not outlier"/>
    <s v="not outlier"/>
  </r>
  <r>
    <x v="2"/>
    <x v="2"/>
    <x v="1"/>
    <x v="18"/>
    <x v="1"/>
    <n v="1.4E-3"/>
    <n v="0.14202799999999999"/>
    <n v="5.0000000000000001E-4"/>
    <n v="1"/>
    <s v="not outlier"/>
    <s v="not outlier"/>
    <s v="not outlier"/>
    <s v="not outlier"/>
  </r>
  <r>
    <x v="2"/>
    <x v="3"/>
    <x v="1"/>
    <x v="18"/>
    <x v="5"/>
    <n v="0.19070000000000001"/>
    <n v="32.362732000000001"/>
    <n v="3.6200000000000003E-2"/>
    <n v="82"/>
    <s v="not outlier"/>
    <s v="not outlier"/>
    <s v="not outlier"/>
    <s v="not outlier"/>
  </r>
  <r>
    <x v="2"/>
    <x v="3"/>
    <x v="1"/>
    <x v="18"/>
    <x v="1"/>
    <n v="4.4000000000000003E-3"/>
    <n v="0.40546199999999999"/>
    <n v="1.6999999999999999E-3"/>
    <n v="2"/>
    <s v="not outlier"/>
    <s v="not outlier"/>
    <s v="not outlier"/>
    <s v="not outlier"/>
  </r>
  <r>
    <x v="2"/>
    <x v="1"/>
    <x v="1"/>
    <x v="39"/>
    <x v="5"/>
    <n v="0.58179999999999998"/>
    <n v="34.264124000000002"/>
    <n v="6.9800000000000001E-2"/>
    <n v="75"/>
    <s v="not outlier"/>
    <s v="not outlier"/>
    <s v="not outlier"/>
    <s v="not outlier"/>
  </r>
  <r>
    <x v="2"/>
    <x v="2"/>
    <x v="1"/>
    <x v="19"/>
    <x v="2"/>
    <n v="0.1668"/>
    <n v="38.969667000000001"/>
    <n v="6.6699999999999995E-2"/>
    <n v="110"/>
    <s v="not outlier"/>
    <s v="not outlier"/>
    <s v="not outlier"/>
    <s v="not outlier"/>
  </r>
  <r>
    <x v="2"/>
    <x v="3"/>
    <x v="1"/>
    <x v="19"/>
    <x v="2"/>
    <n v="0.157"/>
    <n v="34.985402000000001"/>
    <n v="6.2799999999999995E-2"/>
    <n v="108"/>
    <s v="not outlier"/>
    <s v="not outlier"/>
    <s v="not outlier"/>
    <s v="not outlier"/>
  </r>
  <r>
    <x v="2"/>
    <x v="4"/>
    <x v="1"/>
    <x v="19"/>
    <x v="2"/>
    <n v="0.28070000000000001"/>
    <n v="64.890698"/>
    <n v="0.1123"/>
    <n v="128"/>
    <s v="not outlier"/>
    <s v="not outlier"/>
    <s v="not outlier"/>
    <s v="not outlier"/>
  </r>
  <r>
    <x v="2"/>
    <x v="5"/>
    <x v="1"/>
    <x v="19"/>
    <x v="2"/>
    <n v="0.22070000000000001"/>
    <n v="52.923910999999997"/>
    <n v="8.8300000000000003E-2"/>
    <n v="125"/>
    <s v="not outlier"/>
    <s v="not outlier"/>
    <s v="not outlier"/>
    <s v="not outlier"/>
  </r>
  <r>
    <x v="2"/>
    <x v="6"/>
    <x v="1"/>
    <x v="19"/>
    <x v="2"/>
    <n v="0.1885"/>
    <n v="45.304416000000003"/>
    <n v="7.5399999999999995E-2"/>
    <n v="117"/>
    <s v="not outlier"/>
    <s v="not outlier"/>
    <s v="not outlier"/>
    <s v="not outlier"/>
  </r>
  <r>
    <x v="2"/>
    <x v="7"/>
    <x v="1"/>
    <x v="19"/>
    <x v="2"/>
    <n v="0.20499999999999999"/>
    <n v="47.942005000000002"/>
    <n v="8.2000000000000003E-2"/>
    <n v="129"/>
    <s v="not outlier"/>
    <s v="not outlier"/>
    <s v="not outlier"/>
    <s v="not outlier"/>
  </r>
  <r>
    <x v="2"/>
    <x v="8"/>
    <x v="1"/>
    <x v="19"/>
    <x v="2"/>
    <n v="0.44679999999999997"/>
    <n v="74.509653"/>
    <n v="0.1787"/>
    <n v="146"/>
    <s v="not outlier"/>
    <s v="not outlier"/>
    <s v="not outlier"/>
    <s v="not outlier"/>
  </r>
  <r>
    <x v="2"/>
    <x v="9"/>
    <x v="1"/>
    <x v="19"/>
    <x v="2"/>
    <n v="0.39169999999999999"/>
    <n v="67.406085000000004"/>
    <n v="0.15670000000000001"/>
    <n v="147"/>
    <s v="not outlier"/>
    <s v="not outlier"/>
    <s v="not outlier"/>
    <s v="not outlier"/>
  </r>
  <r>
    <x v="2"/>
    <x v="2"/>
    <x v="1"/>
    <x v="20"/>
    <x v="1"/>
    <n v="1.0881000000000001"/>
    <n v="171.23694399999999"/>
    <n v="0.40260000000000001"/>
    <n v="39"/>
    <s v="not outlier"/>
    <s v="not outlier"/>
    <s v="not outlier"/>
    <s v="not outlier"/>
  </r>
  <r>
    <x v="2"/>
    <x v="2"/>
    <x v="0"/>
    <x v="20"/>
    <x v="1"/>
    <n v="1.3623000000000001"/>
    <n v="282.59374000000003"/>
    <n v="0.504"/>
    <n v="0"/>
    <s v="not outlier"/>
    <s v="not outlier"/>
    <s v="not outlier"/>
    <s v="not outlier"/>
  </r>
  <r>
    <x v="2"/>
    <x v="3"/>
    <x v="1"/>
    <x v="20"/>
    <x v="1"/>
    <n v="0.41299999999999998"/>
    <n v="75.322764000000006"/>
    <n v="0.15279999999999999"/>
    <n v="34"/>
    <s v="not outlier"/>
    <s v="not outlier"/>
    <s v="not outlier"/>
    <s v="not outlier"/>
  </r>
  <r>
    <x v="2"/>
    <x v="3"/>
    <x v="2"/>
    <x v="20"/>
    <x v="1"/>
    <n v="0.41889999999999999"/>
    <n v="83.905488000000005"/>
    <n v="0.155"/>
    <n v="0"/>
    <s v="not outlier"/>
    <s v="not outlier"/>
    <s v="not outlier"/>
    <s v="not outlier"/>
  </r>
  <r>
    <x v="2"/>
    <x v="3"/>
    <x v="0"/>
    <x v="20"/>
    <x v="1"/>
    <n v="1.1930000000000001"/>
    <n v="256.50886700000001"/>
    <n v="0.44140000000000001"/>
    <n v="0"/>
    <s v="not outlier"/>
    <s v="not outlier"/>
    <s v="not outlier"/>
    <s v="not outlier"/>
  </r>
  <r>
    <x v="2"/>
    <x v="4"/>
    <x v="1"/>
    <x v="20"/>
    <x v="1"/>
    <n v="0.79310000000000003"/>
    <n v="146.81078299999999"/>
    <n v="0.29349999999999998"/>
    <n v="30"/>
    <s v="not outlier"/>
    <s v="not outlier"/>
    <s v="not outlier"/>
    <s v="not outlier"/>
  </r>
  <r>
    <x v="2"/>
    <x v="4"/>
    <x v="2"/>
    <x v="20"/>
    <x v="1"/>
    <n v="0.65029999999999999"/>
    <n v="131.263071"/>
    <n v="0.24060000000000001"/>
    <n v="0"/>
    <s v="not outlier"/>
    <s v="not outlier"/>
    <s v="not outlier"/>
    <s v="not outlier"/>
  </r>
  <r>
    <x v="2"/>
    <x v="5"/>
    <x v="1"/>
    <x v="20"/>
    <x v="1"/>
    <n v="0.54100000000000004"/>
    <n v="104.95249200000001"/>
    <n v="0.2001"/>
    <n v="0"/>
    <s v="not outlier"/>
    <s v="not outlier"/>
    <s v="not outlier"/>
    <s v="not outlier"/>
  </r>
  <r>
    <x v="2"/>
    <x v="5"/>
    <x v="0"/>
    <x v="20"/>
    <x v="1"/>
    <n v="2.4323999999999999"/>
    <n v="528.57777799999997"/>
    <n v="0.9"/>
    <n v="0"/>
    <s v="not outlier"/>
    <s v="not outlier"/>
    <s v="not outlier"/>
    <s v="not outlier"/>
  </r>
  <r>
    <x v="2"/>
    <x v="6"/>
    <x v="1"/>
    <x v="20"/>
    <x v="1"/>
    <n v="0.45739999999999997"/>
    <n v="88.075675000000004"/>
    <n v="0.16919999999999999"/>
    <n v="0"/>
    <s v="not outlier"/>
    <s v="not outlier"/>
    <s v="not outlier"/>
    <s v="not outlier"/>
  </r>
  <r>
    <x v="2"/>
    <x v="7"/>
    <x v="1"/>
    <x v="20"/>
    <x v="1"/>
    <n v="0.75600000000000001"/>
    <n v="130.46600599999999"/>
    <n v="0.2797"/>
    <n v="0"/>
    <s v="not outlier"/>
    <s v="not outlier"/>
    <s v="not outlier"/>
    <s v="not outlier"/>
  </r>
  <r>
    <x v="2"/>
    <x v="7"/>
    <x v="0"/>
    <x v="20"/>
    <x v="1"/>
    <n v="1.2145999999999999"/>
    <n v="247.16329200000001"/>
    <n v="0.44940000000000002"/>
    <n v="0"/>
    <s v="not outlier"/>
    <s v="not outlier"/>
    <s v="not outlier"/>
    <s v="not outlier"/>
  </r>
  <r>
    <x v="2"/>
    <x v="8"/>
    <x v="1"/>
    <x v="20"/>
    <x v="1"/>
    <n v="0.67610000000000003"/>
    <n v="116.102321"/>
    <n v="0.25019999999999998"/>
    <n v="0"/>
    <s v="not outlier"/>
    <s v="not outlier"/>
    <s v="not outlier"/>
    <s v="not outlier"/>
  </r>
  <r>
    <x v="2"/>
    <x v="8"/>
    <x v="2"/>
    <x v="20"/>
    <x v="1"/>
    <n v="0.7056"/>
    <n v="148.367583"/>
    <n v="0.2611"/>
    <n v="0"/>
    <s v="not outlier"/>
    <s v="not outlier"/>
    <s v="not outlier"/>
    <s v="not outlier"/>
  </r>
  <r>
    <x v="2"/>
    <x v="9"/>
    <x v="2"/>
    <x v="20"/>
    <x v="1"/>
    <n v="0.93340000000000001"/>
    <n v="200.05150499999999"/>
    <n v="0.34539999999999998"/>
    <n v="0"/>
    <s v="not outlier"/>
    <s v="not outlier"/>
    <s v="not outlier"/>
    <s v="not outlier"/>
  </r>
  <r>
    <x v="2"/>
    <x v="10"/>
    <x v="1"/>
    <x v="20"/>
    <x v="1"/>
    <n v="0.2482"/>
    <n v="47.686528000000003"/>
    <n v="9.1800000000000007E-2"/>
    <n v="0"/>
    <s v="not outlier"/>
    <s v="not outlier"/>
    <s v="not outlier"/>
    <s v="not outlier"/>
  </r>
  <r>
    <x v="2"/>
    <x v="10"/>
    <x v="2"/>
    <x v="20"/>
    <x v="1"/>
    <n v="0.40610000000000002"/>
    <n v="90.136533999999997"/>
    <n v="0.1502"/>
    <n v="0"/>
    <s v="not outlier"/>
    <s v="not outlier"/>
    <s v="not outlier"/>
    <s v="not outlier"/>
  </r>
  <r>
    <x v="2"/>
    <x v="10"/>
    <x v="0"/>
    <x v="20"/>
    <x v="1"/>
    <n v="1.0606"/>
    <n v="220.256091"/>
    <n v="0.39240000000000003"/>
    <n v="0"/>
    <s v="not outlier"/>
    <s v="not outlier"/>
    <s v="not outlier"/>
    <s v="not outlier"/>
  </r>
  <r>
    <x v="2"/>
    <x v="11"/>
    <x v="1"/>
    <x v="20"/>
    <x v="1"/>
    <n v="0.28249999999999997"/>
    <n v="51.100825999999998"/>
    <n v="0.1046"/>
    <n v="0"/>
    <s v="not outlier"/>
    <s v="not outlier"/>
    <s v="not outlier"/>
    <s v="not outlier"/>
  </r>
  <r>
    <x v="2"/>
    <x v="11"/>
    <x v="2"/>
    <x v="20"/>
    <x v="1"/>
    <n v="0.81759999999999999"/>
    <n v="160.901353"/>
    <n v="0.30259999999999998"/>
    <n v="0"/>
    <s v="not outlier"/>
    <s v="not outlier"/>
    <s v="not outlier"/>
    <s v="not outlier"/>
  </r>
  <r>
    <x v="2"/>
    <x v="11"/>
    <x v="0"/>
    <x v="20"/>
    <x v="1"/>
    <n v="1.2193000000000001"/>
    <n v="243.123197"/>
    <n v="0.4511"/>
    <n v="0"/>
    <s v="not outlier"/>
    <s v="not outlier"/>
    <s v="not outlier"/>
    <s v="not outlier"/>
  </r>
  <r>
    <x v="2"/>
    <x v="0"/>
    <x v="1"/>
    <x v="20"/>
    <x v="1"/>
    <n v="0.38969999999999999"/>
    <n v="64.835729999999998"/>
    <n v="0.14419999999999999"/>
    <n v="22"/>
    <s v="not outlier"/>
    <s v="not outlier"/>
    <s v="not outlier"/>
    <s v="not outlier"/>
  </r>
  <r>
    <x v="2"/>
    <x v="0"/>
    <x v="2"/>
    <x v="20"/>
    <x v="1"/>
    <n v="0.65780000000000005"/>
    <n v="138.358881"/>
    <n v="0.24329999999999999"/>
    <n v="0"/>
    <s v="not outlier"/>
    <s v="not outlier"/>
    <s v="not outlier"/>
    <s v="not outlier"/>
  </r>
  <r>
    <x v="2"/>
    <x v="0"/>
    <x v="0"/>
    <x v="20"/>
    <x v="1"/>
    <n v="0.98860000000000003"/>
    <n v="209.659188"/>
    <n v="0.36580000000000001"/>
    <n v="0"/>
    <s v="not outlier"/>
    <s v="not outlier"/>
    <s v="not outlier"/>
    <s v="not outlier"/>
  </r>
  <r>
    <x v="2"/>
    <x v="1"/>
    <x v="1"/>
    <x v="20"/>
    <x v="1"/>
    <n v="0.31440000000000001"/>
    <n v="53.442689999999999"/>
    <n v="0.1163"/>
    <n v="0"/>
    <s v="not outlier"/>
    <s v="not outlier"/>
    <s v="not outlier"/>
    <s v="not outlier"/>
  </r>
  <r>
    <x v="2"/>
    <x v="1"/>
    <x v="2"/>
    <x v="20"/>
    <x v="1"/>
    <n v="0.63490000000000002"/>
    <n v="140.682445"/>
    <n v="0.2349"/>
    <n v="0"/>
    <s v="not outlier"/>
    <s v="not outlier"/>
    <s v="not outlier"/>
    <s v="not outlier"/>
  </r>
  <r>
    <x v="2"/>
    <x v="1"/>
    <x v="0"/>
    <x v="20"/>
    <x v="1"/>
    <n v="1.2131000000000001"/>
    <n v="257.23418900000001"/>
    <n v="0.44879999999999998"/>
    <n v="0"/>
    <s v="not outlier"/>
    <s v="not outlier"/>
    <s v="not outlier"/>
    <s v="not outlier"/>
  </r>
  <r>
    <x v="2"/>
    <x v="8"/>
    <x v="1"/>
    <x v="40"/>
    <x v="1"/>
    <n v="0.60550000000000004"/>
    <n v="36.580792000000002"/>
    <n v="0.21190000000000001"/>
    <n v="0"/>
    <s v="not outlier"/>
    <s v="not outlier"/>
    <s v="not outlier"/>
    <s v="not outlier"/>
  </r>
  <r>
    <x v="2"/>
    <x v="8"/>
    <x v="0"/>
    <x v="40"/>
    <x v="1"/>
    <n v="3.8847"/>
    <n v="224.618831"/>
    <n v="1.3596999999999999"/>
    <n v="0"/>
    <s v="not outlier"/>
    <s v="not outlier"/>
    <s v="not outlier"/>
    <s v="not outlier"/>
  </r>
  <r>
    <x v="2"/>
    <x v="9"/>
    <x v="1"/>
    <x v="40"/>
    <x v="1"/>
    <n v="2.0727000000000002"/>
    <n v="109.779905"/>
    <n v="0.72540000000000004"/>
    <n v="0"/>
    <s v="not outlier"/>
    <s v="not outlier"/>
    <s v="not outlier"/>
    <s v="not outlier"/>
  </r>
  <r>
    <x v="2"/>
    <x v="9"/>
    <x v="0"/>
    <x v="40"/>
    <x v="1"/>
    <n v="5.6062000000000003"/>
    <n v="313.649181"/>
    <n v="1.9621999999999999"/>
    <n v="131"/>
    <s v="not outlier"/>
    <s v="not outlier"/>
    <s v="not outlier"/>
    <s v="not outlier"/>
  </r>
  <r>
    <x v="2"/>
    <x v="10"/>
    <x v="1"/>
    <x v="40"/>
    <x v="1"/>
    <n v="1.0530999999999999"/>
    <n v="56.502913999999997"/>
    <n v="0.36859999999999998"/>
    <n v="0"/>
    <s v="not outlier"/>
    <s v="not outlier"/>
    <s v="not outlier"/>
    <s v="not outlier"/>
  </r>
  <r>
    <x v="2"/>
    <x v="2"/>
    <x v="2"/>
    <x v="32"/>
    <x v="1"/>
    <n v="2.2065999999999999"/>
    <n v="164.70493400000001"/>
    <n v="0.84960000000000002"/>
    <n v="769"/>
    <s v="not outlier"/>
    <s v="not outlier"/>
    <s v="not outlier"/>
    <s v="not outlier"/>
  </r>
  <r>
    <x v="2"/>
    <x v="2"/>
    <x v="2"/>
    <x v="32"/>
    <x v="2"/>
    <n v="0.1416"/>
    <n v="12.006769"/>
    <n v="6.9400000000000003E-2"/>
    <n v="56"/>
    <s v="not outlier"/>
    <s v="not outlier"/>
    <s v="not outlier"/>
    <s v="not outlier"/>
  </r>
  <r>
    <x v="2"/>
    <x v="2"/>
    <x v="0"/>
    <x v="32"/>
    <x v="1"/>
    <n v="5.3848000000000003"/>
    <n v="403.57108199999999"/>
    <n v="2.0731000000000002"/>
    <n v="1598"/>
    <s v="not outlier"/>
    <s v="not outlier"/>
    <s v="not outlier"/>
    <s v="not outlier"/>
  </r>
  <r>
    <x v="2"/>
    <x v="2"/>
    <x v="0"/>
    <x v="32"/>
    <x v="2"/>
    <n v="0.41749999999999998"/>
    <n v="34.83502"/>
    <n v="0.2046"/>
    <n v="201"/>
    <s v="not outlier"/>
    <s v="not outlier"/>
    <s v="not outlier"/>
    <s v="not outlier"/>
  </r>
  <r>
    <x v="2"/>
    <x v="3"/>
    <x v="2"/>
    <x v="32"/>
    <x v="1"/>
    <n v="2.7930999999999999"/>
    <n v="192.42710299999999"/>
    <n v="1.0753999999999999"/>
    <n v="960"/>
    <s v="not outlier"/>
    <s v="not outlier"/>
    <s v="not outlier"/>
    <s v="not outlier"/>
  </r>
  <r>
    <x v="2"/>
    <x v="3"/>
    <x v="2"/>
    <x v="32"/>
    <x v="2"/>
    <n v="0.25559999999999999"/>
    <n v="21.533491999999999"/>
    <n v="0.12529999999999999"/>
    <n v="180"/>
    <s v="not outlier"/>
    <s v="not outlier"/>
    <s v="not outlier"/>
    <s v="not outlier"/>
  </r>
  <r>
    <x v="2"/>
    <x v="3"/>
    <x v="0"/>
    <x v="32"/>
    <x v="1"/>
    <n v="4.8779000000000003"/>
    <n v="342.93716699999999"/>
    <n v="1.8779999999999999"/>
    <n v="1629"/>
    <s v="not outlier"/>
    <s v="not outlier"/>
    <s v="not outlier"/>
    <s v="not outlier"/>
  </r>
  <r>
    <x v="2"/>
    <x v="3"/>
    <x v="0"/>
    <x v="32"/>
    <x v="2"/>
    <n v="0.2908"/>
    <n v="28.097594000000001"/>
    <n v="0.14249999999999999"/>
    <n v="145"/>
    <s v="not outlier"/>
    <s v="not outlier"/>
    <s v="not outlier"/>
    <s v="not outlier"/>
  </r>
  <r>
    <x v="2"/>
    <x v="4"/>
    <x v="2"/>
    <x v="32"/>
    <x v="1"/>
    <n v="3.3083999999999998"/>
    <n v="227.97836000000001"/>
    <n v="1.2737000000000001"/>
    <n v="868"/>
    <s v="not outlier"/>
    <s v="not outlier"/>
    <s v="not outlier"/>
    <s v="not outlier"/>
  </r>
  <r>
    <x v="2"/>
    <x v="4"/>
    <x v="2"/>
    <x v="32"/>
    <x v="2"/>
    <n v="0.1235"/>
    <n v="10.237458"/>
    <n v="6.0499999999999998E-2"/>
    <n v="147"/>
    <s v="not outlier"/>
    <s v="not outlier"/>
    <s v="not outlier"/>
    <s v="not outlier"/>
  </r>
  <r>
    <x v="2"/>
    <x v="4"/>
    <x v="0"/>
    <x v="32"/>
    <x v="1"/>
    <n v="5.4265999999999996"/>
    <n v="395.15684199999998"/>
    <n v="2.0891999999999999"/>
    <n v="1692"/>
    <s v="not outlier"/>
    <s v="not outlier"/>
    <s v="not outlier"/>
    <s v="not outlier"/>
  </r>
  <r>
    <x v="2"/>
    <x v="4"/>
    <x v="0"/>
    <x v="32"/>
    <x v="2"/>
    <n v="0.27129999999999999"/>
    <n v="25.76972"/>
    <n v="0.13289999999999999"/>
    <n v="135"/>
    <s v="not outlier"/>
    <s v="not outlier"/>
    <s v="not outlier"/>
    <s v="not outlier"/>
  </r>
  <r>
    <x v="2"/>
    <x v="5"/>
    <x v="2"/>
    <x v="32"/>
    <x v="1"/>
    <n v="2.0219999999999998"/>
    <n v="142.50128599999999"/>
    <n v="0.77839999999999998"/>
    <n v="883"/>
    <s v="not outlier"/>
    <s v="not outlier"/>
    <s v="not outlier"/>
    <s v="not outlier"/>
  </r>
  <r>
    <x v="2"/>
    <x v="5"/>
    <x v="2"/>
    <x v="32"/>
    <x v="2"/>
    <n v="1.6967000000000001"/>
    <n v="141.081872"/>
    <n v="0.83140000000000003"/>
    <n v="281"/>
    <s v="not outlier"/>
    <s v="not outlier"/>
    <s v="not outlier"/>
    <s v="not outlier"/>
  </r>
  <r>
    <x v="2"/>
    <x v="5"/>
    <x v="0"/>
    <x v="32"/>
    <x v="1"/>
    <n v="5.2129000000000003"/>
    <n v="362.23720600000001"/>
    <n v="2.0070000000000001"/>
    <n v="1569"/>
    <s v="not outlier"/>
    <s v="not outlier"/>
    <s v="not outlier"/>
    <s v="not outlier"/>
  </r>
  <r>
    <x v="2"/>
    <x v="5"/>
    <x v="0"/>
    <x v="32"/>
    <x v="2"/>
    <n v="0.46529999999999999"/>
    <n v="42.914679"/>
    <n v="0.22800000000000001"/>
    <n v="130"/>
    <s v="not outlier"/>
    <s v="not outlier"/>
    <s v="not outlier"/>
    <s v="not outlier"/>
  </r>
  <r>
    <x v="2"/>
    <x v="6"/>
    <x v="2"/>
    <x v="32"/>
    <x v="1"/>
    <n v="3.0453000000000001"/>
    <n v="174.863686"/>
    <n v="1.1724000000000001"/>
    <n v="915"/>
    <s v="not outlier"/>
    <s v="not outlier"/>
    <s v="not outlier"/>
    <s v="not outlier"/>
  </r>
  <r>
    <x v="2"/>
    <x v="6"/>
    <x v="2"/>
    <x v="32"/>
    <x v="2"/>
    <n v="0.33839999999999998"/>
    <n v="24.139054999999999"/>
    <n v="0.1658"/>
    <n v="144"/>
    <s v="not outlier"/>
    <s v="not outlier"/>
    <s v="not outlier"/>
    <s v="not outlier"/>
  </r>
  <r>
    <x v="2"/>
    <x v="6"/>
    <x v="0"/>
    <x v="32"/>
    <x v="1"/>
    <n v="4.5991"/>
    <n v="302.88313099999999"/>
    <n v="1.7706"/>
    <n v="1506"/>
    <s v="not outlier"/>
    <s v="not outlier"/>
    <s v="not outlier"/>
    <s v="not outlier"/>
  </r>
  <r>
    <x v="2"/>
    <x v="6"/>
    <x v="0"/>
    <x v="32"/>
    <x v="2"/>
    <n v="0.39579999999999999"/>
    <n v="36.618056000000003"/>
    <n v="0.19389999999999999"/>
    <n v="125"/>
    <s v="not outlier"/>
    <s v="not outlier"/>
    <s v="not outlier"/>
    <s v="not outlier"/>
  </r>
  <r>
    <x v="2"/>
    <x v="7"/>
    <x v="2"/>
    <x v="32"/>
    <x v="1"/>
    <n v="2.3915999999999999"/>
    <n v="125.774255"/>
    <n v="0.92079999999999995"/>
    <n v="735"/>
    <s v="not outlier"/>
    <s v="not outlier"/>
    <s v="not outlier"/>
    <s v="not outlier"/>
  </r>
  <r>
    <x v="2"/>
    <x v="7"/>
    <x v="2"/>
    <x v="32"/>
    <x v="2"/>
    <n v="0.3448"/>
    <n v="24.544915"/>
    <n v="0.16889999999999999"/>
    <n v="139"/>
    <s v="not outlier"/>
    <s v="not outlier"/>
    <s v="not outlier"/>
    <s v="not outlier"/>
  </r>
  <r>
    <x v="2"/>
    <x v="7"/>
    <x v="0"/>
    <x v="32"/>
    <x v="1"/>
    <n v="6.5872999999999999"/>
    <n v="378.79190799999998"/>
    <n v="2.5360999999999998"/>
    <n v="1670"/>
    <s v="not outlier"/>
    <s v="not outlier"/>
    <s v="not outlier"/>
    <s v="not outlier"/>
  </r>
  <r>
    <x v="2"/>
    <x v="7"/>
    <x v="0"/>
    <x v="32"/>
    <x v="2"/>
    <n v="0.3579"/>
    <n v="31.427351999999999"/>
    <n v="0.1754"/>
    <n v="112"/>
    <s v="not outlier"/>
    <s v="not outlier"/>
    <s v="not outlier"/>
    <s v="not outlier"/>
  </r>
  <r>
    <x v="2"/>
    <x v="8"/>
    <x v="2"/>
    <x v="32"/>
    <x v="1"/>
    <n v="2.6669999999999998"/>
    <n v="157.55568099999999"/>
    <n v="1.0266999999999999"/>
    <n v="780"/>
    <s v="not outlier"/>
    <s v="not outlier"/>
    <s v="not outlier"/>
    <s v="not outlier"/>
  </r>
  <r>
    <x v="2"/>
    <x v="8"/>
    <x v="2"/>
    <x v="32"/>
    <x v="2"/>
    <n v="0.31780000000000003"/>
    <n v="22.29946"/>
    <n v="0.15570000000000001"/>
    <n v="146"/>
    <s v="not outlier"/>
    <s v="not outlier"/>
    <s v="not outlier"/>
    <s v="not outlier"/>
  </r>
  <r>
    <x v="2"/>
    <x v="8"/>
    <x v="0"/>
    <x v="32"/>
    <x v="1"/>
    <n v="5.7888999999999999"/>
    <n v="309.18247300000002"/>
    <n v="2.2286999999999999"/>
    <n v="1453"/>
    <s v="not outlier"/>
    <s v="not outlier"/>
    <s v="not outlier"/>
    <s v="not outlier"/>
  </r>
  <r>
    <x v="2"/>
    <x v="8"/>
    <x v="0"/>
    <x v="32"/>
    <x v="2"/>
    <n v="0.40079999999999999"/>
    <n v="36.390825"/>
    <n v="0.19639999999999999"/>
    <n v="109"/>
    <s v="not outlier"/>
    <s v="not outlier"/>
    <s v="not outlier"/>
    <s v="not outlier"/>
  </r>
  <r>
    <x v="2"/>
    <x v="9"/>
    <x v="2"/>
    <x v="32"/>
    <x v="1"/>
    <n v="1.1354"/>
    <n v="81.085424000000003"/>
    <n v="0.43709999999999999"/>
    <n v="676"/>
    <s v="not outlier"/>
    <s v="not outlier"/>
    <s v="not outlier"/>
    <s v="not outlier"/>
  </r>
  <r>
    <x v="2"/>
    <x v="9"/>
    <x v="2"/>
    <x v="32"/>
    <x v="2"/>
    <n v="0.14849999999999999"/>
    <n v="13.757581"/>
    <n v="7.2700000000000001E-2"/>
    <n v="101"/>
    <s v="not outlier"/>
    <s v="not outlier"/>
    <s v="not outlier"/>
    <s v="not outlier"/>
  </r>
  <r>
    <x v="2"/>
    <x v="9"/>
    <x v="0"/>
    <x v="32"/>
    <x v="1"/>
    <n v="3.0958999999999999"/>
    <n v="202.80738400000001"/>
    <n v="1.1919"/>
    <n v="1758"/>
    <s v="not outlier"/>
    <s v="not outlier"/>
    <s v="not outlier"/>
    <s v="not outlier"/>
  </r>
  <r>
    <x v="2"/>
    <x v="9"/>
    <x v="0"/>
    <x v="32"/>
    <x v="2"/>
    <n v="0.36830000000000002"/>
    <n v="33.449024000000001"/>
    <n v="0.1804"/>
    <n v="120"/>
    <s v="not outlier"/>
    <s v="not outlier"/>
    <s v="not outlier"/>
    <s v="not outlier"/>
  </r>
  <r>
    <x v="2"/>
    <x v="10"/>
    <x v="2"/>
    <x v="32"/>
    <x v="1"/>
    <n v="1.1156999999999999"/>
    <n v="72.697706999999994"/>
    <n v="0.42949999999999999"/>
    <n v="487"/>
    <s v="not outlier"/>
    <s v="not outlier"/>
    <s v="not outlier"/>
    <s v="not outlier"/>
  </r>
  <r>
    <x v="2"/>
    <x v="10"/>
    <x v="2"/>
    <x v="32"/>
    <x v="2"/>
    <n v="0.15820000000000001"/>
    <n v="14.157007999999999"/>
    <n v="7.7499999999999999E-2"/>
    <n v="110"/>
    <s v="not outlier"/>
    <s v="not outlier"/>
    <s v="not outlier"/>
    <s v="not outlier"/>
  </r>
  <r>
    <x v="2"/>
    <x v="10"/>
    <x v="0"/>
    <x v="32"/>
    <x v="1"/>
    <n v="6.0589000000000004"/>
    <n v="357.79105299999998"/>
    <n v="2.3325999999999998"/>
    <n v="1472"/>
    <s v="not outlier"/>
    <s v="not outlier"/>
    <s v="not outlier"/>
    <s v="not outlier"/>
  </r>
  <r>
    <x v="2"/>
    <x v="10"/>
    <x v="0"/>
    <x v="32"/>
    <x v="2"/>
    <n v="0.16789999999999999"/>
    <n v="19.158144"/>
    <n v="8.2299999999999998E-2"/>
    <n v="78"/>
    <s v="not outlier"/>
    <s v="not outlier"/>
    <s v="not outlier"/>
    <s v="not outlier"/>
  </r>
  <r>
    <x v="2"/>
    <x v="11"/>
    <x v="1"/>
    <x v="32"/>
    <x v="1"/>
    <n v="0.49120000000000003"/>
    <n v="47.016438999999998"/>
    <n v="0.18909999999999999"/>
    <n v="137"/>
    <s v="not outlier"/>
    <s v="not outlier"/>
    <s v="not outlier"/>
    <s v="not outlier"/>
  </r>
  <r>
    <x v="2"/>
    <x v="11"/>
    <x v="2"/>
    <x v="32"/>
    <x v="1"/>
    <n v="0.5887"/>
    <n v="38.340356"/>
    <n v="0.2266"/>
    <n v="441"/>
    <s v="not outlier"/>
    <s v="not outlier"/>
    <s v="not outlier"/>
    <s v="not outlier"/>
  </r>
  <r>
    <x v="2"/>
    <x v="11"/>
    <x v="2"/>
    <x v="32"/>
    <x v="2"/>
    <n v="0.1517"/>
    <n v="13.152670000000001"/>
    <n v="7.4300000000000005E-2"/>
    <n v="103"/>
    <s v="not outlier"/>
    <s v="not outlier"/>
    <s v="not outlier"/>
    <s v="not outlier"/>
  </r>
  <r>
    <x v="2"/>
    <x v="11"/>
    <x v="0"/>
    <x v="32"/>
    <x v="1"/>
    <n v="4.2663000000000002"/>
    <n v="271.08267499999999"/>
    <n v="1.6425000000000001"/>
    <n v="1321"/>
    <s v="not outlier"/>
    <s v="not outlier"/>
    <s v="not outlier"/>
    <s v="not outlier"/>
  </r>
  <r>
    <x v="2"/>
    <x v="11"/>
    <x v="0"/>
    <x v="32"/>
    <x v="2"/>
    <n v="0.1046"/>
    <n v="13.200875"/>
    <n v="5.1299999999999998E-2"/>
    <n v="69"/>
    <s v="not outlier"/>
    <s v="not outlier"/>
    <s v="not outlier"/>
    <s v="not outlier"/>
  </r>
  <r>
    <x v="2"/>
    <x v="0"/>
    <x v="1"/>
    <x v="32"/>
    <x v="1"/>
    <n v="0.53910000000000002"/>
    <n v="49.349483999999997"/>
    <n v="0.20749999999999999"/>
    <n v="139"/>
    <s v="not outlier"/>
    <s v="not outlier"/>
    <s v="not outlier"/>
    <s v="not outlier"/>
  </r>
  <r>
    <x v="2"/>
    <x v="0"/>
    <x v="0"/>
    <x v="32"/>
    <x v="1"/>
    <n v="2.2503000000000002"/>
    <n v="177.459237"/>
    <n v="0.86639999999999995"/>
    <n v="1080"/>
    <s v="not outlier"/>
    <s v="not outlier"/>
    <s v="not outlier"/>
    <s v="not outlier"/>
  </r>
  <r>
    <x v="2"/>
    <x v="0"/>
    <x v="0"/>
    <x v="32"/>
    <x v="2"/>
    <n v="0.1152"/>
    <n v="16.475532999999999"/>
    <n v="5.6399999999999999E-2"/>
    <n v="74"/>
    <s v="not outlier"/>
    <s v="not outlier"/>
    <s v="not outlier"/>
    <s v="not outlier"/>
  </r>
  <r>
    <x v="2"/>
    <x v="1"/>
    <x v="1"/>
    <x v="32"/>
    <x v="1"/>
    <n v="0.40260000000000001"/>
    <n v="44.385877999999998"/>
    <n v="0.155"/>
    <n v="131"/>
    <s v="not outlier"/>
    <s v="not outlier"/>
    <s v="not outlier"/>
    <s v="not outlier"/>
  </r>
  <r>
    <x v="2"/>
    <x v="2"/>
    <x v="2"/>
    <x v="33"/>
    <x v="1"/>
    <n v="4.4477000000000002"/>
    <n v="193.181003"/>
    <n v="1.5567"/>
    <n v="435"/>
    <s v="not outlier"/>
    <s v="not outlier"/>
    <s v="not outlier"/>
    <s v="not outlier"/>
  </r>
  <r>
    <x v="2"/>
    <x v="3"/>
    <x v="2"/>
    <x v="33"/>
    <x v="1"/>
    <n v="2.2345000000000002"/>
    <n v="106.804421"/>
    <n v="0.78210000000000002"/>
    <n v="463"/>
    <s v="not outlier"/>
    <s v="not outlier"/>
    <s v="not outlier"/>
    <s v="not outlier"/>
  </r>
  <r>
    <x v="2"/>
    <x v="4"/>
    <x v="2"/>
    <x v="33"/>
    <x v="1"/>
    <n v="2.1042999999999998"/>
    <n v="110.584264"/>
    <n v="0.73650000000000004"/>
    <n v="454"/>
    <s v="not outlier"/>
    <s v="not outlier"/>
    <s v="not outlier"/>
    <s v="not outlier"/>
  </r>
  <r>
    <x v="2"/>
    <x v="6"/>
    <x v="2"/>
    <x v="33"/>
    <x v="1"/>
    <n v="1.5551999999999999"/>
    <n v="76.888582"/>
    <n v="0.5444"/>
    <n v="336"/>
    <s v="not outlier"/>
    <s v="not outlier"/>
    <s v="not outlier"/>
    <s v="not outlier"/>
  </r>
  <r>
    <x v="2"/>
    <x v="11"/>
    <x v="2"/>
    <x v="33"/>
    <x v="1"/>
    <n v="1.3273999999999999"/>
    <n v="51.798101000000003"/>
    <n v="0.46460000000000001"/>
    <n v="435"/>
    <s v="not outlier"/>
    <s v="not outlier"/>
    <s v="not outlier"/>
    <s v="not outlier"/>
  </r>
  <r>
    <x v="2"/>
    <x v="0"/>
    <x v="2"/>
    <x v="33"/>
    <x v="1"/>
    <n v="1.5963000000000001"/>
    <n v="91.942843999999994"/>
    <n v="0.55869999999999997"/>
    <n v="782"/>
    <s v="not outlier"/>
    <s v="not outlier"/>
    <s v="not outlier"/>
    <s v="not outlier"/>
  </r>
  <r>
    <x v="2"/>
    <x v="1"/>
    <x v="2"/>
    <x v="33"/>
    <x v="1"/>
    <n v="4.9301000000000004"/>
    <n v="253.99308199999999"/>
    <n v="1.7255"/>
    <n v="686"/>
    <s v="not outlier"/>
    <s v="not outlier"/>
    <s v="not outlier"/>
    <s v="not outlier"/>
  </r>
  <r>
    <x v="2"/>
    <x v="1"/>
    <x v="0"/>
    <x v="33"/>
    <x v="1"/>
    <n v="7.3404999999999996"/>
    <n v="308.90372200000002"/>
    <n v="2.5691999999999999"/>
    <n v="840"/>
    <s v="not outlier"/>
    <s v="not outlier"/>
    <s v="not outlier"/>
    <s v="not outlier"/>
  </r>
  <r>
    <x v="2"/>
    <x v="2"/>
    <x v="0"/>
    <x v="25"/>
    <x v="5"/>
    <n v="0.2676"/>
    <n v="46.087755999999999"/>
    <n v="4.8099999999999997E-2"/>
    <n v="0"/>
    <s v="not outlier"/>
    <s v="not outlier"/>
    <s v="not outlier"/>
    <s v="not outlier"/>
  </r>
  <r>
    <x v="2"/>
    <x v="2"/>
    <x v="0"/>
    <x v="25"/>
    <x v="1"/>
    <n v="0.59650000000000003"/>
    <n v="145.86605399999999"/>
    <n v="0.2087"/>
    <n v="0"/>
    <s v="not outlier"/>
    <s v="not outlier"/>
    <s v="not outlier"/>
    <s v="not outlier"/>
  </r>
  <r>
    <x v="2"/>
    <x v="9"/>
    <x v="0"/>
    <x v="25"/>
    <x v="5"/>
    <n v="0.32879999999999998"/>
    <n v="83.087602000000004"/>
    <n v="5.9200000000000003E-2"/>
    <n v="0"/>
    <s v="not outlier"/>
    <s v="not outlier"/>
    <s v="not outlier"/>
    <s v="not outlier"/>
  </r>
  <r>
    <x v="2"/>
    <x v="9"/>
    <x v="0"/>
    <x v="25"/>
    <x v="1"/>
    <n v="0.3392"/>
    <n v="98.935481999999993"/>
    <n v="0.1187"/>
    <n v="0"/>
    <s v="not outlier"/>
    <s v="not outlier"/>
    <s v="not outlier"/>
    <s v="not outlier"/>
  </r>
  <r>
    <x v="2"/>
    <x v="10"/>
    <x v="0"/>
    <x v="25"/>
    <x v="5"/>
    <n v="0.2399"/>
    <n v="62.670107999999999"/>
    <n v="4.3200000000000002E-2"/>
    <n v="0"/>
    <s v="not outlier"/>
    <s v="not outlier"/>
    <s v="not outlier"/>
    <s v="not outlier"/>
  </r>
  <r>
    <x v="2"/>
    <x v="10"/>
    <x v="0"/>
    <x v="25"/>
    <x v="1"/>
    <n v="0.44269999999999998"/>
    <n v="128.904763"/>
    <n v="0.155"/>
    <n v="0"/>
    <s v="not outlier"/>
    <s v="not outlier"/>
    <s v="not outlier"/>
    <s v="not outlier"/>
  </r>
  <r>
    <x v="2"/>
    <x v="11"/>
    <x v="0"/>
    <x v="25"/>
    <x v="5"/>
    <n v="0.21579999999999999"/>
    <n v="60.715271999999999"/>
    <n v="3.8899999999999997E-2"/>
    <n v="0"/>
    <s v="not outlier"/>
    <s v="not outlier"/>
    <s v="not outlier"/>
    <s v="not outlier"/>
  </r>
  <r>
    <x v="2"/>
    <x v="11"/>
    <x v="0"/>
    <x v="25"/>
    <x v="1"/>
    <n v="0.49220000000000003"/>
    <n v="143.892056"/>
    <n v="0.17219999999999999"/>
    <n v="0"/>
    <s v="not outlier"/>
    <s v="not outlier"/>
    <s v="not outlier"/>
    <s v="not outlier"/>
  </r>
  <r>
    <x v="2"/>
    <x v="0"/>
    <x v="0"/>
    <x v="25"/>
    <x v="5"/>
    <n v="0.2316"/>
    <n v="68.187832999999998"/>
    <n v="4.1599999999999998E-2"/>
    <n v="0"/>
    <s v="not outlier"/>
    <s v="not outlier"/>
    <s v="not outlier"/>
    <s v="not outlier"/>
  </r>
  <r>
    <x v="2"/>
    <x v="0"/>
    <x v="0"/>
    <x v="25"/>
    <x v="1"/>
    <n v="0.49890000000000001"/>
    <n v="148.325346"/>
    <n v="0.17460000000000001"/>
    <n v="0"/>
    <s v="not outlier"/>
    <s v="not outlier"/>
    <s v="not outlier"/>
    <s v="not outlier"/>
  </r>
  <r>
    <x v="2"/>
    <x v="1"/>
    <x v="0"/>
    <x v="25"/>
    <x v="5"/>
    <n v="0.2321"/>
    <n v="71.738721999999996"/>
    <n v="4.1799999999999997E-2"/>
    <n v="0"/>
    <s v="not outlier"/>
    <s v="not outlier"/>
    <s v="not outlier"/>
    <s v="not outlier"/>
  </r>
  <r>
    <x v="2"/>
    <x v="1"/>
    <x v="0"/>
    <x v="25"/>
    <x v="1"/>
    <n v="0.41549999999999998"/>
    <n v="138.91658200000001"/>
    <n v="0.1454"/>
    <n v="0"/>
    <s v="not outlier"/>
    <s v="not outlier"/>
    <s v="not outlier"/>
    <s v="not outlier"/>
  </r>
  <r>
    <x v="2"/>
    <x v="2"/>
    <x v="1"/>
    <x v="26"/>
    <x v="5"/>
    <n v="2.8628999999999998"/>
    <n v="307.94699200000002"/>
    <n v="0.51529999999999998"/>
    <n v="210"/>
    <s v="not outlier"/>
    <s v="not outlier"/>
    <s v="not outlier"/>
    <s v="not outlier"/>
  </r>
  <r>
    <x v="2"/>
    <x v="2"/>
    <x v="2"/>
    <x v="26"/>
    <x v="5"/>
    <n v="8.1161999999999992"/>
    <n v="700.44224199999996"/>
    <n v="1.4609000000000001"/>
    <n v="2897"/>
    <s v="not outlier"/>
    <s v="not outlier"/>
    <s v="not outlier"/>
    <s v="outlier"/>
  </r>
  <r>
    <x v="2"/>
    <x v="2"/>
    <x v="0"/>
    <x v="26"/>
    <x v="5"/>
    <n v="14.6676"/>
    <n v="1288.4679839999999"/>
    <n v="2.6402000000000001"/>
    <n v="4284"/>
    <s v="not outlier"/>
    <s v="not outlier"/>
    <s v="not outlier"/>
    <s v="outlier"/>
  </r>
  <r>
    <x v="2"/>
    <x v="3"/>
    <x v="1"/>
    <x v="26"/>
    <x v="5"/>
    <n v="2.5137999999999998"/>
    <n v="284.824342"/>
    <n v="0.45250000000000001"/>
    <n v="202"/>
    <s v="not outlier"/>
    <s v="not outlier"/>
    <s v="not outlier"/>
    <s v="not outlier"/>
  </r>
  <r>
    <x v="2"/>
    <x v="3"/>
    <x v="2"/>
    <x v="26"/>
    <x v="5"/>
    <n v="5.7038000000000002"/>
    <n v="515.43810399999995"/>
    <n v="1.0266999999999999"/>
    <n v="2437"/>
    <s v="not outlier"/>
    <s v="not outlier"/>
    <s v="not outlier"/>
    <s v="not outlier"/>
  </r>
  <r>
    <x v="2"/>
    <x v="3"/>
    <x v="0"/>
    <x v="26"/>
    <x v="5"/>
    <n v="10.015700000000001"/>
    <n v="953.28915700000005"/>
    <n v="1.8028"/>
    <n v="3804"/>
    <s v="not outlier"/>
    <s v="not outlier"/>
    <s v="not outlier"/>
    <s v="outlier"/>
  </r>
  <r>
    <x v="2"/>
    <x v="4"/>
    <x v="1"/>
    <x v="26"/>
    <x v="5"/>
    <n v="3.8064"/>
    <n v="424.69898000000001"/>
    <n v="0.68510000000000004"/>
    <n v="191"/>
    <s v="not outlier"/>
    <s v="not outlier"/>
    <s v="not outlier"/>
    <s v="not outlier"/>
  </r>
  <r>
    <x v="2"/>
    <x v="4"/>
    <x v="2"/>
    <x v="26"/>
    <x v="5"/>
    <n v="5.4960000000000004"/>
    <n v="517.77055199999995"/>
    <n v="0.98929999999999996"/>
    <n v="2432"/>
    <s v="not outlier"/>
    <s v="not outlier"/>
    <s v="not outlier"/>
    <s v="not outlier"/>
  </r>
  <r>
    <x v="2"/>
    <x v="4"/>
    <x v="0"/>
    <x v="26"/>
    <x v="5"/>
    <n v="9.3745999999999992"/>
    <n v="947.04014199999995"/>
    <n v="1.6874"/>
    <n v="3564"/>
    <s v="not outlier"/>
    <s v="not outlier"/>
    <s v="not outlier"/>
    <s v="outlier"/>
  </r>
  <r>
    <x v="2"/>
    <x v="5"/>
    <x v="1"/>
    <x v="26"/>
    <x v="5"/>
    <n v="1.7005999999999999"/>
    <n v="203.671087"/>
    <n v="0.30609999999999998"/>
    <n v="167"/>
    <s v="not outlier"/>
    <s v="not outlier"/>
    <s v="not outlier"/>
    <s v="not outlier"/>
  </r>
  <r>
    <x v="2"/>
    <x v="5"/>
    <x v="2"/>
    <x v="26"/>
    <x v="5"/>
    <n v="4.4524999999999997"/>
    <n v="416.92419599999999"/>
    <n v="0.8014"/>
    <n v="1675"/>
    <s v="not outlier"/>
    <s v="not outlier"/>
    <s v="not outlier"/>
    <s v="not outlier"/>
  </r>
  <r>
    <x v="2"/>
    <x v="5"/>
    <x v="0"/>
    <x v="26"/>
    <x v="5"/>
    <n v="6.2295999999999996"/>
    <n v="631.50654299999997"/>
    <n v="1.1213"/>
    <n v="2641"/>
    <s v="not outlier"/>
    <s v="not outlier"/>
    <s v="not outlier"/>
    <s v="not outlier"/>
  </r>
  <r>
    <x v="2"/>
    <x v="6"/>
    <x v="1"/>
    <x v="26"/>
    <x v="5"/>
    <n v="1.6698999999999999"/>
    <n v="200.27634900000001"/>
    <n v="0.30059999999999998"/>
    <n v="159"/>
    <s v="not outlier"/>
    <s v="not outlier"/>
    <s v="not outlier"/>
    <s v="not outlier"/>
  </r>
  <r>
    <x v="2"/>
    <x v="6"/>
    <x v="2"/>
    <x v="26"/>
    <x v="5"/>
    <n v="3.8740999999999999"/>
    <n v="350.53213"/>
    <n v="0.69730000000000003"/>
    <n v="1441"/>
    <s v="not outlier"/>
    <s v="not outlier"/>
    <s v="not outlier"/>
    <s v="not outlier"/>
  </r>
  <r>
    <x v="2"/>
    <x v="6"/>
    <x v="0"/>
    <x v="26"/>
    <x v="5"/>
    <n v="6.4932999999999996"/>
    <n v="637.88611500000002"/>
    <n v="1.1688000000000001"/>
    <n v="2563"/>
    <s v="not outlier"/>
    <s v="not outlier"/>
    <s v="not outlier"/>
    <s v="not outlier"/>
  </r>
  <r>
    <x v="2"/>
    <x v="7"/>
    <x v="1"/>
    <x v="26"/>
    <x v="5"/>
    <n v="1.9762999999999999"/>
    <n v="231.50842900000001"/>
    <n v="0.35570000000000002"/>
    <n v="189"/>
    <s v="not outlier"/>
    <s v="not outlier"/>
    <s v="not outlier"/>
    <s v="not outlier"/>
  </r>
  <r>
    <x v="2"/>
    <x v="7"/>
    <x v="2"/>
    <x v="26"/>
    <x v="5"/>
    <n v="3.7427000000000001"/>
    <n v="338.56308899999999"/>
    <n v="0.67369999999999997"/>
    <n v="1548"/>
    <s v="not outlier"/>
    <s v="not outlier"/>
    <s v="not outlier"/>
    <s v="not outlier"/>
  </r>
  <r>
    <x v="2"/>
    <x v="7"/>
    <x v="0"/>
    <x v="26"/>
    <x v="5"/>
    <n v="5.4622999999999999"/>
    <n v="528.67610999999999"/>
    <n v="0.98329999999999995"/>
    <n v="2267"/>
    <s v="not outlier"/>
    <s v="not outlier"/>
    <s v="not outlier"/>
    <s v="not outlier"/>
  </r>
  <r>
    <x v="2"/>
    <x v="8"/>
    <x v="1"/>
    <x v="26"/>
    <x v="5"/>
    <n v="2.3359999999999999"/>
    <n v="263.524314"/>
    <n v="0.42049999999999998"/>
    <n v="176"/>
    <s v="not outlier"/>
    <s v="not outlier"/>
    <s v="not outlier"/>
    <s v="not outlier"/>
  </r>
  <r>
    <x v="2"/>
    <x v="8"/>
    <x v="2"/>
    <x v="26"/>
    <x v="5"/>
    <n v="3.7982999999999998"/>
    <n v="348.84576700000002"/>
    <n v="0.68369999999999997"/>
    <n v="1365"/>
    <s v="not outlier"/>
    <s v="not outlier"/>
    <s v="not outlier"/>
    <s v="not outlier"/>
  </r>
  <r>
    <x v="2"/>
    <x v="8"/>
    <x v="0"/>
    <x v="26"/>
    <x v="5"/>
    <n v="5.2210000000000001"/>
    <n v="520.67634899999996"/>
    <n v="0.93979999999999997"/>
    <n v="2169"/>
    <s v="not outlier"/>
    <s v="not outlier"/>
    <s v="not outlier"/>
    <s v="not outlier"/>
  </r>
  <r>
    <x v="2"/>
    <x v="9"/>
    <x v="1"/>
    <x v="26"/>
    <x v="5"/>
    <n v="3.3197000000000001"/>
    <n v="345.17924099999999"/>
    <n v="0.59760000000000002"/>
    <n v="166"/>
    <s v="not outlier"/>
    <s v="not outlier"/>
    <s v="not outlier"/>
    <s v="not outlier"/>
  </r>
  <r>
    <x v="2"/>
    <x v="9"/>
    <x v="2"/>
    <x v="26"/>
    <x v="5"/>
    <n v="4.0218999999999996"/>
    <n v="357.342625"/>
    <n v="0.72389999999999999"/>
    <n v="1354"/>
    <s v="not outlier"/>
    <s v="not outlier"/>
    <s v="not outlier"/>
    <s v="not outlier"/>
  </r>
  <r>
    <x v="2"/>
    <x v="9"/>
    <x v="0"/>
    <x v="26"/>
    <x v="5"/>
    <n v="5.577"/>
    <n v="506.79238900000001"/>
    <n v="1.0039"/>
    <n v="2265"/>
    <s v="not outlier"/>
    <s v="not outlier"/>
    <s v="not outlier"/>
    <s v="not outlier"/>
  </r>
  <r>
    <x v="2"/>
    <x v="10"/>
    <x v="1"/>
    <x v="26"/>
    <x v="5"/>
    <n v="2.8967999999999998"/>
    <n v="309.26137699999998"/>
    <n v="0.52139999999999997"/>
    <n v="156"/>
    <s v="not outlier"/>
    <s v="not outlier"/>
    <s v="not outlier"/>
    <s v="not outlier"/>
  </r>
  <r>
    <x v="2"/>
    <x v="10"/>
    <x v="2"/>
    <x v="26"/>
    <x v="5"/>
    <n v="3.8073999999999999"/>
    <n v="297.966205"/>
    <n v="0.68530000000000002"/>
    <n v="1396"/>
    <s v="not outlier"/>
    <s v="not outlier"/>
    <s v="not outlier"/>
    <s v="not outlier"/>
  </r>
  <r>
    <x v="2"/>
    <x v="10"/>
    <x v="0"/>
    <x v="26"/>
    <x v="5"/>
    <n v="6.7737999999999996"/>
    <n v="517.05504299999996"/>
    <n v="1.2192000000000001"/>
    <n v="2145"/>
    <s v="not outlier"/>
    <s v="not outlier"/>
    <s v="not outlier"/>
    <s v="not outlier"/>
  </r>
  <r>
    <x v="2"/>
    <x v="11"/>
    <x v="1"/>
    <x v="26"/>
    <x v="5"/>
    <n v="2.3938000000000001"/>
    <n v="280.43919"/>
    <n v="0.43090000000000001"/>
    <n v="135"/>
    <s v="not outlier"/>
    <s v="not outlier"/>
    <s v="not outlier"/>
    <s v="not outlier"/>
  </r>
  <r>
    <x v="2"/>
    <x v="11"/>
    <x v="2"/>
    <x v="26"/>
    <x v="5"/>
    <n v="3.58"/>
    <n v="285.06291099999999"/>
    <n v="0.64439999999999997"/>
    <n v="1455"/>
    <s v="not outlier"/>
    <s v="not outlier"/>
    <s v="not outlier"/>
    <s v="not outlier"/>
  </r>
  <r>
    <x v="2"/>
    <x v="11"/>
    <x v="0"/>
    <x v="26"/>
    <x v="5"/>
    <n v="5.8049999999999997"/>
    <n v="475.92512499999998"/>
    <n v="1.0448999999999999"/>
    <n v="1957"/>
    <s v="not outlier"/>
    <s v="not outlier"/>
    <s v="not outlier"/>
    <s v="not outlier"/>
  </r>
  <r>
    <x v="2"/>
    <x v="0"/>
    <x v="1"/>
    <x v="26"/>
    <x v="5"/>
    <n v="2.2650999999999999"/>
    <n v="272.690067"/>
    <n v="0.40770000000000001"/>
    <n v="134"/>
    <s v="not outlier"/>
    <s v="not outlier"/>
    <s v="not outlier"/>
    <s v="not outlier"/>
  </r>
  <r>
    <x v="2"/>
    <x v="0"/>
    <x v="2"/>
    <x v="26"/>
    <x v="5"/>
    <n v="2.4805999999999999"/>
    <n v="168.139456"/>
    <n v="0.44650000000000001"/>
    <n v="1008"/>
    <s v="not outlier"/>
    <s v="not outlier"/>
    <s v="not outlier"/>
    <s v="not outlier"/>
  </r>
  <r>
    <x v="2"/>
    <x v="0"/>
    <x v="0"/>
    <x v="26"/>
    <x v="5"/>
    <n v="6.0726000000000004"/>
    <n v="460.24659100000002"/>
    <n v="1.0931"/>
    <n v="2059"/>
    <s v="not outlier"/>
    <s v="not outlier"/>
    <s v="not outlier"/>
    <s v="not outlier"/>
  </r>
  <r>
    <x v="2"/>
    <x v="1"/>
    <x v="1"/>
    <x v="26"/>
    <x v="5"/>
    <n v="2.4055"/>
    <n v="288.65046699999999"/>
    <n v="0.433"/>
    <n v="119"/>
    <s v="not outlier"/>
    <s v="not outlier"/>
    <s v="not outlier"/>
    <s v="not outlier"/>
  </r>
  <r>
    <x v="2"/>
    <x v="1"/>
    <x v="2"/>
    <x v="26"/>
    <x v="5"/>
    <n v="1.9166000000000001"/>
    <n v="127.604833"/>
    <n v="0.34489999999999998"/>
    <n v="946"/>
    <s v="not outlier"/>
    <s v="not outlier"/>
    <s v="not outlier"/>
    <s v="not outlier"/>
  </r>
  <r>
    <x v="2"/>
    <x v="1"/>
    <x v="0"/>
    <x v="26"/>
    <x v="5"/>
    <n v="5.3833000000000002"/>
    <n v="408.10701399999999"/>
    <n v="0.96899999999999997"/>
    <n v="1679"/>
    <s v="not outlier"/>
    <s v="not outlier"/>
    <s v="not outlier"/>
    <s v="not outlier"/>
  </r>
  <r>
    <x v="2"/>
    <x v="2"/>
    <x v="1"/>
    <x v="27"/>
    <x v="6"/>
    <n v="5.0000000000000001E-4"/>
    <n v="2.9770999999999999E-2"/>
    <n v="1E-4"/>
    <n v="2"/>
    <s v="not outlier"/>
    <s v="not outlier"/>
    <s v="not outlier"/>
    <s v="not outlier"/>
  </r>
  <r>
    <x v="2"/>
    <x v="2"/>
    <x v="1"/>
    <x v="27"/>
    <x v="1"/>
    <n v="1.4560999999999999"/>
    <n v="116.992414"/>
    <n v="0.5242"/>
    <n v="155"/>
    <s v="not outlier"/>
    <s v="not outlier"/>
    <s v="not outlier"/>
    <s v="not outlier"/>
  </r>
  <r>
    <x v="2"/>
    <x v="2"/>
    <x v="2"/>
    <x v="27"/>
    <x v="6"/>
    <n v="0.62350000000000005"/>
    <n v="38.738590000000002"/>
    <n v="0.16209999999999999"/>
    <n v="128"/>
    <s v="not outlier"/>
    <s v="not outlier"/>
    <s v="not outlier"/>
    <s v="not outlier"/>
  </r>
  <r>
    <x v="2"/>
    <x v="2"/>
    <x v="2"/>
    <x v="27"/>
    <x v="1"/>
    <n v="11.9015"/>
    <n v="701.60339399999998"/>
    <n v="4.2846000000000002"/>
    <n v="1386"/>
    <s v="not outlier"/>
    <s v="not outlier"/>
    <s v="not outlier"/>
    <s v="not outlier"/>
  </r>
  <r>
    <x v="2"/>
    <x v="2"/>
    <x v="0"/>
    <x v="27"/>
    <x v="6"/>
    <n v="1.5709"/>
    <n v="96.490976000000003"/>
    <n v="0.40839999999999999"/>
    <n v="309"/>
    <s v="not outlier"/>
    <s v="not outlier"/>
    <s v="not outlier"/>
    <s v="not outlier"/>
  </r>
  <r>
    <x v="2"/>
    <x v="2"/>
    <x v="0"/>
    <x v="27"/>
    <x v="1"/>
    <n v="19.016200000000001"/>
    <n v="1335.5663770000001"/>
    <n v="6.8459000000000003"/>
    <n v="1751"/>
    <s v="not outlier"/>
    <s v="not outlier"/>
    <s v="not outlier"/>
    <s v="not outlier"/>
  </r>
  <r>
    <x v="2"/>
    <x v="3"/>
    <x v="1"/>
    <x v="27"/>
    <x v="6"/>
    <n v="3.8999999999999998E-3"/>
    <n v="0.20893"/>
    <n v="1E-3"/>
    <n v="1"/>
    <s v="not outlier"/>
    <s v="not outlier"/>
    <s v="not outlier"/>
    <s v="not outlier"/>
  </r>
  <r>
    <x v="2"/>
    <x v="3"/>
    <x v="1"/>
    <x v="27"/>
    <x v="1"/>
    <n v="1.5125999999999999"/>
    <n v="124.99615300000001"/>
    <n v="0.54449999999999998"/>
    <n v="151"/>
    <s v="not outlier"/>
    <s v="not outlier"/>
    <s v="not outlier"/>
    <s v="not outlier"/>
  </r>
  <r>
    <x v="2"/>
    <x v="3"/>
    <x v="2"/>
    <x v="27"/>
    <x v="6"/>
    <n v="0.96379999999999999"/>
    <n v="54.697266999999997"/>
    <n v="0.25059999999999999"/>
    <n v="153"/>
    <s v="not outlier"/>
    <s v="not outlier"/>
    <s v="not outlier"/>
    <s v="not outlier"/>
  </r>
  <r>
    <x v="2"/>
    <x v="3"/>
    <x v="2"/>
    <x v="27"/>
    <x v="1"/>
    <n v="7.0537999999999998"/>
    <n v="530.28847399999995"/>
    <n v="2.5392999999999999"/>
    <n v="1340"/>
    <s v="not outlier"/>
    <s v="not outlier"/>
    <s v="not outlier"/>
    <s v="not outlier"/>
  </r>
  <r>
    <x v="2"/>
    <x v="3"/>
    <x v="0"/>
    <x v="27"/>
    <x v="6"/>
    <n v="2.2894999999999999"/>
    <n v="130.56964199999999"/>
    <n v="0.59519999999999995"/>
    <n v="321"/>
    <s v="not outlier"/>
    <s v="not outlier"/>
    <s v="not outlier"/>
    <s v="not outlier"/>
  </r>
  <r>
    <x v="2"/>
    <x v="3"/>
    <x v="0"/>
    <x v="27"/>
    <x v="1"/>
    <n v="26.069199999999999"/>
    <n v="1788.1330680000001"/>
    <n v="9.3849"/>
    <n v="1739"/>
    <s v="outlier"/>
    <s v="not outlier"/>
    <s v="outlier"/>
    <s v="not outlier"/>
  </r>
  <r>
    <x v="2"/>
    <x v="4"/>
    <x v="1"/>
    <x v="27"/>
    <x v="6"/>
    <n v="3.8E-3"/>
    <n v="0.20919599999999999"/>
    <n v="1E-3"/>
    <n v="2"/>
    <s v="not outlier"/>
    <s v="not outlier"/>
    <s v="not outlier"/>
    <s v="not outlier"/>
  </r>
  <r>
    <x v="2"/>
    <x v="4"/>
    <x v="1"/>
    <x v="27"/>
    <x v="1"/>
    <n v="2.7622"/>
    <n v="225.40303299999999"/>
    <n v="0.99439999999999995"/>
    <n v="148"/>
    <s v="not outlier"/>
    <s v="not outlier"/>
    <s v="not outlier"/>
    <s v="not outlier"/>
  </r>
  <r>
    <x v="2"/>
    <x v="4"/>
    <x v="2"/>
    <x v="27"/>
    <x v="6"/>
    <n v="1.1108"/>
    <n v="68.207659000000007"/>
    <n v="0.2888"/>
    <n v="136"/>
    <s v="not outlier"/>
    <s v="not outlier"/>
    <s v="not outlier"/>
    <s v="not outlier"/>
  </r>
  <r>
    <x v="2"/>
    <x v="4"/>
    <x v="2"/>
    <x v="27"/>
    <x v="1"/>
    <n v="11.5989"/>
    <n v="762.579249"/>
    <n v="4.1756000000000002"/>
    <n v="1371"/>
    <s v="not outlier"/>
    <s v="not outlier"/>
    <s v="not outlier"/>
    <s v="not outlier"/>
  </r>
  <r>
    <x v="2"/>
    <x v="4"/>
    <x v="0"/>
    <x v="27"/>
    <x v="6"/>
    <n v="2.6452"/>
    <n v="160.44801799999999"/>
    <n v="0.68769999999999998"/>
    <n v="335"/>
    <s v="not outlier"/>
    <s v="not outlier"/>
    <s v="not outlier"/>
    <s v="not outlier"/>
  </r>
  <r>
    <x v="2"/>
    <x v="4"/>
    <x v="0"/>
    <x v="27"/>
    <x v="1"/>
    <n v="32.647399999999998"/>
    <n v="2284.9223910000001"/>
    <n v="11.753"/>
    <n v="1770"/>
    <s v="outlier"/>
    <s v="outlier"/>
    <s v="outlier"/>
    <s v="not outlier"/>
  </r>
  <r>
    <x v="2"/>
    <x v="5"/>
    <x v="1"/>
    <x v="27"/>
    <x v="6"/>
    <n v="4.5999999999999999E-3"/>
    <n v="0.27464"/>
    <n v="1.1999999999999999E-3"/>
    <n v="1"/>
    <s v="not outlier"/>
    <s v="not outlier"/>
    <s v="not outlier"/>
    <s v="not outlier"/>
  </r>
  <r>
    <x v="2"/>
    <x v="5"/>
    <x v="1"/>
    <x v="27"/>
    <x v="1"/>
    <n v="2.3275000000000001"/>
    <n v="195.82847100000001"/>
    <n v="0.83789999999999998"/>
    <n v="140"/>
    <s v="not outlier"/>
    <s v="not outlier"/>
    <s v="not outlier"/>
    <s v="not outlier"/>
  </r>
  <r>
    <x v="2"/>
    <x v="5"/>
    <x v="2"/>
    <x v="27"/>
    <x v="6"/>
    <n v="1.0960000000000001"/>
    <n v="63.418239"/>
    <n v="0.28499999999999998"/>
    <n v="155"/>
    <s v="not outlier"/>
    <s v="not outlier"/>
    <s v="not outlier"/>
    <s v="not outlier"/>
  </r>
  <r>
    <x v="2"/>
    <x v="5"/>
    <x v="2"/>
    <x v="27"/>
    <x v="1"/>
    <n v="10.1778"/>
    <n v="634.86123199999997"/>
    <n v="3.6640999999999999"/>
    <n v="1409"/>
    <s v="not outlier"/>
    <s v="not outlier"/>
    <s v="not outlier"/>
    <s v="not outlier"/>
  </r>
  <r>
    <x v="2"/>
    <x v="5"/>
    <x v="0"/>
    <x v="27"/>
    <x v="6"/>
    <n v="2.6467000000000001"/>
    <n v="152.97903700000001"/>
    <n v="0.68810000000000004"/>
    <n v="337"/>
    <s v="not outlier"/>
    <s v="not outlier"/>
    <s v="not outlier"/>
    <s v="not outlier"/>
  </r>
  <r>
    <x v="2"/>
    <x v="5"/>
    <x v="0"/>
    <x v="27"/>
    <x v="1"/>
    <n v="32.6462"/>
    <n v="2037.907029"/>
    <n v="11.752599999999999"/>
    <n v="1760"/>
    <s v="outlier"/>
    <s v="not outlier"/>
    <s v="outlier"/>
    <s v="not outlier"/>
  </r>
  <r>
    <x v="2"/>
    <x v="6"/>
    <x v="1"/>
    <x v="27"/>
    <x v="6"/>
    <n v="6.1899999999999997E-2"/>
    <n v="3.6242230000000002"/>
    <n v="1.61E-2"/>
    <n v="6"/>
    <s v="not outlier"/>
    <s v="not outlier"/>
    <s v="not outlier"/>
    <s v="not outlier"/>
  </r>
  <r>
    <x v="2"/>
    <x v="6"/>
    <x v="1"/>
    <x v="27"/>
    <x v="1"/>
    <n v="2.3174000000000001"/>
    <n v="190.920762"/>
    <n v="0.83430000000000004"/>
    <n v="151"/>
    <s v="not outlier"/>
    <s v="not outlier"/>
    <s v="not outlier"/>
    <s v="not outlier"/>
  </r>
  <r>
    <x v="2"/>
    <x v="6"/>
    <x v="2"/>
    <x v="27"/>
    <x v="6"/>
    <n v="1.0163"/>
    <n v="58.583002"/>
    <n v="0.26419999999999999"/>
    <n v="134"/>
    <s v="not outlier"/>
    <s v="not outlier"/>
    <s v="not outlier"/>
    <s v="not outlier"/>
  </r>
  <r>
    <x v="2"/>
    <x v="6"/>
    <x v="2"/>
    <x v="27"/>
    <x v="1"/>
    <n v="5.2721999999999998"/>
    <n v="410.25194900000002"/>
    <n v="1.8978999999999999"/>
    <n v="1380"/>
    <s v="not outlier"/>
    <s v="not outlier"/>
    <s v="not outlier"/>
    <s v="not outlier"/>
  </r>
  <r>
    <x v="2"/>
    <x v="6"/>
    <x v="0"/>
    <x v="27"/>
    <x v="6"/>
    <n v="2.7366000000000001"/>
    <n v="157.761561"/>
    <n v="0.71150000000000002"/>
    <n v="352"/>
    <s v="not outlier"/>
    <s v="not outlier"/>
    <s v="not outlier"/>
    <s v="not outlier"/>
  </r>
  <r>
    <x v="2"/>
    <x v="6"/>
    <x v="0"/>
    <x v="27"/>
    <x v="1"/>
    <n v="23.697700000000001"/>
    <n v="1670.173912"/>
    <n v="8.5312000000000001"/>
    <n v="1669"/>
    <s v="outlier"/>
    <s v="not outlier"/>
    <s v="outlier"/>
    <s v="not outlier"/>
  </r>
  <r>
    <x v="2"/>
    <x v="7"/>
    <x v="1"/>
    <x v="27"/>
    <x v="6"/>
    <n v="4.3200000000000002E-2"/>
    <n v="2.4590269999999999"/>
    <n v="1.12E-2"/>
    <n v="5"/>
    <s v="not outlier"/>
    <s v="not outlier"/>
    <s v="not outlier"/>
    <s v="not outlier"/>
  </r>
  <r>
    <x v="2"/>
    <x v="7"/>
    <x v="1"/>
    <x v="27"/>
    <x v="1"/>
    <n v="1.9363999999999999"/>
    <n v="166.33234999999999"/>
    <n v="0.69710000000000005"/>
    <n v="156"/>
    <s v="not outlier"/>
    <s v="not outlier"/>
    <s v="not outlier"/>
    <s v="not outlier"/>
  </r>
  <r>
    <x v="2"/>
    <x v="7"/>
    <x v="2"/>
    <x v="27"/>
    <x v="6"/>
    <n v="0.7601"/>
    <n v="47.310042000000003"/>
    <n v="0.19769999999999999"/>
    <n v="132"/>
    <s v="not outlier"/>
    <s v="not outlier"/>
    <s v="not outlier"/>
    <s v="not outlier"/>
  </r>
  <r>
    <x v="2"/>
    <x v="7"/>
    <x v="2"/>
    <x v="27"/>
    <x v="1"/>
    <n v="4.6069000000000004"/>
    <n v="358.47950900000001"/>
    <n v="1.6584000000000001"/>
    <n v="1378"/>
    <s v="not outlier"/>
    <s v="not outlier"/>
    <s v="not outlier"/>
    <s v="not outlier"/>
  </r>
  <r>
    <x v="2"/>
    <x v="7"/>
    <x v="0"/>
    <x v="27"/>
    <x v="6"/>
    <n v="2.2017000000000002"/>
    <n v="135.54107200000001"/>
    <n v="0.57240000000000002"/>
    <n v="359"/>
    <s v="not outlier"/>
    <s v="not outlier"/>
    <s v="not outlier"/>
    <s v="not outlier"/>
  </r>
  <r>
    <x v="2"/>
    <x v="7"/>
    <x v="0"/>
    <x v="27"/>
    <x v="1"/>
    <n v="11.8421"/>
    <n v="998.02327500000001"/>
    <n v="4.2630999999999997"/>
    <n v="1694"/>
    <s v="not outlier"/>
    <s v="not outlier"/>
    <s v="not outlier"/>
    <s v="not outlier"/>
  </r>
  <r>
    <x v="2"/>
    <x v="8"/>
    <x v="1"/>
    <x v="27"/>
    <x v="6"/>
    <n v="6.0499999999999998E-2"/>
    <n v="3.3097340000000002"/>
    <n v="1.5699999999999999E-2"/>
    <n v="6"/>
    <s v="not outlier"/>
    <s v="not outlier"/>
    <s v="not outlier"/>
    <s v="not outlier"/>
  </r>
  <r>
    <x v="2"/>
    <x v="8"/>
    <x v="1"/>
    <x v="27"/>
    <x v="1"/>
    <n v="2.6688999999999998"/>
    <n v="170.50021699999999"/>
    <n v="0.96079999999999999"/>
    <n v="157"/>
    <s v="not outlier"/>
    <s v="not outlier"/>
    <s v="not outlier"/>
    <s v="not outlier"/>
  </r>
  <r>
    <x v="2"/>
    <x v="8"/>
    <x v="2"/>
    <x v="27"/>
    <x v="6"/>
    <n v="1.0439000000000001"/>
    <n v="59.966875999999999"/>
    <n v="0.27150000000000002"/>
    <n v="133"/>
    <s v="not outlier"/>
    <s v="not outlier"/>
    <s v="not outlier"/>
    <s v="not outlier"/>
  </r>
  <r>
    <x v="2"/>
    <x v="8"/>
    <x v="2"/>
    <x v="27"/>
    <x v="1"/>
    <n v="6.6272000000000002"/>
    <n v="438.45218399999999"/>
    <n v="2.3858000000000001"/>
    <n v="1430"/>
    <s v="not outlier"/>
    <s v="not outlier"/>
    <s v="not outlier"/>
    <s v="not outlier"/>
  </r>
  <r>
    <x v="2"/>
    <x v="8"/>
    <x v="0"/>
    <x v="27"/>
    <x v="6"/>
    <n v="2.8408000000000002"/>
    <n v="162.03147300000001"/>
    <n v="0.73860000000000003"/>
    <n v="357"/>
    <s v="not outlier"/>
    <s v="not outlier"/>
    <s v="not outlier"/>
    <s v="not outlier"/>
  </r>
  <r>
    <x v="2"/>
    <x v="8"/>
    <x v="0"/>
    <x v="27"/>
    <x v="1"/>
    <n v="23.921399999999998"/>
    <n v="1649.0916990000001"/>
    <n v="8.6118000000000006"/>
    <n v="1727"/>
    <s v="outlier"/>
    <s v="not outlier"/>
    <s v="outlier"/>
    <s v="not outlier"/>
  </r>
  <r>
    <x v="2"/>
    <x v="9"/>
    <x v="1"/>
    <x v="27"/>
    <x v="6"/>
    <n v="4.1399999999999999E-2"/>
    <n v="2.1983779999999999"/>
    <n v="1.0699999999999999E-2"/>
    <n v="4"/>
    <s v="not outlier"/>
    <s v="not outlier"/>
    <s v="not outlier"/>
    <s v="not outlier"/>
  </r>
  <r>
    <x v="2"/>
    <x v="9"/>
    <x v="1"/>
    <x v="27"/>
    <x v="1"/>
    <n v="2.4137"/>
    <n v="161.85470100000001"/>
    <n v="0.86890000000000001"/>
    <n v="156"/>
    <s v="not outlier"/>
    <s v="not outlier"/>
    <s v="not outlier"/>
    <s v="not outlier"/>
  </r>
  <r>
    <x v="2"/>
    <x v="9"/>
    <x v="2"/>
    <x v="27"/>
    <x v="6"/>
    <n v="1.0464"/>
    <n v="61.849902"/>
    <n v="0.27210000000000001"/>
    <n v="200"/>
    <s v="not outlier"/>
    <s v="not outlier"/>
    <s v="not outlier"/>
    <s v="not outlier"/>
  </r>
  <r>
    <x v="2"/>
    <x v="9"/>
    <x v="2"/>
    <x v="27"/>
    <x v="1"/>
    <n v="6.7550999999999997"/>
    <n v="479.08673099999999"/>
    <n v="2.4318"/>
    <n v="1405"/>
    <s v="not outlier"/>
    <s v="not outlier"/>
    <s v="not outlier"/>
    <s v="not outlier"/>
  </r>
  <r>
    <x v="2"/>
    <x v="9"/>
    <x v="0"/>
    <x v="27"/>
    <x v="6"/>
    <n v="2.8089"/>
    <n v="160.881395"/>
    <n v="0.73029999999999995"/>
    <n v="350"/>
    <s v="not outlier"/>
    <s v="not outlier"/>
    <s v="not outlier"/>
    <s v="not outlier"/>
  </r>
  <r>
    <x v="2"/>
    <x v="9"/>
    <x v="0"/>
    <x v="27"/>
    <x v="1"/>
    <n v="13.5756"/>
    <n v="1101.436074"/>
    <n v="4.8872"/>
    <n v="1795"/>
    <s v="not outlier"/>
    <s v="not outlier"/>
    <s v="not outlier"/>
    <s v="not outlier"/>
  </r>
  <r>
    <x v="2"/>
    <x v="10"/>
    <x v="1"/>
    <x v="27"/>
    <x v="6"/>
    <n v="5.3800000000000001E-2"/>
    <n v="3.2104729999999999"/>
    <n v="1.4E-2"/>
    <n v="4"/>
    <s v="not outlier"/>
    <s v="not outlier"/>
    <s v="not outlier"/>
    <s v="not outlier"/>
  </r>
  <r>
    <x v="2"/>
    <x v="10"/>
    <x v="1"/>
    <x v="27"/>
    <x v="1"/>
    <n v="2.4312999999999998"/>
    <n v="168.27213399999999"/>
    <n v="0.87529999999999997"/>
    <n v="159"/>
    <s v="not outlier"/>
    <s v="not outlier"/>
    <s v="not outlier"/>
    <s v="not outlier"/>
  </r>
  <r>
    <x v="2"/>
    <x v="10"/>
    <x v="2"/>
    <x v="27"/>
    <x v="6"/>
    <n v="0.78269999999999995"/>
    <n v="48.973263000000003"/>
    <n v="0.20349999999999999"/>
    <n v="191"/>
    <s v="not outlier"/>
    <s v="not outlier"/>
    <s v="not outlier"/>
    <s v="not outlier"/>
  </r>
  <r>
    <x v="2"/>
    <x v="10"/>
    <x v="2"/>
    <x v="27"/>
    <x v="1"/>
    <n v="14.0677"/>
    <n v="770.71858399999996"/>
    <n v="5.0643000000000002"/>
    <n v="1386"/>
    <s v="not outlier"/>
    <s v="not outlier"/>
    <s v="not outlier"/>
    <s v="not outlier"/>
  </r>
  <r>
    <x v="2"/>
    <x v="10"/>
    <x v="0"/>
    <x v="27"/>
    <x v="6"/>
    <n v="2.4691999999999998"/>
    <n v="153.16091499999999"/>
    <n v="0.64200000000000002"/>
    <n v="338"/>
    <s v="not outlier"/>
    <s v="not outlier"/>
    <s v="not outlier"/>
    <s v="not outlier"/>
  </r>
  <r>
    <x v="2"/>
    <x v="10"/>
    <x v="0"/>
    <x v="27"/>
    <x v="1"/>
    <n v="26.1782"/>
    <n v="1815.597704"/>
    <n v="9.4240999999999993"/>
    <n v="1827"/>
    <s v="outlier"/>
    <s v="not outlier"/>
    <s v="outlier"/>
    <s v="not outlier"/>
  </r>
  <r>
    <x v="2"/>
    <x v="11"/>
    <x v="1"/>
    <x v="27"/>
    <x v="6"/>
    <n v="3.9300000000000002E-2"/>
    <n v="2.3331119999999999"/>
    <n v="1.0200000000000001E-2"/>
    <n v="4"/>
    <s v="not outlier"/>
    <s v="not outlier"/>
    <s v="not outlier"/>
    <s v="not outlier"/>
  </r>
  <r>
    <x v="2"/>
    <x v="11"/>
    <x v="1"/>
    <x v="27"/>
    <x v="1"/>
    <n v="2.3325"/>
    <n v="168.95727500000001"/>
    <n v="0.8397"/>
    <n v="157"/>
    <s v="not outlier"/>
    <s v="not outlier"/>
    <s v="not outlier"/>
    <s v="not outlier"/>
  </r>
  <r>
    <x v="2"/>
    <x v="11"/>
    <x v="2"/>
    <x v="27"/>
    <x v="6"/>
    <n v="0.84799999999999998"/>
    <n v="53.446204000000002"/>
    <n v="0.2205"/>
    <n v="193"/>
    <s v="not outlier"/>
    <s v="not outlier"/>
    <s v="not outlier"/>
    <s v="not outlier"/>
  </r>
  <r>
    <x v="2"/>
    <x v="11"/>
    <x v="2"/>
    <x v="27"/>
    <x v="1"/>
    <n v="10.3903"/>
    <n v="648.87627899999995"/>
    <n v="3.7404999999999999"/>
    <n v="1361"/>
    <s v="not outlier"/>
    <s v="not outlier"/>
    <s v="not outlier"/>
    <s v="not outlier"/>
  </r>
  <r>
    <x v="2"/>
    <x v="11"/>
    <x v="0"/>
    <x v="27"/>
    <x v="6"/>
    <n v="2.7494999999999998"/>
    <n v="170.62845300000001"/>
    <n v="0.71489999999999998"/>
    <n v="340"/>
    <s v="not outlier"/>
    <s v="not outlier"/>
    <s v="not outlier"/>
    <s v="not outlier"/>
  </r>
  <r>
    <x v="2"/>
    <x v="11"/>
    <x v="0"/>
    <x v="27"/>
    <x v="1"/>
    <n v="16.1191"/>
    <n v="1233.1125629999999"/>
    <n v="5.8029000000000002"/>
    <n v="1747"/>
    <s v="not outlier"/>
    <s v="not outlier"/>
    <s v="not outlier"/>
    <s v="not outlier"/>
  </r>
  <r>
    <x v="2"/>
    <x v="0"/>
    <x v="1"/>
    <x v="27"/>
    <x v="6"/>
    <n v="3.4700000000000002E-2"/>
    <n v="2.1055489999999999"/>
    <n v="8.9999999999999993E-3"/>
    <n v="5"/>
    <s v="not outlier"/>
    <s v="not outlier"/>
    <s v="not outlier"/>
    <s v="not outlier"/>
  </r>
  <r>
    <x v="2"/>
    <x v="0"/>
    <x v="1"/>
    <x v="27"/>
    <x v="1"/>
    <n v="1.9805999999999999"/>
    <n v="150.15154799999999"/>
    <n v="0.71299999999999997"/>
    <n v="158"/>
    <s v="not outlier"/>
    <s v="not outlier"/>
    <s v="not outlier"/>
    <s v="not outlier"/>
  </r>
  <r>
    <x v="2"/>
    <x v="0"/>
    <x v="2"/>
    <x v="27"/>
    <x v="6"/>
    <n v="0.94530000000000003"/>
    <n v="61.275691000000002"/>
    <n v="0.2457"/>
    <n v="143"/>
    <s v="not outlier"/>
    <s v="not outlier"/>
    <s v="not outlier"/>
    <s v="not outlier"/>
  </r>
  <r>
    <x v="2"/>
    <x v="0"/>
    <x v="2"/>
    <x v="27"/>
    <x v="1"/>
    <n v="10.4442"/>
    <n v="688.06409299999996"/>
    <n v="3.76"/>
    <n v="1374"/>
    <s v="not outlier"/>
    <s v="not outlier"/>
    <s v="not outlier"/>
    <s v="not outlier"/>
  </r>
  <r>
    <x v="2"/>
    <x v="0"/>
    <x v="0"/>
    <x v="27"/>
    <x v="6"/>
    <n v="2.8355000000000001"/>
    <n v="186.03771800000001"/>
    <n v="0.73729999999999996"/>
    <n v="357"/>
    <s v="not outlier"/>
    <s v="not outlier"/>
    <s v="not outlier"/>
    <s v="not outlier"/>
  </r>
  <r>
    <x v="2"/>
    <x v="0"/>
    <x v="0"/>
    <x v="27"/>
    <x v="1"/>
    <n v="21.208300000000001"/>
    <n v="1613.6895629999999"/>
    <n v="7.6349"/>
    <n v="1850"/>
    <s v="not outlier"/>
    <s v="not outlier"/>
    <s v="outlier"/>
    <s v="not outlier"/>
  </r>
  <r>
    <x v="2"/>
    <x v="1"/>
    <x v="1"/>
    <x v="27"/>
    <x v="6"/>
    <n v="3.5499999999999997E-2"/>
    <n v="2.0761090000000002"/>
    <n v="9.1999999999999998E-3"/>
    <n v="5"/>
    <s v="not outlier"/>
    <s v="not outlier"/>
    <s v="not outlier"/>
    <s v="not outlier"/>
  </r>
  <r>
    <x v="2"/>
    <x v="1"/>
    <x v="1"/>
    <x v="27"/>
    <x v="1"/>
    <n v="2.4146999999999998"/>
    <n v="179.24161100000001"/>
    <n v="0.86929999999999996"/>
    <n v="151"/>
    <s v="not outlier"/>
    <s v="not outlier"/>
    <s v="not outlier"/>
    <s v="not outlier"/>
  </r>
  <r>
    <x v="2"/>
    <x v="1"/>
    <x v="2"/>
    <x v="27"/>
    <x v="6"/>
    <n v="1.1649"/>
    <n v="74.095637999999994"/>
    <n v="0.3029"/>
    <n v="120"/>
    <s v="not outlier"/>
    <s v="not outlier"/>
    <s v="not outlier"/>
    <s v="not outlier"/>
  </r>
  <r>
    <x v="2"/>
    <x v="1"/>
    <x v="2"/>
    <x v="27"/>
    <x v="1"/>
    <n v="9.7878000000000007"/>
    <n v="674.81985399999996"/>
    <n v="3.5236000000000001"/>
    <n v="1357"/>
    <s v="not outlier"/>
    <s v="not outlier"/>
    <s v="not outlier"/>
    <s v="not outlier"/>
  </r>
  <r>
    <x v="2"/>
    <x v="1"/>
    <x v="0"/>
    <x v="27"/>
    <x v="6"/>
    <n v="3.4786999999999999"/>
    <n v="220.70644100000001"/>
    <n v="0.90449999999999997"/>
    <n v="354"/>
    <s v="not outlier"/>
    <s v="not outlier"/>
    <s v="not outlier"/>
    <s v="not outlier"/>
  </r>
  <r>
    <x v="2"/>
    <x v="1"/>
    <x v="0"/>
    <x v="27"/>
    <x v="1"/>
    <n v="24.732500000000002"/>
    <n v="1815.368418"/>
    <n v="8.9037000000000006"/>
    <n v="1841"/>
    <s v="outlier"/>
    <s v="not outlier"/>
    <s v="outlier"/>
    <s v="not outli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8853-8BA4-4D3B-B6B8-DF1D9EA4A0D5}" name="Сводная таблица9" cacheId="0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73:N277" firstHeaderRow="1" firstDataRow="2" firstDataCol="1" rowPageCount="4" colPageCount="1"/>
  <pivotFields count="16">
    <pivotField axis="axisPage" showAll="0">
      <items count="4">
        <item x="0"/>
        <item x="1"/>
        <item x="2"/>
        <item t="default"/>
      </items>
    </pivotField>
    <pivotField axis="axisCol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Page"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axis="axisPage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0" item="2" hier="-1"/>
    <pageField fld="3" item="13" hier="-1"/>
    <pageField fld="4" item="5" hier="-1"/>
    <pageField fld="2" item="0" hier="-1"/>
  </pageFields>
  <dataFields count="3">
    <dataField name="Сумма по полю Value (in 1000 rub)" fld="6" baseField="0" baseItem="0"/>
    <dataField name="Сумма по полю Units (in 1000)" fld="5" baseField="0" baseItem="0"/>
    <dataField name="Сумма по полю Avg month" fld="15" baseField="0" baseItem="0"/>
  </dataFields>
  <formats count="2">
    <format dxfId="47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E922C-735E-463D-A78A-692BCE590998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5:E32" firstHeaderRow="1" firstDataRow="2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Col" multipleItemSelectionAllowed="1" showAll="0">
      <items count="4">
        <item x="1"/>
        <item x="2"/>
        <item x="0"/>
        <item t="default"/>
      </items>
    </pivotField>
    <pivotField axis="axisRow" showAll="0" sortType="descending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26">
    <i>
      <x v="13"/>
    </i>
    <i>
      <x v="2"/>
    </i>
    <i>
      <x v="23"/>
    </i>
    <i>
      <x v="39"/>
    </i>
    <i>
      <x v="40"/>
    </i>
    <i>
      <x v="30"/>
    </i>
    <i>
      <x v="19"/>
    </i>
    <i>
      <x v="26"/>
    </i>
    <i>
      <x v="29"/>
    </i>
    <i>
      <x v="20"/>
    </i>
    <i>
      <x v="3"/>
    </i>
    <i>
      <x v="31"/>
    </i>
    <i>
      <x v="17"/>
    </i>
    <i>
      <x v="32"/>
    </i>
    <i>
      <x v="27"/>
    </i>
    <i>
      <x v="28"/>
    </i>
    <i>
      <x v="5"/>
    </i>
    <i>
      <x v="35"/>
    </i>
    <i>
      <x v="16"/>
    </i>
    <i>
      <x v="18"/>
    </i>
    <i>
      <x v="38"/>
    </i>
    <i>
      <x v="7"/>
    </i>
    <i>
      <x v="1"/>
    </i>
    <i>
      <x v="8"/>
    </i>
    <i>
      <x v="1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Сумма по полю Value (in 1000 rub)" fld="6" baseField="0" baseItem="0"/>
  </dataFields>
  <conditionalFormats count="3"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3" count="17">
              <x v="2"/>
              <x v="3"/>
              <x v="5"/>
              <x v="13"/>
              <x v="17"/>
              <x v="19"/>
              <x v="20"/>
              <x v="23"/>
              <x v="26"/>
              <x v="27"/>
              <x v="28"/>
              <x v="29"/>
              <x v="30"/>
              <x v="31"/>
              <x v="32"/>
              <x v="39"/>
              <x v="4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3" count="23">
              <x v="1"/>
              <x v="2"/>
              <x v="3"/>
              <x v="5"/>
              <x v="7"/>
              <x v="13"/>
              <x v="16"/>
              <x v="17"/>
              <x v="18"/>
              <x v="19"/>
              <x v="20"/>
              <x v="23"/>
              <x v="26"/>
              <x v="27"/>
              <x v="28"/>
              <x v="29"/>
              <x v="30"/>
              <x v="31"/>
              <x v="32"/>
              <x v="35"/>
              <x v="38"/>
              <x v="39"/>
              <x v="40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3" count="25">
              <x v="1"/>
              <x v="2"/>
              <x v="3"/>
              <x v="5"/>
              <x v="7"/>
              <x v="8"/>
              <x v="10"/>
              <x v="13"/>
              <x v="16"/>
              <x v="17"/>
              <x v="18"/>
              <x v="19"/>
              <x v="20"/>
              <x v="23"/>
              <x v="26"/>
              <x v="27"/>
              <x v="28"/>
              <x v="29"/>
              <x v="30"/>
              <x v="31"/>
              <x v="32"/>
              <x v="35"/>
              <x v="38"/>
              <x v="39"/>
              <x v="4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115EE-066E-4A1A-B842-B7903D7139D6}" name="Сводная таблица8" cacheId="0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14:N230" firstHeaderRow="1" firstDataRow="2" firstDataCol="1" rowPageCount="3" colPageCount="1"/>
  <pivotFields count="16">
    <pivotField axis="axisPage" showAll="0">
      <items count="4">
        <item x="0"/>
        <item x="1"/>
        <item x="2"/>
        <item t="default"/>
      </items>
    </pivotField>
    <pivotField axis="axisCol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Row" multipleItemSelectionAllowed="1" showAll="0">
      <items count="4">
        <item x="1"/>
        <item x="2"/>
        <item x="0"/>
        <item t="default"/>
      </items>
    </pivotField>
    <pivotField axis="axisPage"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axis="axisPage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2"/>
    <field x="-2"/>
  </rowFields>
  <rowItems count="15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item="2" hier="-1"/>
    <pageField fld="3" item="13" hier="-1"/>
    <pageField fld="4" item="5" hier="-1"/>
  </pageFields>
  <dataFields count="3">
    <dataField name="Сумма по полю Units (in 1000)" fld="5" baseField="0" baseItem="0"/>
    <dataField name="Сумма по полю Number of stores" fld="8" baseField="0" baseItem="0"/>
    <dataField name="Сумма по полю off-take" fld="14" baseField="2" baseItem="0" numFmtId="164"/>
  </dataFields>
  <formats count="7">
    <format dxfId="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3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52">
      <pivotArea collapsedLevelsAreSubtotals="1" fieldPosition="0">
        <references count="1">
          <reference field="2" count="1">
            <x v="1"/>
          </reference>
        </references>
      </pivotArea>
    </format>
    <format dxfId="51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0">
      <pivotArea collapsedLevelsAreSubtotals="1" fieldPosition="0">
        <references count="1">
          <reference field="2" count="1">
            <x v="2"/>
          </reference>
        </references>
      </pivotArea>
    </format>
    <format dxfId="49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48">
      <pivotArea field="2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BF866-583C-4A08-92C7-AF04DF276FD5}" name="Сводная таблица3" cacheId="0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78:N194" firstHeaderRow="1" firstDataRow="2" firstDataCol="1" rowPageCount="3" colPageCount="1"/>
  <pivotFields count="16">
    <pivotField axis="axisPage" showAll="0">
      <items count="4">
        <item x="0"/>
        <item x="1"/>
        <item x="2"/>
        <item t="default"/>
      </items>
    </pivotField>
    <pivotField axis="axisCol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Row" multipleItemSelectionAllowed="1" showAll="0">
      <items count="4">
        <item x="1"/>
        <item x="2"/>
        <item x="0"/>
        <item t="default"/>
      </items>
    </pivotField>
    <pivotField axis="axisPage"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axis="axisPage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2"/>
    <field x="-2"/>
  </rowFields>
  <rowItems count="15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item="2" hier="-1"/>
    <pageField fld="3" item="2" hier="-1"/>
    <pageField fld="4" item="6" hier="-1"/>
  </pageFields>
  <dataFields count="3">
    <dataField name="Сумма по полю Units (in 1000)" fld="5" baseField="0" baseItem="0"/>
    <dataField name="Сумма по полю Number of stores" fld="8" baseField="0" baseItem="0"/>
    <dataField name="Сумма по полю off-take" fld="14" baseField="0" baseItem="0"/>
  </dataFields>
  <formats count="13">
    <format dxfId="67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2"/>
          </reference>
          <reference field="1" count="0"/>
          <reference field="2" count="1" selected="0">
            <x v="1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2"/>
          </reference>
          <reference field="1" count="0"/>
          <reference field="2" count="1" selected="0">
            <x v="2"/>
          </reference>
        </references>
      </pivotArea>
    </format>
    <format dxfId="63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62">
      <pivotArea collapsedLevelsAreSubtotals="1" fieldPosition="0">
        <references count="1">
          <reference field="2" count="1">
            <x v="1"/>
          </reference>
        </references>
      </pivotArea>
    </format>
    <format dxfId="61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2"/>
          </reference>
          <reference field="2" count="1">
            <x v="1"/>
          </reference>
        </references>
      </pivotArea>
    </format>
    <format dxfId="59">
      <pivotArea collapsedLevelsAreSubtotals="1" fieldPosition="0">
        <references count="1">
          <reference field="2" count="1">
            <x v="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2"/>
          </reference>
          <reference field="2" count="1">
            <x v="2"/>
          </reference>
        </references>
      </pivotArea>
    </format>
    <format dxfId="57">
      <pivotArea collapsedLevelsAreSubtotals="1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6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5">
      <pivotArea field="2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886AD-E503-4127-B609-E9C72F89C02A}" name="Сводная таблица10" cacheId="0" dataOnRows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52:N256" firstHeaderRow="1" firstDataRow="2" firstDataCol="1" rowPageCount="4" colPageCount="1"/>
  <pivotFields count="16">
    <pivotField axis="axisPage" showAll="0">
      <items count="4">
        <item x="0"/>
        <item x="1"/>
        <item x="2"/>
        <item t="default"/>
      </items>
    </pivotField>
    <pivotField axis="axisCol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Page"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axis="axisPage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0" item="2" hier="-1"/>
    <pageField fld="3" item="2" hier="-1"/>
    <pageField fld="4" item="6" hier="-1"/>
    <pageField fld="2" item="0" hier="-1"/>
  </pageFields>
  <dataFields count="3">
    <dataField name="Сумма по полю Value (in 1000 rub)" fld="6" baseField="0" baseItem="0"/>
    <dataField name="Сумма по полю Units (in 1000)" fld="5" baseField="0" baseItem="0"/>
    <dataField name="Сумма по полю Avg month" fld="15" baseField="0" baseItem="0"/>
  </dataFields>
  <formats count="2">
    <format dxfId="69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950FC-431C-4295-B104-684FF405B227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51:E156" firstHeaderRow="1" firstDataRow="2" firstDataCol="1"/>
  <pivotFields count="16">
    <pivotField axis="axisCol" multipleItemSelectionAllowed="1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 по полю Value (in 1000 rub)" fld="6" baseField="2" baseItem="1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86C65-C23D-4364-AC78-ACD1A77A81DC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96:V110" firstHeaderRow="1" firstDataRow="2" firstDataCol="1" rowPageCount="3" colPageCount="1"/>
  <pivotFields count="16">
    <pivotField axis="axisPage" multipleItemSelectionAllowed="1" showAll="0">
      <items count="4">
        <item h="1" x="0"/>
        <item x="1"/>
        <item x="2"/>
        <item t="default"/>
      </items>
    </pivotField>
    <pivotField axis="axisRow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Col" showAll="0" sortType="descending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5"/>
        <item h="1" m="1" x="7"/>
        <item h="1" x="0"/>
        <item h="1" x="6"/>
        <item h="1" x="3"/>
        <item x="1"/>
        <item x="2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21">
    <i>
      <x v="13"/>
    </i>
    <i>
      <x v="2"/>
    </i>
    <i>
      <x v="40"/>
    </i>
    <i>
      <x v="32"/>
    </i>
    <i>
      <x v="26"/>
    </i>
    <i>
      <x v="23"/>
    </i>
    <i>
      <x v="30"/>
    </i>
    <i>
      <x v="10"/>
    </i>
    <i>
      <x v="12"/>
    </i>
    <i>
      <x v="1"/>
    </i>
    <i>
      <x v="38"/>
    </i>
    <i>
      <x v="8"/>
    </i>
    <i>
      <x v="22"/>
    </i>
    <i>
      <x v="24"/>
    </i>
    <i>
      <x v="31"/>
    </i>
    <i>
      <x v="19"/>
    </i>
    <i>
      <x v="35"/>
    </i>
    <i>
      <x/>
    </i>
    <i>
      <x v="18"/>
    </i>
    <i>
      <x v="6"/>
    </i>
    <i t="grand">
      <x/>
    </i>
  </colItems>
  <pageFields count="3">
    <pageField fld="2" item="2" hier="-1"/>
    <pageField fld="4" hier="-1"/>
    <pageField fld="0" hier="-1"/>
  </pageFields>
  <dataFields count="1">
    <dataField name="Сумма по полю Value (in 1000 rub)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CE6D7-6EFA-45C5-930A-3BB056C1DF9E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53:B68" firstHeaderRow="1" firstDataRow="1" firstDataCol="1" rowPageCount="3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Row" showAll="0" sortType="descending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5"/>
        <item h="1" m="1" x="7"/>
        <item h="1" x="0"/>
        <item h="1" x="6"/>
        <item h="1" x="3"/>
        <item x="1"/>
        <item x="2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5">
    <i>
      <x v="13"/>
    </i>
    <i>
      <x v="2"/>
    </i>
    <i>
      <x v="40"/>
    </i>
    <i>
      <x v="26"/>
    </i>
    <i>
      <x v="23"/>
    </i>
    <i>
      <x v="32"/>
    </i>
    <i>
      <x v="30"/>
    </i>
    <i>
      <x v="10"/>
    </i>
    <i>
      <x v="38"/>
    </i>
    <i>
      <x v="8"/>
    </i>
    <i>
      <x v="31"/>
    </i>
    <i>
      <x v="19"/>
    </i>
    <i>
      <x v="35"/>
    </i>
    <i>
      <x v="18"/>
    </i>
    <i t="grand">
      <x/>
    </i>
  </rowItems>
  <colItems count="1">
    <i/>
  </colItems>
  <pageFields count="3">
    <pageField fld="0" item="2" hier="-1"/>
    <pageField fld="2" item="2" hier="-1"/>
    <pageField fld="4" hier="-1"/>
  </pageFields>
  <dataFields count="1">
    <dataField name="Сумма по полю Value (in 1000 rub)" fld="6" baseField="3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75DD-C8DE-4973-8E65-74AD515BD559}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214:B222" firstHeaderRow="1" firstDataRow="1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showAll="0"/>
    <pivotField showAll="0"/>
    <pivotField axis="axisRow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item="2" hier="-1"/>
  </pageFields>
  <dataFields count="1">
    <dataField name="Сумма по полю off-take" fld="14" baseField="0" baseItem="0"/>
  </dataField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09A97-57D3-4FE4-8EFB-FC22342D28F6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4:E47" firstHeaderRow="1" firstDataRow="2" firstDataCol="1"/>
  <pivotFields count="16">
    <pivotField showAll="0"/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Row"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Сумма по полю Value (in 1000 rub)" fld="6" showDataAs="percentOfRow" baseField="3" baseItem="1" numFmtId="10"/>
  </dataFields>
  <formats count="8">
    <format dxfId="23">
      <pivotArea collapsedLevelsAreSubtotals="1" fieldPosition="0">
        <references count="2">
          <reference field="2" count="0" selected="0"/>
          <reference field="3" count="2">
            <x v="19"/>
            <x v="20"/>
          </reference>
        </references>
      </pivotArea>
    </format>
    <format dxfId="22">
      <pivotArea collapsedLevelsAreSubtotals="1" fieldPosition="0">
        <references count="2">
          <reference field="2" count="0" selected="0"/>
          <reference field="3" count="1">
            <x v="23"/>
          </reference>
        </references>
      </pivotArea>
    </format>
    <format dxfId="21">
      <pivotArea collapsedLevelsAreSubtotals="1" fieldPosition="0">
        <references count="2">
          <reference field="2" count="0" selected="0"/>
          <reference field="3" count="1">
            <x v="30"/>
          </reference>
        </references>
      </pivotArea>
    </format>
    <format dxfId="20">
      <pivotArea collapsedLevelsAreSubtotals="1" fieldPosition="0">
        <references count="2">
          <reference field="2" count="0" selected="0"/>
          <reference field="3" count="1">
            <x v="32"/>
          </reference>
        </references>
      </pivotArea>
    </format>
    <format dxfId="19">
      <pivotArea collapsedLevelsAreSubtotals="1" fieldPosition="0">
        <references count="2">
          <reference field="2" count="0" selected="0"/>
          <reference field="3" count="2">
            <x v="39"/>
            <x v="40"/>
          </reference>
        </references>
      </pivotArea>
    </format>
    <format dxfId="18">
      <pivotArea collapsedLevelsAreSubtotals="1" fieldPosition="0">
        <references count="2">
          <reference field="2" count="0" selected="0"/>
          <reference field="3" count="1">
            <x v="13"/>
          </reference>
        </references>
      </pivotArea>
    </format>
    <format dxfId="17">
      <pivotArea collapsedLevelsAreSubtotals="1" fieldPosition="0">
        <references count="2">
          <reference field="2" count="0" selected="0"/>
          <reference field="3" count="2">
            <x v="1"/>
            <x v="2"/>
          </reference>
        </references>
      </pivotArea>
    </format>
    <format dxfId="16">
      <pivotArea collapsedLevelsAreSubtotals="1" fieldPosition="0">
        <references count="2">
          <reference field="2" count="0" selected="0"/>
          <reference field="3" count="1">
            <x v="26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5BC5C-4788-42E5-9F0A-3968BA144CDC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3">
  <location ref="A88:C92" firstHeaderRow="0" firstDataRow="1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42">
        <item h="1" x="0"/>
        <item h="1" x="1"/>
        <item x="2"/>
        <item h="1" x="34"/>
        <item h="1" x="3"/>
        <item h="1" x="28"/>
        <item h="1" x="29"/>
        <item h="1" x="35"/>
        <item h="1" x="4"/>
        <item h="1" x="5"/>
        <item h="1" x="6"/>
        <item h="1" x="7"/>
        <item h="1" x="8"/>
        <item x="9"/>
        <item h="1" x="10"/>
        <item h="1" x="11"/>
        <item h="1" x="30"/>
        <item h="1" x="12"/>
        <item h="1" x="36"/>
        <item x="37"/>
        <item x="31"/>
        <item h="1" x="13"/>
        <item h="1" x="14"/>
        <item x="15"/>
        <item h="1" x="16"/>
        <item h="1" x="17"/>
        <item x="38"/>
        <item h="1" x="18"/>
        <item h="1" x="39"/>
        <item h="1" x="19"/>
        <item h="1" x="20"/>
        <item h="1" x="40"/>
        <item x="32"/>
        <item h="1" x="21"/>
        <item h="1" x="22"/>
        <item h="1" x="33"/>
        <item h="1" x="23"/>
        <item h="1" x="24"/>
        <item h="1" x="25"/>
        <item x="26"/>
        <item x="2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Сумма по полю Units (in 1000)" fld="5" baseField="3" baseItem="2"/>
    <dataField name="Сумма по полю Number of stores" fld="8" baseField="0" baseItem="0"/>
  </dataFields>
  <formats count="9">
    <format dxfId="32">
      <pivotArea outline="0" collapsedLevelsAreSubtotals="1" fieldPosition="0"/>
    </format>
    <format dxfId="31">
      <pivotArea collapsedLevelsAreSubtotals="1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30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4294967294" count="1">
            <x v="0"/>
          </reference>
          <reference field="2" count="1" selected="0">
            <x v="1"/>
          </reference>
        </references>
      </pivotArea>
    </format>
    <format dxfId="28">
      <pivotArea collapsedLevelsAreSubtotals="1" fieldPosition="0">
        <references count="1">
          <reference field="2" count="1">
            <x v="2"/>
          </reference>
        </references>
      </pivotArea>
    </format>
    <format dxfId="27">
      <pivotArea collapsedLevelsAreSubtotals="1" fieldPosition="0">
        <references count="2">
          <reference field="4294967294" count="1">
            <x v="0"/>
          </reference>
          <reference field="2" count="1" selected="0">
            <x v="2"/>
          </reference>
        </references>
      </pivotArea>
    </format>
    <format dxfId="26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chartFormats count="2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B011A-7707-439F-9BDE-DBA098C1CCBB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8">
  <location ref="A296:I301" firstHeaderRow="1" firstDataRow="2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axis="axisCol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item="2" hier="-1"/>
  </pageFields>
  <dataFields count="1">
    <dataField name="Сумма по полю Value (in 1000 rub)" fld="6" baseField="0" baseItem="0"/>
  </dataFields>
  <formats count="2">
    <format dxfId="34">
      <pivotArea grandCol="1" outline="0" collapsedLevelsAreSubtotals="1" fieldPosition="0"/>
    </format>
    <format dxfId="33">
      <pivotArea outline="0" collapsedLevelsAreSubtotals="1" fieldPosition="0"/>
    </format>
  </formats>
  <chartFormats count="10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469D5-A42C-498A-91CC-4EC57072C99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65:D173" firstHeaderRow="0" firstDataRow="1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showAll="0"/>
    <pivotField showAll="0"/>
    <pivotField axis="axisRow"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2" hier="-1"/>
  </pageFields>
  <dataFields count="3">
    <dataField name="Сумма по полю Avg month" fld="15" baseField="0" baseItem="0"/>
    <dataField name="Сумма по полю Units (in 1000)" fld="5" baseField="0" baseItem="0"/>
    <dataField name="Сумма по полю Value (in 1000 rub)" fld="6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077CC-87C1-4731-96A6-55E4B2CF3441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>
  <location ref="A256:E261" firstHeaderRow="1" firstDataRow="2" firstDataCol="1"/>
  <pivotFields count="16">
    <pivotField axis="axisRow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showAll="0">
      <items count="9">
        <item x="5"/>
        <item m="1" x="7"/>
        <item x="0"/>
        <item x="6"/>
        <item x="3"/>
        <item x="1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Сумма по полю Value (in 1000 rub)" fld="6" baseField="0" baseItem="0" numFmtId="43"/>
  </dataFields>
  <formats count="2">
    <format dxfId="37">
      <pivotArea grandCol="1" outline="0" collapsedLevelsAreSubtotals="1" fieldPosition="0"/>
    </format>
    <format dxfId="36">
      <pivotArea outline="0" collapsedLevelsAreSubtotals="1" fieldPosition="0"/>
    </format>
  </formats>
  <chartFormats count="7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31FF0-B650-4BEE-85D6-5324378EE062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130:E132" firstHeaderRow="1" firstDataRow="2" firstDataCol="1" rowPageCount="1" colPageCount="1"/>
  <pivotFields count="16">
    <pivotField axis="axisPage" showAll="0">
      <items count="4">
        <item x="0"/>
        <item x="1"/>
        <item x="2"/>
        <item t="default"/>
      </items>
    </pivotField>
    <pivotField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42">
        <item x="0"/>
        <item x="1"/>
        <item x="2"/>
        <item x="34"/>
        <item x="3"/>
        <item x="28"/>
        <item x="29"/>
        <item x="35"/>
        <item x="4"/>
        <item x="5"/>
        <item x="6"/>
        <item x="7"/>
        <item x="8"/>
        <item x="9"/>
        <item x="10"/>
        <item x="11"/>
        <item x="30"/>
        <item x="12"/>
        <item x="36"/>
        <item x="37"/>
        <item x="31"/>
        <item x="13"/>
        <item x="14"/>
        <item x="15"/>
        <item x="16"/>
        <item x="17"/>
        <item x="38"/>
        <item x="18"/>
        <item x="39"/>
        <item x="19"/>
        <item x="20"/>
        <item x="40"/>
        <item x="32"/>
        <item x="21"/>
        <item x="22"/>
        <item x="33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Сумма по полю Avg month" fld="15" baseField="0" baseItem="0"/>
  </dataFields>
  <formats count="8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2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3" type="button" dataOnly="0" labelOnly="1" outline="0"/>
    </format>
    <format dxfId="39">
      <pivotArea dataOnly="0" labelOnly="1" grandRow="1" outline="0" fieldPosition="0"/>
    </format>
    <format dxfId="38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0D7A005-6BC4-4DEB-9D6E-7B569E721FA0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Year" tableColumnId="1"/>
      <queryTableField id="2" name="Month" tableColumnId="2"/>
      <queryTableField id="3" name="Channel" tableColumnId="3"/>
      <queryTableField id="4" name="Brand" tableColumnId="4"/>
      <queryTableField id="5" name="Weight range" tableColumnId="5"/>
      <queryTableField id="6" name="Units (in 1000)" tableColumnId="6"/>
      <queryTableField id="7" name="Value (in 1000 rub)" tableColumnId="7"/>
      <queryTableField id="8" name="Volume (in 1000 kg)" tableColumnId="8"/>
      <queryTableField id="9" name="Number of stores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AD48A2-F746-4644-B9FE-52652A11A16B}" name="Копия_20206" displayName="Копия_20206" ref="A1:M2009" tableType="queryTable" totalsRowShown="0">
  <autoFilter ref="A1:M2009" xr:uid="{BE4FE1D5-D7C7-40DC-9721-F166D0286547}"/>
  <sortState ref="A2:I653">
    <sortCondition ref="D1:D653"/>
  </sortState>
  <tableColumns count="13">
    <tableColumn id="1" xr3:uid="{068504EA-A7B6-46FD-B69B-FE48D0C2B890}" uniqueName="1" name="Year" queryTableFieldId="1"/>
    <tableColumn id="2" xr3:uid="{16BBE8E6-2F89-4435-B505-34AAE90AD4EF}" uniqueName="2" name="Month" queryTableFieldId="2"/>
    <tableColumn id="3" xr3:uid="{AE7BA1E8-E95A-40D1-B378-C5688776F402}" uniqueName="3" name="Channel" queryTableFieldId="3" dataDxfId="79"/>
    <tableColumn id="4" xr3:uid="{D68AF7F0-B289-44A8-B007-B362240B021B}" uniqueName="4" name="Brand" queryTableFieldId="4" dataDxfId="78"/>
    <tableColumn id="5" xr3:uid="{21FA4B0E-ABFB-4C5B-A8E1-1E8FC8F1E278}" uniqueName="5" name="Weight range" queryTableFieldId="5" dataDxfId="77"/>
    <tableColumn id="6" xr3:uid="{73C412C4-CE62-4186-AAC2-5AB8456649CC}" uniqueName="6" name="Units (in 1000)" queryTableFieldId="6" dataDxfId="76"/>
    <tableColumn id="7" xr3:uid="{6EBA2766-6DFE-4081-AA74-7875C265BD06}" uniqueName="7" name="Value (in 1000 rub)" queryTableFieldId="7" dataDxfId="75"/>
    <tableColumn id="8" xr3:uid="{8303FBCC-175E-4648-9504-CD345294A646}" uniqueName="8" name="Volume (in 1000 kg)" queryTableFieldId="8" dataDxfId="74"/>
    <tableColumn id="9" xr3:uid="{49B4E6DE-6666-427F-A137-B26336C170D4}" uniqueName="9" name="Number of stores" queryTableFieldId="9"/>
    <tableColumn id="10" xr3:uid="{3BD9116F-DDDE-4D7B-83FC-FAB779CBC67E}" uniqueName="10" name="Units_outlier" queryTableFieldId="10" dataDxfId="73">
      <calculatedColumnFormula>IF(OR(Копия_20206[[#This Row],[Units (in 1000)]]&gt;$R$7,Копия_20206[[#This Row],[Units (in 1000)]]&lt;$R$6),"outlier","not outlier")</calculatedColumnFormula>
    </tableColumn>
    <tableColumn id="11" xr3:uid="{3583A5BE-F8CD-421A-98B2-81A9B3934677}" uniqueName="11" name="Value_outlier" queryTableFieldId="11" dataDxfId="72">
      <calculatedColumnFormula>IF(OR(Копия_20206[[#This Row],[Value (in 1000 rub)]]&gt;$S$7,Копия_20206[[#This Row],[Value (in 1000 rub)]]&lt;$S$6),"outlier","not outlier")</calculatedColumnFormula>
    </tableColumn>
    <tableColumn id="12" xr3:uid="{1D44AFBA-550C-4290-9F6A-DF00A21B160B}" uniqueName="12" name="Volume_outlier" queryTableFieldId="12" dataDxfId="71">
      <calculatedColumnFormula>IF(OR(Копия_20206[[#This Row],[Volume (in 1000 kg)]]&gt;$T$7,Копия_20206[[#This Row],[Volume (in 1000 kg)]]&lt;$T$6),"outlier","not outlier")</calculatedColumnFormula>
    </tableColumn>
    <tableColumn id="13" xr3:uid="{D67501DC-311E-4F60-90B9-D20E6A5DD8FC}" uniqueName="13" name="Numb_stores_outlier" queryTableFieldId="13" dataDxfId="70">
      <calculatedColumnFormula>IF(OR(Копия_20206[[#This Row],[Number of stores]]&gt;$U$7,Копия_20206[[#This Row],[Number of stores]]&lt;$U$6),"outlier","not outlier")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B7BE-86ED-4DAC-A446-E995C0F2DCB7}">
  <dimension ref="A1:U2009"/>
  <sheetViews>
    <sheetView workbookViewId="0">
      <selection activeCell="J1391" sqref="J1391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13.5703125" bestFit="1" customWidth="1"/>
    <col min="4" max="4" width="9.7109375" bestFit="1" customWidth="1"/>
    <col min="5" max="5" width="15.42578125" bestFit="1" customWidth="1"/>
    <col min="6" max="6" width="16.140625" bestFit="1" customWidth="1"/>
    <col min="7" max="7" width="20.140625" bestFit="1" customWidth="1"/>
    <col min="8" max="8" width="21" bestFit="1" customWidth="1"/>
    <col min="9" max="9" width="18.85546875" bestFit="1" customWidth="1"/>
    <col min="10" max="10" width="15.140625" customWidth="1"/>
    <col min="11" max="11" width="15.85546875" customWidth="1"/>
    <col min="12" max="12" width="17.140625" customWidth="1"/>
    <col min="13" max="13" width="21.85546875" customWidth="1"/>
    <col min="17" max="17" width="11.140625" customWidth="1"/>
    <col min="18" max="18" width="10.42578125" customWidth="1"/>
    <col min="19" max="19" width="10.28515625" customWidth="1"/>
    <col min="20" max="20" width="12.28515625" customWidth="1"/>
    <col min="21" max="21" width="16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6</v>
      </c>
      <c r="I1" t="s">
        <v>7</v>
      </c>
      <c r="J1" t="s">
        <v>96</v>
      </c>
      <c r="K1" t="s">
        <v>103</v>
      </c>
      <c r="L1" t="s">
        <v>104</v>
      </c>
      <c r="M1" t="s">
        <v>105</v>
      </c>
      <c r="Q1" t="s">
        <v>92</v>
      </c>
    </row>
    <row r="2" spans="1:21" x14ac:dyDescent="0.25">
      <c r="A2">
        <v>2020</v>
      </c>
      <c r="B2">
        <v>11</v>
      </c>
      <c r="C2" s="1" t="s">
        <v>29</v>
      </c>
      <c r="D2" s="1" t="s">
        <v>39</v>
      </c>
      <c r="E2" s="1" t="s">
        <v>10</v>
      </c>
      <c r="F2" s="5">
        <v>0.14299999999999999</v>
      </c>
      <c r="G2" s="5">
        <v>65.889532000000003</v>
      </c>
      <c r="H2" s="5">
        <v>2.86E-2</v>
      </c>
      <c r="I2">
        <v>0</v>
      </c>
      <c r="J2" s="4" t="str">
        <f>IF(OR(Копия_20206[[#This Row],[Units (in 1000)]]&gt;$R$7,Копия_20206[[#This Row],[Units (in 1000)]]&lt;$R$6),"outlier","not outlier")</f>
        <v>not outlier</v>
      </c>
      <c r="K2" s="4" t="str">
        <f>IF(OR(Копия_20206[[#This Row],[Value (in 1000 rub)]]&gt;$S$7,Копия_20206[[#This Row],[Value (in 1000 rub)]]&lt;$S$6),"outlier","not outlier")</f>
        <v>not outlier</v>
      </c>
      <c r="L2" s="4" t="str">
        <f>IF(OR(Копия_20206[[#This Row],[Volume (in 1000 kg)]]&gt;$T$7,Копия_20206[[#This Row],[Volume (in 1000 kg)]]&lt;$T$6),"outlier","not outlier")</f>
        <v>not outlier</v>
      </c>
      <c r="M2" s="4" t="str">
        <f>IF(OR(Копия_20206[[#This Row],[Number of stores]]&gt;$U$7,Копия_20206[[#This Row],[Number of stores]]&lt;$U$6),"outlier","not outlier")</f>
        <v>not outlier</v>
      </c>
      <c r="R2" t="s">
        <v>98</v>
      </c>
      <c r="S2" t="s">
        <v>100</v>
      </c>
      <c r="T2" t="s">
        <v>101</v>
      </c>
      <c r="U2" t="s">
        <v>102</v>
      </c>
    </row>
    <row r="3" spans="1:21" x14ac:dyDescent="0.25">
      <c r="A3">
        <v>2020</v>
      </c>
      <c r="B3">
        <v>11</v>
      </c>
      <c r="C3" s="1" t="s">
        <v>29</v>
      </c>
      <c r="D3" s="1" t="s">
        <v>39</v>
      </c>
      <c r="E3" s="1" t="s">
        <v>11</v>
      </c>
      <c r="F3" s="5">
        <v>0.31309999999999999</v>
      </c>
      <c r="G3" s="5">
        <v>155.94172499999999</v>
      </c>
      <c r="H3" s="5">
        <v>0.1096</v>
      </c>
      <c r="I3">
        <v>0</v>
      </c>
      <c r="J3" s="4" t="str">
        <f>IF(OR(Копия_20206[[#This Row],[Units (in 1000)]]&gt;$R$7,Копия_20206[[#This Row],[Units (in 1000)]]&lt;$R$6),"outlier","not outlier")</f>
        <v>not outlier</v>
      </c>
      <c r="K3" s="4" t="str">
        <f>IF(OR(Копия_20206[[#This Row],[Value (in 1000 rub)]]&gt;$S$7,Копия_20206[[#This Row],[Value (in 1000 rub)]]&lt;$S$6),"outlier","not outlier")</f>
        <v>not outlier</v>
      </c>
      <c r="L3" s="4" t="str">
        <f>IF(OR(Копия_20206[[#This Row],[Volume (in 1000 kg)]]&gt;$T$7,Копия_20206[[#This Row],[Volume (in 1000 kg)]]&lt;$T$6),"outlier","not outlier")</f>
        <v>not outlier</v>
      </c>
      <c r="M3" s="4" t="str">
        <f>IF(OR(Копия_20206[[#This Row],[Number of stores]]&gt;$U$7,Копия_20206[[#This Row],[Number of stores]]&lt;$U$6),"outlier","not outlier")</f>
        <v>not outlier</v>
      </c>
      <c r="Q3" t="s">
        <v>97</v>
      </c>
      <c r="R3">
        <f>_xlfn.QUARTILE.INC(Копия_20206[Units (in 1000)],1)</f>
        <v>0.29015000000000002</v>
      </c>
      <c r="S3">
        <f>_xlfn.QUARTILE.INC(Копия_20206[Value (in 1000 rub)],1)</f>
        <v>46.865592249999999</v>
      </c>
      <c r="T3">
        <f>_xlfn.QUARTILE.INC(Копия_20206[Volume (in 1000 kg)],1)</f>
        <v>9.9824999999999997E-2</v>
      </c>
      <c r="U3">
        <f>_xlfn.QUARTILE.INC(Копия_20206[Number of stores],1)</f>
        <v>22.75</v>
      </c>
    </row>
    <row r="4" spans="1:21" x14ac:dyDescent="0.25">
      <c r="A4">
        <v>2020</v>
      </c>
      <c r="B4">
        <v>12</v>
      </c>
      <c r="C4" s="1" t="s">
        <v>29</v>
      </c>
      <c r="D4" s="1" t="s">
        <v>39</v>
      </c>
      <c r="E4" s="1" t="s">
        <v>10</v>
      </c>
      <c r="F4" s="5">
        <v>7.6499999999999999E-2</v>
      </c>
      <c r="G4" s="5">
        <v>35.958112</v>
      </c>
      <c r="H4" s="5">
        <v>1.5299999999999999E-2</v>
      </c>
      <c r="I4">
        <v>0</v>
      </c>
      <c r="J4" s="4" t="str">
        <f>IF(OR(Копия_20206[[#This Row],[Units (in 1000)]]&gt;$R$7,Копия_20206[[#This Row],[Units (in 1000)]]&lt;$R$6),"outlier","not outlier")</f>
        <v>not outlier</v>
      </c>
      <c r="K4" s="4" t="str">
        <f>IF(OR(Копия_20206[[#This Row],[Value (in 1000 rub)]]&gt;$S$7,Копия_20206[[#This Row],[Value (in 1000 rub)]]&lt;$S$6),"outlier","not outlier")</f>
        <v>not outlier</v>
      </c>
      <c r="L4" s="4" t="str">
        <f>IF(OR(Копия_20206[[#This Row],[Volume (in 1000 kg)]]&gt;$T$7,Копия_20206[[#This Row],[Volume (in 1000 kg)]]&lt;$T$6),"outlier","not outlier")</f>
        <v>not outlier</v>
      </c>
      <c r="M4" s="4" t="str">
        <f>IF(OR(Копия_20206[[#This Row],[Number of stores]]&gt;$U$7,Копия_20206[[#This Row],[Number of stores]]&lt;$U$6),"outlier","not outlier")</f>
        <v>not outlier</v>
      </c>
      <c r="Q4" t="s">
        <v>99</v>
      </c>
      <c r="R4">
        <f>_xlfn.QUARTILE.INC(Копия_20206[Units (in 1000)],3)</f>
        <v>9.3926749999999988</v>
      </c>
      <c r="S4">
        <f>_xlfn.QUARTILE.INC(Копия_20206[Value (in 1000 rub)],3)</f>
        <v>868.14470900000003</v>
      </c>
      <c r="T4">
        <f>_xlfn.QUARTILE.INC(Копия_20206[Volume (in 1000 kg)],3)</f>
        <v>3.0036749999999999</v>
      </c>
      <c r="U4">
        <f>_xlfn.QUARTILE.INC(Копия_20206[Number of stores],3)</f>
        <v>1089.25</v>
      </c>
    </row>
    <row r="5" spans="1:21" x14ac:dyDescent="0.25">
      <c r="A5">
        <v>2020</v>
      </c>
      <c r="B5">
        <v>12</v>
      </c>
      <c r="C5" s="1" t="s">
        <v>29</v>
      </c>
      <c r="D5" s="1" t="s">
        <v>39</v>
      </c>
      <c r="E5" s="1" t="s">
        <v>11</v>
      </c>
      <c r="F5" s="5">
        <v>0.28489999999999999</v>
      </c>
      <c r="G5" s="5">
        <v>140.160417</v>
      </c>
      <c r="H5" s="5">
        <v>9.9699999999999997E-2</v>
      </c>
      <c r="I5">
        <v>0</v>
      </c>
      <c r="J5" s="4" t="str">
        <f>IF(OR(Копия_20206[[#This Row],[Units (in 1000)]]&gt;$R$7,Копия_20206[[#This Row],[Units (in 1000)]]&lt;$R$6),"outlier","not outlier")</f>
        <v>not outlier</v>
      </c>
      <c r="K5" s="4" t="str">
        <f>IF(OR(Копия_20206[[#This Row],[Value (in 1000 rub)]]&gt;$S$7,Копия_20206[[#This Row],[Value (in 1000 rub)]]&lt;$S$6),"outlier","not outlier")</f>
        <v>not outlier</v>
      </c>
      <c r="L5" s="4" t="str">
        <f>IF(OR(Копия_20206[[#This Row],[Volume (in 1000 kg)]]&gt;$T$7,Копия_20206[[#This Row],[Volume (in 1000 kg)]]&lt;$T$6),"outlier","not outlier")</f>
        <v>not outlier</v>
      </c>
      <c r="M5" s="4" t="str">
        <f>IF(OR(Копия_20206[[#This Row],[Number of stores]]&gt;$U$7,Копия_20206[[#This Row],[Number of stores]]&lt;$U$6),"outlier","not outlier")</f>
        <v>not outlier</v>
      </c>
      <c r="Q5" t="s">
        <v>93</v>
      </c>
      <c r="R5">
        <f>R4-R3</f>
        <v>9.1025249999999982</v>
      </c>
      <c r="S5">
        <f t="shared" ref="S5:U5" si="0">S4-S3</f>
        <v>821.27911675000007</v>
      </c>
      <c r="T5">
        <f t="shared" si="0"/>
        <v>2.9038499999999998</v>
      </c>
      <c r="U5">
        <f t="shared" si="0"/>
        <v>1066.5</v>
      </c>
    </row>
    <row r="6" spans="1:21" x14ac:dyDescent="0.25">
      <c r="A6">
        <v>2020</v>
      </c>
      <c r="B6">
        <v>1</v>
      </c>
      <c r="C6" s="1" t="s">
        <v>8</v>
      </c>
      <c r="D6" s="1" t="s">
        <v>15</v>
      </c>
      <c r="E6" s="1" t="s">
        <v>10</v>
      </c>
      <c r="F6" s="5">
        <v>10.0639</v>
      </c>
      <c r="G6" s="5">
        <v>573.12875799999995</v>
      </c>
      <c r="H6" s="5">
        <v>2.3147000000000002</v>
      </c>
      <c r="I6">
        <v>547</v>
      </c>
      <c r="J6" s="4" t="str">
        <f>IF(OR(Копия_20206[[#This Row],[Units (in 1000)]]&gt;$R$7,Копия_20206[[#This Row],[Units (in 1000)]]&lt;$R$6),"outlier","not outlier")</f>
        <v>not outlier</v>
      </c>
      <c r="K6" s="4" t="str">
        <f>IF(OR(Копия_20206[[#This Row],[Value (in 1000 rub)]]&gt;$S$7,Копия_20206[[#This Row],[Value (in 1000 rub)]]&lt;$S$6),"outlier","not outlier")</f>
        <v>not outlier</v>
      </c>
      <c r="L6" s="4" t="str">
        <f>IF(OR(Копия_20206[[#This Row],[Volume (in 1000 kg)]]&gt;$T$7,Копия_20206[[#This Row],[Volume (in 1000 kg)]]&lt;$T$6),"outlier","not outlier")</f>
        <v>not outlier</v>
      </c>
      <c r="M6" s="4" t="str">
        <f>IF(OR(Копия_20206[[#This Row],[Number of stores]]&gt;$U$7,Копия_20206[[#This Row],[Number of stores]]&lt;$U$6),"outlier","not outlier")</f>
        <v>not outlier</v>
      </c>
      <c r="Q6" t="s">
        <v>94</v>
      </c>
      <c r="R6">
        <f>R3-1.5*R5</f>
        <v>-13.363637499999996</v>
      </c>
      <c r="S6">
        <f t="shared" ref="S6:T6" si="1">S3-1.5*S5</f>
        <v>-1185.0530828750002</v>
      </c>
      <c r="T6">
        <f t="shared" si="1"/>
        <v>-4.2559499999999995</v>
      </c>
      <c r="U6">
        <f>U3-1.5*U5</f>
        <v>-1577</v>
      </c>
    </row>
    <row r="7" spans="1:21" x14ac:dyDescent="0.25">
      <c r="A7">
        <v>2020</v>
      </c>
      <c r="B7">
        <v>1</v>
      </c>
      <c r="C7" s="1" t="s">
        <v>8</v>
      </c>
      <c r="D7" s="1" t="s">
        <v>15</v>
      </c>
      <c r="E7" s="1" t="s">
        <v>12</v>
      </c>
      <c r="F7" s="5">
        <v>5.1222000000000003</v>
      </c>
      <c r="G7" s="5">
        <v>559.44437900000003</v>
      </c>
      <c r="H7" s="5">
        <v>2.3050000000000002</v>
      </c>
      <c r="I7">
        <v>325</v>
      </c>
      <c r="J7" s="4" t="str">
        <f>IF(OR(Копия_20206[[#This Row],[Units (in 1000)]]&gt;$R$7,Копия_20206[[#This Row],[Units (in 1000)]]&lt;$R$6),"outlier","not outlier")</f>
        <v>not outlier</v>
      </c>
      <c r="K7" s="4" t="str">
        <f>IF(OR(Копия_20206[[#This Row],[Value (in 1000 rub)]]&gt;$S$7,Копия_20206[[#This Row],[Value (in 1000 rub)]]&lt;$S$6),"outlier","not outlier")</f>
        <v>not outlier</v>
      </c>
      <c r="L7" s="4" t="str">
        <f>IF(OR(Копия_20206[[#This Row],[Volume (in 1000 kg)]]&gt;$T$7,Копия_20206[[#This Row],[Volume (in 1000 kg)]]&lt;$T$6),"outlier","not outlier")</f>
        <v>not outlier</v>
      </c>
      <c r="M7" s="4" t="str">
        <f>IF(OR(Копия_20206[[#This Row],[Number of stores]]&gt;$U$7,Копия_20206[[#This Row],[Number of stores]]&lt;$U$6),"outlier","not outlier")</f>
        <v>not outlier</v>
      </c>
      <c r="Q7" t="s">
        <v>95</v>
      </c>
      <c r="R7">
        <f>R4+1.5*R5</f>
        <v>23.046462499999997</v>
      </c>
      <c r="S7">
        <f t="shared" ref="S7:U7" si="2">S4+1.5*S5</f>
        <v>2100.0633841250001</v>
      </c>
      <c r="T7">
        <f t="shared" si="2"/>
        <v>7.3594499999999989</v>
      </c>
      <c r="U7">
        <f t="shared" si="2"/>
        <v>2689</v>
      </c>
    </row>
    <row r="8" spans="1:21" x14ac:dyDescent="0.25">
      <c r="A8">
        <v>2020</v>
      </c>
      <c r="B8">
        <v>1</v>
      </c>
      <c r="C8" s="1" t="s">
        <v>25</v>
      </c>
      <c r="D8" s="1" t="s">
        <v>15</v>
      </c>
      <c r="E8" s="1" t="s">
        <v>10</v>
      </c>
      <c r="F8" s="5">
        <v>4.3365999999999998</v>
      </c>
      <c r="G8" s="5">
        <v>319.95177100000001</v>
      </c>
      <c r="H8" s="5">
        <v>0.99739999999999995</v>
      </c>
      <c r="I8">
        <v>1627</v>
      </c>
      <c r="J8" s="4" t="str">
        <f>IF(OR(Копия_20206[[#This Row],[Units (in 1000)]]&gt;$R$7,Копия_20206[[#This Row],[Units (in 1000)]]&lt;$R$6),"outlier","not outlier")</f>
        <v>not outlier</v>
      </c>
      <c r="K8" s="4" t="str">
        <f>IF(OR(Копия_20206[[#This Row],[Value (in 1000 rub)]]&gt;$S$7,Копия_20206[[#This Row],[Value (in 1000 rub)]]&lt;$S$6),"outlier","not outlier")</f>
        <v>not outlier</v>
      </c>
      <c r="L8" s="4" t="str">
        <f>IF(OR(Копия_20206[[#This Row],[Volume (in 1000 kg)]]&gt;$T$7,Копия_20206[[#This Row],[Volume (in 1000 kg)]]&lt;$T$6),"outlier","not outlier")</f>
        <v>not outlier</v>
      </c>
      <c r="M8" s="4" t="str">
        <f>IF(OR(Копия_20206[[#This Row],[Number of stores]]&gt;$U$7,Копия_20206[[#This Row],[Number of stores]]&lt;$U$6),"outlier","not outlier")</f>
        <v>not outlier</v>
      </c>
    </row>
    <row r="9" spans="1:21" x14ac:dyDescent="0.25">
      <c r="A9">
        <v>2020</v>
      </c>
      <c r="B9">
        <v>1</v>
      </c>
      <c r="C9" s="1" t="s">
        <v>25</v>
      </c>
      <c r="D9" s="1" t="s">
        <v>15</v>
      </c>
      <c r="E9" s="1" t="s">
        <v>12</v>
      </c>
      <c r="F9" s="5">
        <v>1.6089</v>
      </c>
      <c r="G9" s="5">
        <v>234.200456</v>
      </c>
      <c r="H9" s="5">
        <v>0.72389999999999999</v>
      </c>
      <c r="I9">
        <v>514</v>
      </c>
      <c r="J9" s="4" t="str">
        <f>IF(OR(Копия_20206[[#This Row],[Units (in 1000)]]&gt;$R$7,Копия_20206[[#This Row],[Units (in 1000)]]&lt;$R$6),"outlier","not outlier")</f>
        <v>not outlier</v>
      </c>
      <c r="K9" s="4" t="str">
        <f>IF(OR(Копия_20206[[#This Row],[Value (in 1000 rub)]]&gt;$S$7,Копия_20206[[#This Row],[Value (in 1000 rub)]]&lt;$S$6),"outlier","not outlier")</f>
        <v>not outlier</v>
      </c>
      <c r="L9" s="4" t="str">
        <f>IF(OR(Копия_20206[[#This Row],[Volume (in 1000 kg)]]&gt;$T$7,Копия_20206[[#This Row],[Volume (in 1000 kg)]]&lt;$T$6),"outlier","not outlier")</f>
        <v>not outlier</v>
      </c>
      <c r="M9" s="4" t="str">
        <f>IF(OR(Копия_20206[[#This Row],[Number of stores]]&gt;$U$7,Копия_20206[[#This Row],[Number of stores]]&lt;$U$6),"outlier","not outlier")</f>
        <v>not outlier</v>
      </c>
    </row>
    <row r="10" spans="1:21" x14ac:dyDescent="0.25">
      <c r="A10">
        <v>2020</v>
      </c>
      <c r="B10">
        <v>1</v>
      </c>
      <c r="C10" s="1" t="s">
        <v>29</v>
      </c>
      <c r="D10" s="1" t="s">
        <v>15</v>
      </c>
      <c r="E10" s="1" t="s">
        <v>10</v>
      </c>
      <c r="F10" s="5">
        <v>19.5669</v>
      </c>
      <c r="G10" s="5">
        <v>1090.341146</v>
      </c>
      <c r="H10" s="5">
        <v>4.5003000000000002</v>
      </c>
      <c r="I10">
        <v>3312</v>
      </c>
      <c r="J10" s="4" t="str">
        <f>IF(OR(Копия_20206[[#This Row],[Units (in 1000)]]&gt;$R$7,Копия_20206[[#This Row],[Units (in 1000)]]&lt;$R$6),"outlier","not outlier")</f>
        <v>not outlier</v>
      </c>
      <c r="K10" s="4" t="str">
        <f>IF(OR(Копия_20206[[#This Row],[Value (in 1000 rub)]]&gt;$S$7,Копия_20206[[#This Row],[Value (in 1000 rub)]]&lt;$S$6),"outlier","not outlier")</f>
        <v>not outlier</v>
      </c>
      <c r="L10" s="4" t="str">
        <f>IF(OR(Копия_20206[[#This Row],[Volume (in 1000 kg)]]&gt;$T$7,Копия_20206[[#This Row],[Volume (in 1000 kg)]]&lt;$T$6),"outlier","not outlier")</f>
        <v>not outlier</v>
      </c>
      <c r="M10" s="4" t="str">
        <f>IF(OR(Копия_20206[[#This Row],[Number of stores]]&gt;$U$7,Копия_20206[[#This Row],[Number of stores]]&lt;$U$6),"outlier","not outlier")</f>
        <v>outlier</v>
      </c>
    </row>
    <row r="11" spans="1:21" x14ac:dyDescent="0.25">
      <c r="A11">
        <v>2020</v>
      </c>
      <c r="B11">
        <v>1</v>
      </c>
      <c r="C11" s="1" t="s">
        <v>29</v>
      </c>
      <c r="D11" s="1" t="s">
        <v>15</v>
      </c>
      <c r="E11" s="1" t="s">
        <v>12</v>
      </c>
      <c r="F11" s="5">
        <v>7.0743</v>
      </c>
      <c r="G11" s="5">
        <v>918.30978900000002</v>
      </c>
      <c r="H11" s="5">
        <v>3.1833999999999998</v>
      </c>
      <c r="I11">
        <v>1018</v>
      </c>
      <c r="J11" s="4" t="str">
        <f>IF(OR(Копия_20206[[#This Row],[Units (in 1000)]]&gt;$R$7,Копия_20206[[#This Row],[Units (in 1000)]]&lt;$R$6),"outlier","not outlier")</f>
        <v>not outlier</v>
      </c>
      <c r="K11" s="4" t="str">
        <f>IF(OR(Копия_20206[[#This Row],[Value (in 1000 rub)]]&gt;$S$7,Копия_20206[[#This Row],[Value (in 1000 rub)]]&lt;$S$6),"outlier","not outlier")</f>
        <v>not outlier</v>
      </c>
      <c r="L11" s="4" t="str">
        <f>IF(OR(Копия_20206[[#This Row],[Volume (in 1000 kg)]]&gt;$T$7,Копия_20206[[#This Row],[Volume (in 1000 kg)]]&lt;$T$6),"outlier","not outlier")</f>
        <v>not outlier</v>
      </c>
      <c r="M11" s="4" t="str">
        <f>IF(OR(Копия_20206[[#This Row],[Number of stores]]&gt;$U$7,Копия_20206[[#This Row],[Number of stores]]&lt;$U$6),"outlier","not outlier")</f>
        <v>not outlier</v>
      </c>
    </row>
    <row r="12" spans="1:21" x14ac:dyDescent="0.25">
      <c r="A12">
        <v>2020</v>
      </c>
      <c r="B12">
        <v>2</v>
      </c>
      <c r="C12" s="1" t="s">
        <v>8</v>
      </c>
      <c r="D12" s="1" t="s">
        <v>15</v>
      </c>
      <c r="E12" s="1" t="s">
        <v>10</v>
      </c>
      <c r="F12" s="5">
        <v>16.149899999999999</v>
      </c>
      <c r="G12" s="5">
        <v>874.32413499999996</v>
      </c>
      <c r="H12" s="5">
        <v>3.7145000000000001</v>
      </c>
      <c r="I12">
        <v>525</v>
      </c>
      <c r="J12" s="4" t="str">
        <f>IF(OR(Копия_20206[[#This Row],[Units (in 1000)]]&gt;$R$7,Копия_20206[[#This Row],[Units (in 1000)]]&lt;$R$6),"outlier","not outlier")</f>
        <v>not outlier</v>
      </c>
      <c r="K12" s="4" t="str">
        <f>IF(OR(Копия_20206[[#This Row],[Value (in 1000 rub)]]&gt;$S$7,Копия_20206[[#This Row],[Value (in 1000 rub)]]&lt;$S$6),"outlier","not outlier")</f>
        <v>not outlier</v>
      </c>
      <c r="L12" s="4" t="str">
        <f>IF(OR(Копия_20206[[#This Row],[Volume (in 1000 kg)]]&gt;$T$7,Копия_20206[[#This Row],[Volume (in 1000 kg)]]&lt;$T$6),"outlier","not outlier")</f>
        <v>not outlier</v>
      </c>
      <c r="M12" s="4" t="str">
        <f>IF(OR(Копия_20206[[#This Row],[Number of stores]]&gt;$U$7,Копия_20206[[#This Row],[Number of stores]]&lt;$U$6),"outlier","not outlier")</f>
        <v>not outlier</v>
      </c>
    </row>
    <row r="13" spans="1:21" x14ac:dyDescent="0.25">
      <c r="A13">
        <v>2020</v>
      </c>
      <c r="B13">
        <v>2</v>
      </c>
      <c r="C13" s="1" t="s">
        <v>8</v>
      </c>
      <c r="D13" s="1" t="s">
        <v>15</v>
      </c>
      <c r="E13" s="1" t="s">
        <v>12</v>
      </c>
      <c r="F13" s="5">
        <v>3.4373999999999998</v>
      </c>
      <c r="G13" s="5">
        <v>443.55682300000001</v>
      </c>
      <c r="H13" s="5">
        <v>1.5468</v>
      </c>
      <c r="I13">
        <v>319</v>
      </c>
      <c r="J13" s="4" t="str">
        <f>IF(OR(Копия_20206[[#This Row],[Units (in 1000)]]&gt;$R$7,Копия_20206[[#This Row],[Units (in 1000)]]&lt;$R$6),"outlier","not outlier")</f>
        <v>not outlier</v>
      </c>
      <c r="K13" s="4" t="str">
        <f>IF(OR(Копия_20206[[#This Row],[Value (in 1000 rub)]]&gt;$S$7,Копия_20206[[#This Row],[Value (in 1000 rub)]]&lt;$S$6),"outlier","not outlier")</f>
        <v>not outlier</v>
      </c>
      <c r="L13" s="4" t="str">
        <f>IF(OR(Копия_20206[[#This Row],[Volume (in 1000 kg)]]&gt;$T$7,Копия_20206[[#This Row],[Volume (in 1000 kg)]]&lt;$T$6),"outlier","not outlier")</f>
        <v>not outlier</v>
      </c>
      <c r="M13" s="4" t="str">
        <f>IF(OR(Копия_20206[[#This Row],[Number of stores]]&gt;$U$7,Копия_20206[[#This Row],[Number of stores]]&lt;$U$6),"outlier","not outlier")</f>
        <v>not outlier</v>
      </c>
    </row>
    <row r="14" spans="1:21" x14ac:dyDescent="0.25">
      <c r="A14">
        <v>2020</v>
      </c>
      <c r="B14">
        <v>2</v>
      </c>
      <c r="C14" s="1" t="s">
        <v>25</v>
      </c>
      <c r="D14" s="1" t="s">
        <v>15</v>
      </c>
      <c r="E14" s="1" t="s">
        <v>10</v>
      </c>
      <c r="F14" s="5">
        <v>2.6972</v>
      </c>
      <c r="G14" s="5">
        <v>195.33986200000001</v>
      </c>
      <c r="H14" s="5">
        <v>0.62039999999999995</v>
      </c>
      <c r="I14">
        <v>1549</v>
      </c>
      <c r="J14" s="4" t="str">
        <f>IF(OR(Копия_20206[[#This Row],[Units (in 1000)]]&gt;$R$7,Копия_20206[[#This Row],[Units (in 1000)]]&lt;$R$6),"outlier","not outlier")</f>
        <v>not outlier</v>
      </c>
      <c r="K14" s="4" t="str">
        <f>IF(OR(Копия_20206[[#This Row],[Value (in 1000 rub)]]&gt;$S$7,Копия_20206[[#This Row],[Value (in 1000 rub)]]&lt;$S$6),"outlier","not outlier")</f>
        <v>not outlier</v>
      </c>
      <c r="L14" s="4" t="str">
        <f>IF(OR(Копия_20206[[#This Row],[Volume (in 1000 kg)]]&gt;$T$7,Копия_20206[[#This Row],[Volume (in 1000 kg)]]&lt;$T$6),"outlier","not outlier")</f>
        <v>not outlier</v>
      </c>
      <c r="M14" s="4" t="str">
        <f>IF(OR(Копия_20206[[#This Row],[Number of stores]]&gt;$U$7,Копия_20206[[#This Row],[Number of stores]]&lt;$U$6),"outlier","not outlier")</f>
        <v>not outlier</v>
      </c>
    </row>
    <row r="15" spans="1:21" x14ac:dyDescent="0.25">
      <c r="A15">
        <v>2020</v>
      </c>
      <c r="B15">
        <v>2</v>
      </c>
      <c r="C15" s="1" t="s">
        <v>25</v>
      </c>
      <c r="D15" s="1" t="s">
        <v>15</v>
      </c>
      <c r="E15" s="1" t="s">
        <v>12</v>
      </c>
      <c r="F15" s="5">
        <v>1.1556999999999999</v>
      </c>
      <c r="G15" s="5">
        <v>203.56771599999999</v>
      </c>
      <c r="H15" s="5">
        <v>0.52010000000000001</v>
      </c>
      <c r="I15">
        <v>518</v>
      </c>
      <c r="J15" s="4" t="str">
        <f>IF(OR(Копия_20206[[#This Row],[Units (in 1000)]]&gt;$R$7,Копия_20206[[#This Row],[Units (in 1000)]]&lt;$R$6),"outlier","not outlier")</f>
        <v>not outlier</v>
      </c>
      <c r="K15" s="4" t="str">
        <f>IF(OR(Копия_20206[[#This Row],[Value (in 1000 rub)]]&gt;$S$7,Копия_20206[[#This Row],[Value (in 1000 rub)]]&lt;$S$6),"outlier","not outlier")</f>
        <v>not outlier</v>
      </c>
      <c r="L15" s="4" t="str">
        <f>IF(OR(Копия_20206[[#This Row],[Volume (in 1000 kg)]]&gt;$T$7,Копия_20206[[#This Row],[Volume (in 1000 kg)]]&lt;$T$6),"outlier","not outlier")</f>
        <v>not outlier</v>
      </c>
      <c r="M15" s="4" t="str">
        <f>IF(OR(Копия_20206[[#This Row],[Number of stores]]&gt;$U$7,Копия_20206[[#This Row],[Number of stores]]&lt;$U$6),"outlier","not outlier")</f>
        <v>not outlier</v>
      </c>
    </row>
    <row r="16" spans="1:21" x14ac:dyDescent="0.25">
      <c r="A16">
        <v>2020</v>
      </c>
      <c r="B16">
        <v>2</v>
      </c>
      <c r="C16" s="1" t="s">
        <v>29</v>
      </c>
      <c r="D16" s="1" t="s">
        <v>15</v>
      </c>
      <c r="E16" s="1" t="s">
        <v>10</v>
      </c>
      <c r="F16" s="5">
        <v>9.44</v>
      </c>
      <c r="G16" s="5">
        <v>564.161924</v>
      </c>
      <c r="H16" s="5">
        <v>2.1711999999999998</v>
      </c>
      <c r="I16">
        <v>2546</v>
      </c>
      <c r="J16" s="4" t="str">
        <f>IF(OR(Копия_20206[[#This Row],[Units (in 1000)]]&gt;$R$7,Копия_20206[[#This Row],[Units (in 1000)]]&lt;$R$6),"outlier","not outlier")</f>
        <v>not outlier</v>
      </c>
      <c r="K16" s="4" t="str">
        <f>IF(OR(Копия_20206[[#This Row],[Value (in 1000 rub)]]&gt;$S$7,Копия_20206[[#This Row],[Value (in 1000 rub)]]&lt;$S$6),"outlier","not outlier")</f>
        <v>not outlier</v>
      </c>
      <c r="L16" s="4" t="str">
        <f>IF(OR(Копия_20206[[#This Row],[Volume (in 1000 kg)]]&gt;$T$7,Копия_20206[[#This Row],[Volume (in 1000 kg)]]&lt;$T$6),"outlier","not outlier")</f>
        <v>not outlier</v>
      </c>
      <c r="M16" s="4" t="str">
        <f>IF(OR(Копия_20206[[#This Row],[Number of stores]]&gt;$U$7,Копия_20206[[#This Row],[Number of stores]]&lt;$U$6),"outlier","not outlier")</f>
        <v>not outlier</v>
      </c>
    </row>
    <row r="17" spans="1:13" x14ac:dyDescent="0.25">
      <c r="A17">
        <v>2020</v>
      </c>
      <c r="B17">
        <v>2</v>
      </c>
      <c r="C17" s="1" t="s">
        <v>29</v>
      </c>
      <c r="D17" s="1" t="s">
        <v>15</v>
      </c>
      <c r="E17" s="1" t="s">
        <v>12</v>
      </c>
      <c r="F17" s="5">
        <v>5.2153</v>
      </c>
      <c r="G17" s="5">
        <v>824.08276799999999</v>
      </c>
      <c r="H17" s="5">
        <v>2.3468</v>
      </c>
      <c r="I17">
        <v>1093</v>
      </c>
      <c r="J17" s="4" t="str">
        <f>IF(OR(Копия_20206[[#This Row],[Units (in 1000)]]&gt;$R$7,Копия_20206[[#This Row],[Units (in 1000)]]&lt;$R$6),"outlier","not outlier")</f>
        <v>not outlier</v>
      </c>
      <c r="K17" s="4" t="str">
        <f>IF(OR(Копия_20206[[#This Row],[Value (in 1000 rub)]]&gt;$S$7,Копия_20206[[#This Row],[Value (in 1000 rub)]]&lt;$S$6),"outlier","not outlier")</f>
        <v>not outlier</v>
      </c>
      <c r="L17" s="4" t="str">
        <f>IF(OR(Копия_20206[[#This Row],[Volume (in 1000 kg)]]&gt;$T$7,Копия_20206[[#This Row],[Volume (in 1000 kg)]]&lt;$T$6),"outlier","not outlier")</f>
        <v>not outlier</v>
      </c>
      <c r="M17" s="4" t="str">
        <f>IF(OR(Копия_20206[[#This Row],[Number of stores]]&gt;$U$7,Копия_20206[[#This Row],[Number of stores]]&lt;$U$6),"outlier","not outlier")</f>
        <v>not outlier</v>
      </c>
    </row>
    <row r="18" spans="1:13" x14ac:dyDescent="0.25">
      <c r="A18">
        <v>2020</v>
      </c>
      <c r="B18">
        <v>3</v>
      </c>
      <c r="C18" s="1" t="s">
        <v>8</v>
      </c>
      <c r="D18" s="1" t="s">
        <v>15</v>
      </c>
      <c r="E18" s="1" t="s">
        <v>10</v>
      </c>
      <c r="F18" s="5">
        <v>11.618499999999999</v>
      </c>
      <c r="G18" s="5">
        <v>677.017966</v>
      </c>
      <c r="H18" s="5">
        <v>2.6722999999999999</v>
      </c>
      <c r="I18">
        <v>503</v>
      </c>
      <c r="J18" s="4" t="str">
        <f>IF(OR(Копия_20206[[#This Row],[Units (in 1000)]]&gt;$R$7,Копия_20206[[#This Row],[Units (in 1000)]]&lt;$R$6),"outlier","not outlier")</f>
        <v>not outlier</v>
      </c>
      <c r="K18" s="4" t="str">
        <f>IF(OR(Копия_20206[[#This Row],[Value (in 1000 rub)]]&gt;$S$7,Копия_20206[[#This Row],[Value (in 1000 rub)]]&lt;$S$6),"outlier","not outlier")</f>
        <v>not outlier</v>
      </c>
      <c r="L18" s="4" t="str">
        <f>IF(OR(Копия_20206[[#This Row],[Volume (in 1000 kg)]]&gt;$T$7,Копия_20206[[#This Row],[Volume (in 1000 kg)]]&lt;$T$6),"outlier","not outlier")</f>
        <v>not outlier</v>
      </c>
      <c r="M18" s="4" t="str">
        <f>IF(OR(Копия_20206[[#This Row],[Number of stores]]&gt;$U$7,Копия_20206[[#This Row],[Number of stores]]&lt;$U$6),"outlier","not outlier")</f>
        <v>not outlier</v>
      </c>
    </row>
    <row r="19" spans="1:13" x14ac:dyDescent="0.25">
      <c r="A19">
        <v>2020</v>
      </c>
      <c r="B19">
        <v>3</v>
      </c>
      <c r="C19" s="1" t="s">
        <v>8</v>
      </c>
      <c r="D19" s="1" t="s">
        <v>15</v>
      </c>
      <c r="E19" s="1" t="s">
        <v>35</v>
      </c>
      <c r="F19" s="5">
        <v>5.9999999999999995E-4</v>
      </c>
      <c r="G19" s="5">
        <v>4.2303E-2</v>
      </c>
      <c r="H19" s="5">
        <v>2.0000000000000001E-4</v>
      </c>
      <c r="I19">
        <v>2</v>
      </c>
      <c r="J19" s="4" t="str">
        <f>IF(OR(Копия_20206[[#This Row],[Units (in 1000)]]&gt;$R$7,Копия_20206[[#This Row],[Units (in 1000)]]&lt;$R$6),"outlier","not outlier")</f>
        <v>not outlier</v>
      </c>
      <c r="K19" s="4" t="str">
        <f>IF(OR(Копия_20206[[#This Row],[Value (in 1000 rub)]]&gt;$S$7,Копия_20206[[#This Row],[Value (in 1000 rub)]]&lt;$S$6),"outlier","not outlier")</f>
        <v>not outlier</v>
      </c>
      <c r="L19" s="4" t="str">
        <f>IF(OR(Копия_20206[[#This Row],[Volume (in 1000 kg)]]&gt;$T$7,Копия_20206[[#This Row],[Volume (in 1000 kg)]]&lt;$T$6),"outlier","not outlier")</f>
        <v>not outlier</v>
      </c>
      <c r="M19" s="4" t="str">
        <f>IF(OR(Копия_20206[[#This Row],[Number of stores]]&gt;$U$7,Копия_20206[[#This Row],[Number of stores]]&lt;$U$6),"outlier","not outlier")</f>
        <v>not outlier</v>
      </c>
    </row>
    <row r="20" spans="1:13" x14ac:dyDescent="0.25">
      <c r="A20">
        <v>2020</v>
      </c>
      <c r="B20">
        <v>3</v>
      </c>
      <c r="C20" s="1" t="s">
        <v>8</v>
      </c>
      <c r="D20" s="1" t="s">
        <v>15</v>
      </c>
      <c r="E20" s="1" t="s">
        <v>12</v>
      </c>
      <c r="F20" s="5">
        <v>2.8369</v>
      </c>
      <c r="G20" s="5">
        <v>433.00613600000003</v>
      </c>
      <c r="H20" s="5">
        <v>1.2766</v>
      </c>
      <c r="I20">
        <v>301</v>
      </c>
      <c r="J20" s="4" t="str">
        <f>IF(OR(Копия_20206[[#This Row],[Units (in 1000)]]&gt;$R$7,Копия_20206[[#This Row],[Units (in 1000)]]&lt;$R$6),"outlier","not outlier")</f>
        <v>not outlier</v>
      </c>
      <c r="K20" s="4" t="str">
        <f>IF(OR(Копия_20206[[#This Row],[Value (in 1000 rub)]]&gt;$S$7,Копия_20206[[#This Row],[Value (in 1000 rub)]]&lt;$S$6),"outlier","not outlier")</f>
        <v>not outlier</v>
      </c>
      <c r="L20" s="4" t="str">
        <f>IF(OR(Копия_20206[[#This Row],[Volume (in 1000 kg)]]&gt;$T$7,Копия_20206[[#This Row],[Volume (in 1000 kg)]]&lt;$T$6),"outlier","not outlier")</f>
        <v>not outlier</v>
      </c>
      <c r="M20" s="4" t="str">
        <f>IF(OR(Копия_20206[[#This Row],[Number of stores]]&gt;$U$7,Копия_20206[[#This Row],[Number of stores]]&lt;$U$6),"outlier","not outlier")</f>
        <v>not outlier</v>
      </c>
    </row>
    <row r="21" spans="1:13" x14ac:dyDescent="0.25">
      <c r="A21">
        <v>2020</v>
      </c>
      <c r="B21">
        <v>3</v>
      </c>
      <c r="C21" s="1" t="s">
        <v>8</v>
      </c>
      <c r="D21" s="1" t="s">
        <v>15</v>
      </c>
      <c r="E21" s="1" t="s">
        <v>13</v>
      </c>
      <c r="F21" s="5">
        <v>5.9999999999999995E-4</v>
      </c>
      <c r="G21" s="5">
        <v>9.6673999999999996E-2</v>
      </c>
      <c r="H21" s="5">
        <v>2.9999999999999997E-4</v>
      </c>
      <c r="I21">
        <v>1</v>
      </c>
      <c r="J21" s="4" t="str">
        <f>IF(OR(Копия_20206[[#This Row],[Units (in 1000)]]&gt;$R$7,Копия_20206[[#This Row],[Units (in 1000)]]&lt;$R$6),"outlier","not outlier")</f>
        <v>not outlier</v>
      </c>
      <c r="K21" s="4" t="str">
        <f>IF(OR(Копия_20206[[#This Row],[Value (in 1000 rub)]]&gt;$S$7,Копия_20206[[#This Row],[Value (in 1000 rub)]]&lt;$S$6),"outlier","not outlier")</f>
        <v>not outlier</v>
      </c>
      <c r="L21" s="4" t="str">
        <f>IF(OR(Копия_20206[[#This Row],[Volume (in 1000 kg)]]&gt;$T$7,Копия_20206[[#This Row],[Volume (in 1000 kg)]]&lt;$T$6),"outlier","not outlier")</f>
        <v>not outlier</v>
      </c>
      <c r="M21" s="4" t="str">
        <f>IF(OR(Копия_20206[[#This Row],[Number of stores]]&gt;$U$7,Копия_20206[[#This Row],[Number of stores]]&lt;$U$6),"outlier","not outlier")</f>
        <v>not outlier</v>
      </c>
    </row>
    <row r="22" spans="1:13" x14ac:dyDescent="0.25">
      <c r="A22">
        <v>2020</v>
      </c>
      <c r="B22">
        <v>3</v>
      </c>
      <c r="C22" s="1" t="s">
        <v>25</v>
      </c>
      <c r="D22" s="1" t="s">
        <v>15</v>
      </c>
      <c r="E22" s="1" t="s">
        <v>10</v>
      </c>
      <c r="F22" s="5">
        <v>4.2058</v>
      </c>
      <c r="G22" s="5">
        <v>285.33204799999999</v>
      </c>
      <c r="H22" s="5">
        <v>0.96730000000000005</v>
      </c>
      <c r="I22">
        <v>1440</v>
      </c>
      <c r="J22" s="4" t="str">
        <f>IF(OR(Копия_20206[[#This Row],[Units (in 1000)]]&gt;$R$7,Копия_20206[[#This Row],[Units (in 1000)]]&lt;$R$6),"outlier","not outlier")</f>
        <v>not outlier</v>
      </c>
      <c r="K22" s="4" t="str">
        <f>IF(OR(Копия_20206[[#This Row],[Value (in 1000 rub)]]&gt;$S$7,Копия_20206[[#This Row],[Value (in 1000 rub)]]&lt;$S$6),"outlier","not outlier")</f>
        <v>not outlier</v>
      </c>
      <c r="L22" s="4" t="str">
        <f>IF(OR(Копия_20206[[#This Row],[Volume (in 1000 kg)]]&gt;$T$7,Копия_20206[[#This Row],[Volume (in 1000 kg)]]&lt;$T$6),"outlier","not outlier")</f>
        <v>not outlier</v>
      </c>
      <c r="M22" s="4" t="str">
        <f>IF(OR(Копия_20206[[#This Row],[Number of stores]]&gt;$U$7,Копия_20206[[#This Row],[Number of stores]]&lt;$U$6),"outlier","not outlier")</f>
        <v>not outlier</v>
      </c>
    </row>
    <row r="23" spans="1:13" x14ac:dyDescent="0.25">
      <c r="A23">
        <v>2020</v>
      </c>
      <c r="B23">
        <v>3</v>
      </c>
      <c r="C23" s="1" t="s">
        <v>25</v>
      </c>
      <c r="D23" s="1" t="s">
        <v>15</v>
      </c>
      <c r="E23" s="1" t="s">
        <v>12</v>
      </c>
      <c r="F23" s="5">
        <v>1.0539000000000001</v>
      </c>
      <c r="G23" s="5">
        <v>177.54775599999999</v>
      </c>
      <c r="H23" s="5">
        <v>0.47439999999999999</v>
      </c>
      <c r="I23">
        <v>434</v>
      </c>
      <c r="J23" s="4" t="str">
        <f>IF(OR(Копия_20206[[#This Row],[Units (in 1000)]]&gt;$R$7,Копия_20206[[#This Row],[Units (in 1000)]]&lt;$R$6),"outlier","not outlier")</f>
        <v>not outlier</v>
      </c>
      <c r="K23" s="4" t="str">
        <f>IF(OR(Копия_20206[[#This Row],[Value (in 1000 rub)]]&gt;$S$7,Копия_20206[[#This Row],[Value (in 1000 rub)]]&lt;$S$6),"outlier","not outlier")</f>
        <v>not outlier</v>
      </c>
      <c r="L23" s="4" t="str">
        <f>IF(OR(Копия_20206[[#This Row],[Volume (in 1000 kg)]]&gt;$T$7,Копия_20206[[#This Row],[Volume (in 1000 kg)]]&lt;$T$6),"outlier","not outlier")</f>
        <v>not outlier</v>
      </c>
      <c r="M23" s="4" t="str">
        <f>IF(OR(Копия_20206[[#This Row],[Number of stores]]&gt;$U$7,Копия_20206[[#This Row],[Number of stores]]&lt;$U$6),"outlier","not outlier")</f>
        <v>not outlier</v>
      </c>
    </row>
    <row r="24" spans="1:13" x14ac:dyDescent="0.25">
      <c r="A24">
        <v>2020</v>
      </c>
      <c r="B24">
        <v>3</v>
      </c>
      <c r="C24" s="1" t="s">
        <v>29</v>
      </c>
      <c r="D24" s="1" t="s">
        <v>15</v>
      </c>
      <c r="E24" s="1" t="s">
        <v>10</v>
      </c>
      <c r="F24" s="5">
        <v>8.6386000000000003</v>
      </c>
      <c r="G24" s="5">
        <v>518.47326399999997</v>
      </c>
      <c r="H24" s="5">
        <v>1.9869000000000001</v>
      </c>
      <c r="I24">
        <v>1801</v>
      </c>
      <c r="J24" s="4" t="str">
        <f>IF(OR(Копия_20206[[#This Row],[Units (in 1000)]]&gt;$R$7,Копия_20206[[#This Row],[Units (in 1000)]]&lt;$R$6),"outlier","not outlier")</f>
        <v>not outlier</v>
      </c>
      <c r="K24" s="4" t="str">
        <f>IF(OR(Копия_20206[[#This Row],[Value (in 1000 rub)]]&gt;$S$7,Копия_20206[[#This Row],[Value (in 1000 rub)]]&lt;$S$6),"outlier","not outlier")</f>
        <v>not outlier</v>
      </c>
      <c r="L24" s="4" t="str">
        <f>IF(OR(Копия_20206[[#This Row],[Volume (in 1000 kg)]]&gt;$T$7,Копия_20206[[#This Row],[Volume (in 1000 kg)]]&lt;$T$6),"outlier","not outlier")</f>
        <v>not outlier</v>
      </c>
      <c r="M24" s="4" t="str">
        <f>IF(OR(Копия_20206[[#This Row],[Number of stores]]&gt;$U$7,Копия_20206[[#This Row],[Number of stores]]&lt;$U$6),"outlier","not outlier")</f>
        <v>not outlier</v>
      </c>
    </row>
    <row r="25" spans="1:13" x14ac:dyDescent="0.25">
      <c r="A25">
        <v>2020</v>
      </c>
      <c r="B25">
        <v>3</v>
      </c>
      <c r="C25" s="1" t="s">
        <v>29</v>
      </c>
      <c r="D25" s="1" t="s">
        <v>15</v>
      </c>
      <c r="E25" s="1" t="s">
        <v>12</v>
      </c>
      <c r="F25" s="5">
        <v>4.9756999999999998</v>
      </c>
      <c r="G25" s="5">
        <v>855.17175999999995</v>
      </c>
      <c r="H25" s="5">
        <v>2.2391000000000001</v>
      </c>
      <c r="I25">
        <v>1471</v>
      </c>
      <c r="J25" s="4" t="str">
        <f>IF(OR(Копия_20206[[#This Row],[Units (in 1000)]]&gt;$R$7,Копия_20206[[#This Row],[Units (in 1000)]]&lt;$R$6),"outlier","not outlier")</f>
        <v>not outlier</v>
      </c>
      <c r="K25" s="4" t="str">
        <f>IF(OR(Копия_20206[[#This Row],[Value (in 1000 rub)]]&gt;$S$7,Копия_20206[[#This Row],[Value (in 1000 rub)]]&lt;$S$6),"outlier","not outlier")</f>
        <v>not outlier</v>
      </c>
      <c r="L25" s="4" t="str">
        <f>IF(OR(Копия_20206[[#This Row],[Volume (in 1000 kg)]]&gt;$T$7,Копия_20206[[#This Row],[Volume (in 1000 kg)]]&lt;$T$6),"outlier","not outlier")</f>
        <v>not outlier</v>
      </c>
      <c r="M25" s="4" t="str">
        <f>IF(OR(Копия_20206[[#This Row],[Number of stores]]&gt;$U$7,Копия_20206[[#This Row],[Number of stores]]&lt;$U$6),"outlier","not outlier")</f>
        <v>not outlier</v>
      </c>
    </row>
    <row r="26" spans="1:13" x14ac:dyDescent="0.25">
      <c r="A26">
        <v>2020</v>
      </c>
      <c r="B26">
        <v>4</v>
      </c>
      <c r="C26" s="1" t="s">
        <v>8</v>
      </c>
      <c r="D26" s="1" t="s">
        <v>15</v>
      </c>
      <c r="E26" s="1" t="s">
        <v>10</v>
      </c>
      <c r="F26" s="5">
        <v>10.8278</v>
      </c>
      <c r="G26" s="5">
        <v>634.09897699999999</v>
      </c>
      <c r="H26" s="5">
        <v>2.4904000000000002</v>
      </c>
      <c r="I26">
        <v>482</v>
      </c>
      <c r="J26" s="4" t="str">
        <f>IF(OR(Копия_20206[[#This Row],[Units (in 1000)]]&gt;$R$7,Копия_20206[[#This Row],[Units (in 1000)]]&lt;$R$6),"outlier","not outlier")</f>
        <v>not outlier</v>
      </c>
      <c r="K26" s="4" t="str">
        <f>IF(OR(Копия_20206[[#This Row],[Value (in 1000 rub)]]&gt;$S$7,Копия_20206[[#This Row],[Value (in 1000 rub)]]&lt;$S$6),"outlier","not outlier")</f>
        <v>not outlier</v>
      </c>
      <c r="L26" s="4" t="str">
        <f>IF(OR(Копия_20206[[#This Row],[Volume (in 1000 kg)]]&gt;$T$7,Копия_20206[[#This Row],[Volume (in 1000 kg)]]&lt;$T$6),"outlier","not outlier")</f>
        <v>not outlier</v>
      </c>
      <c r="M26" s="4" t="str">
        <f>IF(OR(Копия_20206[[#This Row],[Number of stores]]&gt;$U$7,Копия_20206[[#This Row],[Number of stores]]&lt;$U$6),"outlier","not outlier")</f>
        <v>not outlier</v>
      </c>
    </row>
    <row r="27" spans="1:13" x14ac:dyDescent="0.25">
      <c r="A27">
        <v>2020</v>
      </c>
      <c r="B27">
        <v>4</v>
      </c>
      <c r="C27" s="1" t="s">
        <v>8</v>
      </c>
      <c r="D27" s="1" t="s">
        <v>15</v>
      </c>
      <c r="E27" s="1" t="s">
        <v>35</v>
      </c>
      <c r="F27" s="5">
        <v>1E-4</v>
      </c>
      <c r="G27" s="5">
        <v>7.0280000000000004E-3</v>
      </c>
      <c r="H27" s="4" t="s">
        <v>58</v>
      </c>
      <c r="I27">
        <v>0</v>
      </c>
      <c r="J27" s="4" t="str">
        <f>IF(OR(Копия_20206[[#This Row],[Units (in 1000)]]&gt;$R$7,Копия_20206[[#This Row],[Units (in 1000)]]&lt;$R$6),"outlier","not outlier")</f>
        <v>not outlier</v>
      </c>
      <c r="K27" s="4" t="str">
        <f>IF(OR(Копия_20206[[#This Row],[Value (in 1000 rub)]]&gt;$S$7,Копия_20206[[#This Row],[Value (in 1000 rub)]]&lt;$S$6),"outlier","not outlier")</f>
        <v>not outlier</v>
      </c>
      <c r="L27" s="4" t="str">
        <f>IF(OR(Копия_20206[[#This Row],[Volume (in 1000 kg)]]&gt;$T$7,Копия_20206[[#This Row],[Volume (in 1000 kg)]]&lt;$T$6),"outlier","not outlier")</f>
        <v>outlier</v>
      </c>
      <c r="M27" s="4" t="str">
        <f>IF(OR(Копия_20206[[#This Row],[Number of stores]]&gt;$U$7,Копия_20206[[#This Row],[Number of stores]]&lt;$U$6),"outlier","not outlier")</f>
        <v>not outlier</v>
      </c>
    </row>
    <row r="28" spans="1:13" x14ac:dyDescent="0.25">
      <c r="A28">
        <v>2020</v>
      </c>
      <c r="B28">
        <v>4</v>
      </c>
      <c r="C28" s="1" t="s">
        <v>8</v>
      </c>
      <c r="D28" s="1" t="s">
        <v>15</v>
      </c>
      <c r="E28" s="1" t="s">
        <v>12</v>
      </c>
      <c r="F28" s="5">
        <v>2.0152000000000001</v>
      </c>
      <c r="G28" s="5">
        <v>337.34259300000002</v>
      </c>
      <c r="H28" s="5">
        <v>0.90690000000000004</v>
      </c>
      <c r="I28">
        <v>302</v>
      </c>
      <c r="J28" s="4" t="str">
        <f>IF(OR(Копия_20206[[#This Row],[Units (in 1000)]]&gt;$R$7,Копия_20206[[#This Row],[Units (in 1000)]]&lt;$R$6),"outlier","not outlier")</f>
        <v>not outlier</v>
      </c>
      <c r="K28" s="4" t="str">
        <f>IF(OR(Копия_20206[[#This Row],[Value (in 1000 rub)]]&gt;$S$7,Копия_20206[[#This Row],[Value (in 1000 rub)]]&lt;$S$6),"outlier","not outlier")</f>
        <v>not outlier</v>
      </c>
      <c r="L28" s="4" t="str">
        <f>IF(OR(Копия_20206[[#This Row],[Volume (in 1000 kg)]]&gt;$T$7,Копия_20206[[#This Row],[Volume (in 1000 kg)]]&lt;$T$6),"outlier","not outlier")</f>
        <v>not outlier</v>
      </c>
      <c r="M28" s="4" t="str">
        <f>IF(OR(Копия_20206[[#This Row],[Number of stores]]&gt;$U$7,Копия_20206[[#This Row],[Number of stores]]&lt;$U$6),"outlier","not outlier")</f>
        <v>not outlier</v>
      </c>
    </row>
    <row r="29" spans="1:13" x14ac:dyDescent="0.25">
      <c r="A29">
        <v>2020</v>
      </c>
      <c r="B29">
        <v>4</v>
      </c>
      <c r="C29" s="1" t="s">
        <v>8</v>
      </c>
      <c r="D29" s="1" t="s">
        <v>15</v>
      </c>
      <c r="E29" s="1" t="s">
        <v>13</v>
      </c>
      <c r="F29" s="5">
        <v>1E-4</v>
      </c>
      <c r="G29" s="5">
        <v>1.6112000000000001E-2</v>
      </c>
      <c r="H29" s="5">
        <v>1E-4</v>
      </c>
      <c r="I29">
        <v>2</v>
      </c>
      <c r="J29" s="4" t="str">
        <f>IF(OR(Копия_20206[[#This Row],[Units (in 1000)]]&gt;$R$7,Копия_20206[[#This Row],[Units (in 1000)]]&lt;$R$6),"outlier","not outlier")</f>
        <v>not outlier</v>
      </c>
      <c r="K29" s="4" t="str">
        <f>IF(OR(Копия_20206[[#This Row],[Value (in 1000 rub)]]&gt;$S$7,Копия_20206[[#This Row],[Value (in 1000 rub)]]&lt;$S$6),"outlier","not outlier")</f>
        <v>not outlier</v>
      </c>
      <c r="L29" s="4" t="str">
        <f>IF(OR(Копия_20206[[#This Row],[Volume (in 1000 kg)]]&gt;$T$7,Копия_20206[[#This Row],[Volume (in 1000 kg)]]&lt;$T$6),"outlier","not outlier")</f>
        <v>not outlier</v>
      </c>
      <c r="M29" s="4" t="str">
        <f>IF(OR(Копия_20206[[#This Row],[Number of stores]]&gt;$U$7,Копия_20206[[#This Row],[Number of stores]]&lt;$U$6),"outlier","not outlier")</f>
        <v>not outlier</v>
      </c>
    </row>
    <row r="30" spans="1:13" x14ac:dyDescent="0.25">
      <c r="A30">
        <v>2020</v>
      </c>
      <c r="B30">
        <v>4</v>
      </c>
      <c r="C30" s="1" t="s">
        <v>25</v>
      </c>
      <c r="D30" s="1" t="s">
        <v>15</v>
      </c>
      <c r="E30" s="1" t="s">
        <v>10</v>
      </c>
      <c r="F30" s="5">
        <v>3.1583999999999999</v>
      </c>
      <c r="G30" s="5">
        <v>225.61309</v>
      </c>
      <c r="H30" s="5">
        <v>0.72640000000000005</v>
      </c>
      <c r="I30">
        <v>1774</v>
      </c>
      <c r="J30" s="4" t="str">
        <f>IF(OR(Копия_20206[[#This Row],[Units (in 1000)]]&gt;$R$7,Копия_20206[[#This Row],[Units (in 1000)]]&lt;$R$6),"outlier","not outlier")</f>
        <v>not outlier</v>
      </c>
      <c r="K30" s="4" t="str">
        <f>IF(OR(Копия_20206[[#This Row],[Value (in 1000 rub)]]&gt;$S$7,Копия_20206[[#This Row],[Value (in 1000 rub)]]&lt;$S$6),"outlier","not outlier")</f>
        <v>not outlier</v>
      </c>
      <c r="L30" s="4" t="str">
        <f>IF(OR(Копия_20206[[#This Row],[Volume (in 1000 kg)]]&gt;$T$7,Копия_20206[[#This Row],[Volume (in 1000 kg)]]&lt;$T$6),"outlier","not outlier")</f>
        <v>not outlier</v>
      </c>
      <c r="M30" s="4" t="str">
        <f>IF(OR(Копия_20206[[#This Row],[Number of stores]]&gt;$U$7,Копия_20206[[#This Row],[Number of stores]]&lt;$U$6),"outlier","not outlier")</f>
        <v>not outlier</v>
      </c>
    </row>
    <row r="31" spans="1:13" x14ac:dyDescent="0.25">
      <c r="A31">
        <v>2020</v>
      </c>
      <c r="B31">
        <v>4</v>
      </c>
      <c r="C31" s="1" t="s">
        <v>25</v>
      </c>
      <c r="D31" s="1" t="s">
        <v>15</v>
      </c>
      <c r="E31" s="1" t="s">
        <v>12</v>
      </c>
      <c r="F31" s="5">
        <v>1.2491000000000001</v>
      </c>
      <c r="G31" s="5">
        <v>242.389454</v>
      </c>
      <c r="H31" s="5">
        <v>0.56210000000000004</v>
      </c>
      <c r="I31">
        <v>580</v>
      </c>
      <c r="J31" s="4" t="str">
        <f>IF(OR(Копия_20206[[#This Row],[Units (in 1000)]]&gt;$R$7,Копия_20206[[#This Row],[Units (in 1000)]]&lt;$R$6),"outlier","not outlier")</f>
        <v>not outlier</v>
      </c>
      <c r="K31" s="4" t="str">
        <f>IF(OR(Копия_20206[[#This Row],[Value (in 1000 rub)]]&gt;$S$7,Копия_20206[[#This Row],[Value (in 1000 rub)]]&lt;$S$6),"outlier","not outlier")</f>
        <v>not outlier</v>
      </c>
      <c r="L31" s="4" t="str">
        <f>IF(OR(Копия_20206[[#This Row],[Volume (in 1000 kg)]]&gt;$T$7,Копия_20206[[#This Row],[Volume (in 1000 kg)]]&lt;$T$6),"outlier","not outlier")</f>
        <v>not outlier</v>
      </c>
      <c r="M31" s="4" t="str">
        <f>IF(OR(Копия_20206[[#This Row],[Number of stores]]&gt;$U$7,Копия_20206[[#This Row],[Number of stores]]&lt;$U$6),"outlier","not outlier")</f>
        <v>not outlier</v>
      </c>
    </row>
    <row r="32" spans="1:13" x14ac:dyDescent="0.25">
      <c r="A32">
        <v>2020</v>
      </c>
      <c r="B32">
        <v>4</v>
      </c>
      <c r="C32" s="1" t="s">
        <v>29</v>
      </c>
      <c r="D32" s="1" t="s">
        <v>15</v>
      </c>
      <c r="E32" s="1" t="s">
        <v>10</v>
      </c>
      <c r="F32" s="5">
        <v>4.8246000000000002</v>
      </c>
      <c r="G32" s="5">
        <v>343.43048499999998</v>
      </c>
      <c r="H32" s="5">
        <v>1.1095999999999999</v>
      </c>
      <c r="I32">
        <v>1399</v>
      </c>
      <c r="J32" s="4" t="str">
        <f>IF(OR(Копия_20206[[#This Row],[Units (in 1000)]]&gt;$R$7,Копия_20206[[#This Row],[Units (in 1000)]]&lt;$R$6),"outlier","not outlier")</f>
        <v>not outlier</v>
      </c>
      <c r="K32" s="4" t="str">
        <f>IF(OR(Копия_20206[[#This Row],[Value (in 1000 rub)]]&gt;$S$7,Копия_20206[[#This Row],[Value (in 1000 rub)]]&lt;$S$6),"outlier","not outlier")</f>
        <v>not outlier</v>
      </c>
      <c r="L32" s="4" t="str">
        <f>IF(OR(Копия_20206[[#This Row],[Volume (in 1000 kg)]]&gt;$T$7,Копия_20206[[#This Row],[Volume (in 1000 kg)]]&lt;$T$6),"outlier","not outlier")</f>
        <v>not outlier</v>
      </c>
      <c r="M32" s="4" t="str">
        <f>IF(OR(Копия_20206[[#This Row],[Number of stores]]&gt;$U$7,Копия_20206[[#This Row],[Number of stores]]&lt;$U$6),"outlier","not outlier")</f>
        <v>not outlier</v>
      </c>
    </row>
    <row r="33" spans="1:13" x14ac:dyDescent="0.25">
      <c r="A33">
        <v>2020</v>
      </c>
      <c r="B33">
        <v>4</v>
      </c>
      <c r="C33" s="1" t="s">
        <v>29</v>
      </c>
      <c r="D33" s="1" t="s">
        <v>15</v>
      </c>
      <c r="E33" s="1" t="s">
        <v>12</v>
      </c>
      <c r="F33" s="5">
        <v>3.4998</v>
      </c>
      <c r="G33" s="5">
        <v>654.63754700000004</v>
      </c>
      <c r="H33" s="5">
        <v>1.5748</v>
      </c>
      <c r="I33">
        <v>1473</v>
      </c>
      <c r="J33" s="4" t="str">
        <f>IF(OR(Копия_20206[[#This Row],[Units (in 1000)]]&gt;$R$7,Копия_20206[[#This Row],[Units (in 1000)]]&lt;$R$6),"outlier","not outlier")</f>
        <v>not outlier</v>
      </c>
      <c r="K33" s="4" t="str">
        <f>IF(OR(Копия_20206[[#This Row],[Value (in 1000 rub)]]&gt;$S$7,Копия_20206[[#This Row],[Value (in 1000 rub)]]&lt;$S$6),"outlier","not outlier")</f>
        <v>not outlier</v>
      </c>
      <c r="L33" s="4" t="str">
        <f>IF(OR(Копия_20206[[#This Row],[Volume (in 1000 kg)]]&gt;$T$7,Копия_20206[[#This Row],[Volume (in 1000 kg)]]&lt;$T$6),"outlier","not outlier")</f>
        <v>not outlier</v>
      </c>
      <c r="M33" s="4" t="str">
        <f>IF(OR(Копия_20206[[#This Row],[Number of stores]]&gt;$U$7,Копия_20206[[#This Row],[Number of stores]]&lt;$U$6),"outlier","not outlier")</f>
        <v>not outlier</v>
      </c>
    </row>
    <row r="34" spans="1:13" x14ac:dyDescent="0.25">
      <c r="A34">
        <v>2020</v>
      </c>
      <c r="B34">
        <v>5</v>
      </c>
      <c r="C34" s="1" t="s">
        <v>8</v>
      </c>
      <c r="D34" s="1" t="s">
        <v>15</v>
      </c>
      <c r="E34" s="1" t="s">
        <v>10</v>
      </c>
      <c r="F34" s="5">
        <v>12.0351</v>
      </c>
      <c r="G34" s="5">
        <v>665.216812</v>
      </c>
      <c r="H34" s="5">
        <v>2.7681</v>
      </c>
      <c r="I34">
        <v>478</v>
      </c>
      <c r="J34" s="4" t="str">
        <f>IF(OR(Копия_20206[[#This Row],[Units (in 1000)]]&gt;$R$7,Копия_20206[[#This Row],[Units (in 1000)]]&lt;$R$6),"outlier","not outlier")</f>
        <v>not outlier</v>
      </c>
      <c r="K34" s="4" t="str">
        <f>IF(OR(Копия_20206[[#This Row],[Value (in 1000 rub)]]&gt;$S$7,Копия_20206[[#This Row],[Value (in 1000 rub)]]&lt;$S$6),"outlier","not outlier")</f>
        <v>not outlier</v>
      </c>
      <c r="L34" s="4" t="str">
        <f>IF(OR(Копия_20206[[#This Row],[Volume (in 1000 kg)]]&gt;$T$7,Копия_20206[[#This Row],[Volume (in 1000 kg)]]&lt;$T$6),"outlier","not outlier")</f>
        <v>not outlier</v>
      </c>
      <c r="M34" s="4" t="str">
        <f>IF(OR(Копия_20206[[#This Row],[Number of stores]]&gt;$U$7,Копия_20206[[#This Row],[Number of stores]]&lt;$U$6),"outlier","not outlier")</f>
        <v>not outlier</v>
      </c>
    </row>
    <row r="35" spans="1:13" x14ac:dyDescent="0.25">
      <c r="A35">
        <v>2020</v>
      </c>
      <c r="B35">
        <v>5</v>
      </c>
      <c r="C35" s="1" t="s">
        <v>8</v>
      </c>
      <c r="D35" s="1" t="s">
        <v>15</v>
      </c>
      <c r="E35" s="1" t="s">
        <v>12</v>
      </c>
      <c r="F35" s="5">
        <v>1.8037000000000001</v>
      </c>
      <c r="G35" s="5">
        <v>280.36658499999999</v>
      </c>
      <c r="H35" s="5">
        <v>0.81169999999999998</v>
      </c>
      <c r="I35">
        <v>285</v>
      </c>
      <c r="J35" s="4" t="str">
        <f>IF(OR(Копия_20206[[#This Row],[Units (in 1000)]]&gt;$R$7,Копия_20206[[#This Row],[Units (in 1000)]]&lt;$R$6),"outlier","not outlier")</f>
        <v>not outlier</v>
      </c>
      <c r="K35" s="4" t="str">
        <f>IF(OR(Копия_20206[[#This Row],[Value (in 1000 rub)]]&gt;$S$7,Копия_20206[[#This Row],[Value (in 1000 rub)]]&lt;$S$6),"outlier","not outlier")</f>
        <v>not outlier</v>
      </c>
      <c r="L35" s="4" t="str">
        <f>IF(OR(Копия_20206[[#This Row],[Volume (in 1000 kg)]]&gt;$T$7,Копия_20206[[#This Row],[Volume (in 1000 kg)]]&lt;$T$6),"outlier","not outlier")</f>
        <v>not outlier</v>
      </c>
      <c r="M35" s="4" t="str">
        <f>IF(OR(Копия_20206[[#This Row],[Number of stores]]&gt;$U$7,Копия_20206[[#This Row],[Number of stores]]&lt;$U$6),"outlier","not outlier")</f>
        <v>not outlier</v>
      </c>
    </row>
    <row r="36" spans="1:13" x14ac:dyDescent="0.25">
      <c r="A36">
        <v>2020</v>
      </c>
      <c r="B36">
        <v>5</v>
      </c>
      <c r="C36" s="1" t="s">
        <v>25</v>
      </c>
      <c r="D36" s="1" t="s">
        <v>15</v>
      </c>
      <c r="E36" s="1" t="s">
        <v>10</v>
      </c>
      <c r="F36" s="5">
        <v>3.7982</v>
      </c>
      <c r="G36" s="5">
        <v>283.98974800000002</v>
      </c>
      <c r="H36" s="5">
        <v>0.87360000000000004</v>
      </c>
      <c r="I36">
        <v>1569</v>
      </c>
      <c r="J36" s="4" t="str">
        <f>IF(OR(Копия_20206[[#This Row],[Units (in 1000)]]&gt;$R$7,Копия_20206[[#This Row],[Units (in 1000)]]&lt;$R$6),"outlier","not outlier")</f>
        <v>not outlier</v>
      </c>
      <c r="K36" s="4" t="str">
        <f>IF(OR(Копия_20206[[#This Row],[Value (in 1000 rub)]]&gt;$S$7,Копия_20206[[#This Row],[Value (in 1000 rub)]]&lt;$S$6),"outlier","not outlier")</f>
        <v>not outlier</v>
      </c>
      <c r="L36" s="4" t="str">
        <f>IF(OR(Копия_20206[[#This Row],[Volume (in 1000 kg)]]&gt;$T$7,Копия_20206[[#This Row],[Volume (in 1000 kg)]]&lt;$T$6),"outlier","not outlier")</f>
        <v>not outlier</v>
      </c>
      <c r="M36" s="4" t="str">
        <f>IF(OR(Копия_20206[[#This Row],[Number of stores]]&gt;$U$7,Копия_20206[[#This Row],[Number of stores]]&lt;$U$6),"outlier","not outlier")</f>
        <v>not outlier</v>
      </c>
    </row>
    <row r="37" spans="1:13" x14ac:dyDescent="0.25">
      <c r="A37">
        <v>2020</v>
      </c>
      <c r="B37">
        <v>5</v>
      </c>
      <c r="C37" s="1" t="s">
        <v>25</v>
      </c>
      <c r="D37" s="1" t="s">
        <v>15</v>
      </c>
      <c r="E37" s="1" t="s">
        <v>12</v>
      </c>
      <c r="F37" s="5">
        <v>0.60529999999999995</v>
      </c>
      <c r="G37" s="5">
        <v>112.811286</v>
      </c>
      <c r="H37" s="5">
        <v>0.27239999999999998</v>
      </c>
      <c r="I37">
        <v>330</v>
      </c>
      <c r="J37" s="4" t="str">
        <f>IF(OR(Копия_20206[[#This Row],[Units (in 1000)]]&gt;$R$7,Копия_20206[[#This Row],[Units (in 1000)]]&lt;$R$6),"outlier","not outlier")</f>
        <v>not outlier</v>
      </c>
      <c r="K37" s="4" t="str">
        <f>IF(OR(Копия_20206[[#This Row],[Value (in 1000 rub)]]&gt;$S$7,Копия_20206[[#This Row],[Value (in 1000 rub)]]&lt;$S$6),"outlier","not outlier")</f>
        <v>not outlier</v>
      </c>
      <c r="L37" s="4" t="str">
        <f>IF(OR(Копия_20206[[#This Row],[Volume (in 1000 kg)]]&gt;$T$7,Копия_20206[[#This Row],[Volume (in 1000 kg)]]&lt;$T$6),"outlier","not outlier")</f>
        <v>not outlier</v>
      </c>
      <c r="M37" s="4" t="str">
        <f>IF(OR(Копия_20206[[#This Row],[Number of stores]]&gt;$U$7,Копия_20206[[#This Row],[Number of stores]]&lt;$U$6),"outlier","not outlier")</f>
        <v>not outlier</v>
      </c>
    </row>
    <row r="38" spans="1:13" x14ac:dyDescent="0.25">
      <c r="A38">
        <v>2020</v>
      </c>
      <c r="B38">
        <v>5</v>
      </c>
      <c r="C38" s="1" t="s">
        <v>29</v>
      </c>
      <c r="D38" s="1" t="s">
        <v>15</v>
      </c>
      <c r="E38" s="1" t="s">
        <v>10</v>
      </c>
      <c r="F38" s="5">
        <v>8.3301999999999996</v>
      </c>
      <c r="G38" s="5">
        <v>493.35294499999998</v>
      </c>
      <c r="H38" s="5">
        <v>1.9158999999999999</v>
      </c>
      <c r="I38">
        <v>1621</v>
      </c>
      <c r="J38" s="4" t="str">
        <f>IF(OR(Копия_20206[[#This Row],[Units (in 1000)]]&gt;$R$7,Копия_20206[[#This Row],[Units (in 1000)]]&lt;$R$6),"outlier","not outlier")</f>
        <v>not outlier</v>
      </c>
      <c r="K38" s="4" t="str">
        <f>IF(OR(Копия_20206[[#This Row],[Value (in 1000 rub)]]&gt;$S$7,Копия_20206[[#This Row],[Value (in 1000 rub)]]&lt;$S$6),"outlier","not outlier")</f>
        <v>not outlier</v>
      </c>
      <c r="L38" s="4" t="str">
        <f>IF(OR(Копия_20206[[#This Row],[Volume (in 1000 kg)]]&gt;$T$7,Копия_20206[[#This Row],[Volume (in 1000 kg)]]&lt;$T$6),"outlier","not outlier")</f>
        <v>not outlier</v>
      </c>
      <c r="M38" s="4" t="str">
        <f>IF(OR(Копия_20206[[#This Row],[Number of stores]]&gt;$U$7,Копия_20206[[#This Row],[Number of stores]]&lt;$U$6),"outlier","not outlier")</f>
        <v>not outlier</v>
      </c>
    </row>
    <row r="39" spans="1:13" x14ac:dyDescent="0.25">
      <c r="A39">
        <v>2020</v>
      </c>
      <c r="B39">
        <v>5</v>
      </c>
      <c r="C39" s="1" t="s">
        <v>29</v>
      </c>
      <c r="D39" s="1" t="s">
        <v>15</v>
      </c>
      <c r="E39" s="1" t="s">
        <v>12</v>
      </c>
      <c r="F39" s="5">
        <v>3.6335999999999999</v>
      </c>
      <c r="G39" s="5">
        <v>655.26460299999997</v>
      </c>
      <c r="H39" s="5">
        <v>1.6351</v>
      </c>
      <c r="I39">
        <v>1225</v>
      </c>
      <c r="J39" s="4" t="str">
        <f>IF(OR(Копия_20206[[#This Row],[Units (in 1000)]]&gt;$R$7,Копия_20206[[#This Row],[Units (in 1000)]]&lt;$R$6),"outlier","not outlier")</f>
        <v>not outlier</v>
      </c>
      <c r="K39" s="4" t="str">
        <f>IF(OR(Копия_20206[[#This Row],[Value (in 1000 rub)]]&gt;$S$7,Копия_20206[[#This Row],[Value (in 1000 rub)]]&lt;$S$6),"outlier","not outlier")</f>
        <v>not outlier</v>
      </c>
      <c r="L39" s="4" t="str">
        <f>IF(OR(Копия_20206[[#This Row],[Volume (in 1000 kg)]]&gt;$T$7,Копия_20206[[#This Row],[Volume (in 1000 kg)]]&lt;$T$6),"outlier","not outlier")</f>
        <v>not outlier</v>
      </c>
      <c r="M39" s="4" t="str">
        <f>IF(OR(Копия_20206[[#This Row],[Number of stores]]&gt;$U$7,Копия_20206[[#This Row],[Number of stores]]&lt;$U$6),"outlier","not outlier")</f>
        <v>not outlier</v>
      </c>
    </row>
    <row r="40" spans="1:13" x14ac:dyDescent="0.25">
      <c r="A40">
        <v>2020</v>
      </c>
      <c r="B40">
        <v>6</v>
      </c>
      <c r="C40" s="1" t="s">
        <v>8</v>
      </c>
      <c r="D40" s="1" t="s">
        <v>15</v>
      </c>
      <c r="E40" s="1" t="s">
        <v>10</v>
      </c>
      <c r="F40" s="5">
        <v>10.7218</v>
      </c>
      <c r="G40" s="5">
        <v>622.22899800000005</v>
      </c>
      <c r="H40" s="5">
        <v>2.4661</v>
      </c>
      <c r="I40">
        <v>490</v>
      </c>
      <c r="J40" s="4" t="str">
        <f>IF(OR(Копия_20206[[#This Row],[Units (in 1000)]]&gt;$R$7,Копия_20206[[#This Row],[Units (in 1000)]]&lt;$R$6),"outlier","not outlier")</f>
        <v>not outlier</v>
      </c>
      <c r="K40" s="4" t="str">
        <f>IF(OR(Копия_20206[[#This Row],[Value (in 1000 rub)]]&gt;$S$7,Копия_20206[[#This Row],[Value (in 1000 rub)]]&lt;$S$6),"outlier","not outlier")</f>
        <v>not outlier</v>
      </c>
      <c r="L40" s="4" t="str">
        <f>IF(OR(Копия_20206[[#This Row],[Volume (in 1000 kg)]]&gt;$T$7,Копия_20206[[#This Row],[Volume (in 1000 kg)]]&lt;$T$6),"outlier","not outlier")</f>
        <v>not outlier</v>
      </c>
      <c r="M40" s="4" t="str">
        <f>IF(OR(Копия_20206[[#This Row],[Number of stores]]&gt;$U$7,Копия_20206[[#This Row],[Number of stores]]&lt;$U$6),"outlier","not outlier")</f>
        <v>not outlier</v>
      </c>
    </row>
    <row r="41" spans="1:13" x14ac:dyDescent="0.25">
      <c r="A41">
        <v>2020</v>
      </c>
      <c r="B41">
        <v>6</v>
      </c>
      <c r="C41" s="1" t="s">
        <v>8</v>
      </c>
      <c r="D41" s="1" t="s">
        <v>15</v>
      </c>
      <c r="E41" s="1" t="s">
        <v>12</v>
      </c>
      <c r="F41" s="5">
        <v>1.0215000000000001</v>
      </c>
      <c r="G41" s="5">
        <v>160.39298400000001</v>
      </c>
      <c r="H41" s="5">
        <v>0.4597</v>
      </c>
      <c r="I41">
        <v>222</v>
      </c>
      <c r="J41" s="4" t="str">
        <f>IF(OR(Копия_20206[[#This Row],[Units (in 1000)]]&gt;$R$7,Копия_20206[[#This Row],[Units (in 1000)]]&lt;$R$6),"outlier","not outlier")</f>
        <v>not outlier</v>
      </c>
      <c r="K41" s="4" t="str">
        <f>IF(OR(Копия_20206[[#This Row],[Value (in 1000 rub)]]&gt;$S$7,Копия_20206[[#This Row],[Value (in 1000 rub)]]&lt;$S$6),"outlier","not outlier")</f>
        <v>not outlier</v>
      </c>
      <c r="L41" s="4" t="str">
        <f>IF(OR(Копия_20206[[#This Row],[Volume (in 1000 kg)]]&gt;$T$7,Копия_20206[[#This Row],[Volume (in 1000 kg)]]&lt;$T$6),"outlier","not outlier")</f>
        <v>not outlier</v>
      </c>
      <c r="M41" s="4" t="str">
        <f>IF(OR(Копия_20206[[#This Row],[Number of stores]]&gt;$U$7,Копия_20206[[#This Row],[Number of stores]]&lt;$U$6),"outlier","not outlier")</f>
        <v>not outlier</v>
      </c>
    </row>
    <row r="42" spans="1:13" x14ac:dyDescent="0.25">
      <c r="A42">
        <v>2020</v>
      </c>
      <c r="B42">
        <v>6</v>
      </c>
      <c r="C42" s="1" t="s">
        <v>25</v>
      </c>
      <c r="D42" s="1" t="s">
        <v>15</v>
      </c>
      <c r="E42" s="1" t="s">
        <v>10</v>
      </c>
      <c r="F42" s="5">
        <v>3.3243999999999998</v>
      </c>
      <c r="G42" s="5">
        <v>262.77419300000003</v>
      </c>
      <c r="H42" s="5">
        <v>0.76459999999999995</v>
      </c>
      <c r="I42">
        <v>1783</v>
      </c>
      <c r="J42" s="4" t="str">
        <f>IF(OR(Копия_20206[[#This Row],[Units (in 1000)]]&gt;$R$7,Копия_20206[[#This Row],[Units (in 1000)]]&lt;$R$6),"outlier","not outlier")</f>
        <v>not outlier</v>
      </c>
      <c r="K42" s="4" t="str">
        <f>IF(OR(Копия_20206[[#This Row],[Value (in 1000 rub)]]&gt;$S$7,Копия_20206[[#This Row],[Value (in 1000 rub)]]&lt;$S$6),"outlier","not outlier")</f>
        <v>not outlier</v>
      </c>
      <c r="L42" s="4" t="str">
        <f>IF(OR(Копия_20206[[#This Row],[Volume (in 1000 kg)]]&gt;$T$7,Копия_20206[[#This Row],[Volume (in 1000 kg)]]&lt;$T$6),"outlier","not outlier")</f>
        <v>not outlier</v>
      </c>
      <c r="M42" s="4" t="str">
        <f>IF(OR(Копия_20206[[#This Row],[Number of stores]]&gt;$U$7,Копия_20206[[#This Row],[Number of stores]]&lt;$U$6),"outlier","not outlier")</f>
        <v>not outlier</v>
      </c>
    </row>
    <row r="43" spans="1:13" x14ac:dyDescent="0.25">
      <c r="A43">
        <v>2020</v>
      </c>
      <c r="B43">
        <v>6</v>
      </c>
      <c r="C43" s="1" t="s">
        <v>25</v>
      </c>
      <c r="D43" s="1" t="s">
        <v>15</v>
      </c>
      <c r="E43" s="1" t="s">
        <v>12</v>
      </c>
      <c r="F43" s="5">
        <v>0.58250000000000002</v>
      </c>
      <c r="G43" s="5">
        <v>119.82169399999999</v>
      </c>
      <c r="H43" s="5">
        <v>0.2621</v>
      </c>
      <c r="I43">
        <v>235</v>
      </c>
      <c r="J43" s="4" t="str">
        <f>IF(OR(Копия_20206[[#This Row],[Units (in 1000)]]&gt;$R$7,Копия_20206[[#This Row],[Units (in 1000)]]&lt;$R$6),"outlier","not outlier")</f>
        <v>not outlier</v>
      </c>
      <c r="K43" s="4" t="str">
        <f>IF(OR(Копия_20206[[#This Row],[Value (in 1000 rub)]]&gt;$S$7,Копия_20206[[#This Row],[Value (in 1000 rub)]]&lt;$S$6),"outlier","not outlier")</f>
        <v>not outlier</v>
      </c>
      <c r="L43" s="4" t="str">
        <f>IF(OR(Копия_20206[[#This Row],[Volume (in 1000 kg)]]&gt;$T$7,Копия_20206[[#This Row],[Volume (in 1000 kg)]]&lt;$T$6),"outlier","not outlier")</f>
        <v>not outlier</v>
      </c>
      <c r="M43" s="4" t="str">
        <f>IF(OR(Копия_20206[[#This Row],[Number of stores]]&gt;$U$7,Копия_20206[[#This Row],[Number of stores]]&lt;$U$6),"outlier","not outlier")</f>
        <v>not outlier</v>
      </c>
    </row>
    <row r="44" spans="1:13" x14ac:dyDescent="0.25">
      <c r="A44">
        <v>2020</v>
      </c>
      <c r="B44">
        <v>6</v>
      </c>
      <c r="C44" s="1" t="s">
        <v>29</v>
      </c>
      <c r="D44" s="1" t="s">
        <v>15</v>
      </c>
      <c r="E44" s="1" t="s">
        <v>10</v>
      </c>
      <c r="F44" s="5">
        <v>4.3128000000000002</v>
      </c>
      <c r="G44" s="5">
        <v>302.101449</v>
      </c>
      <c r="H44" s="5">
        <v>0.9919</v>
      </c>
      <c r="I44">
        <v>1587</v>
      </c>
      <c r="J44" s="4" t="str">
        <f>IF(OR(Копия_20206[[#This Row],[Units (in 1000)]]&gt;$R$7,Копия_20206[[#This Row],[Units (in 1000)]]&lt;$R$6),"outlier","not outlier")</f>
        <v>not outlier</v>
      </c>
      <c r="K44" s="4" t="str">
        <f>IF(OR(Копия_20206[[#This Row],[Value (in 1000 rub)]]&gt;$S$7,Копия_20206[[#This Row],[Value (in 1000 rub)]]&lt;$S$6),"outlier","not outlier")</f>
        <v>not outlier</v>
      </c>
      <c r="L44" s="4" t="str">
        <f>IF(OR(Копия_20206[[#This Row],[Volume (in 1000 kg)]]&gt;$T$7,Копия_20206[[#This Row],[Volume (in 1000 kg)]]&lt;$T$6),"outlier","not outlier")</f>
        <v>not outlier</v>
      </c>
      <c r="M44" s="4" t="str">
        <f>IF(OR(Копия_20206[[#This Row],[Number of stores]]&gt;$U$7,Копия_20206[[#This Row],[Number of stores]]&lt;$U$6),"outlier","not outlier")</f>
        <v>not outlier</v>
      </c>
    </row>
    <row r="45" spans="1:13" x14ac:dyDescent="0.25">
      <c r="A45">
        <v>2020</v>
      </c>
      <c r="B45">
        <v>6</v>
      </c>
      <c r="C45" s="1" t="s">
        <v>29</v>
      </c>
      <c r="D45" s="1" t="s">
        <v>15</v>
      </c>
      <c r="E45" s="1" t="s">
        <v>12</v>
      </c>
      <c r="F45" s="5">
        <v>3.1105</v>
      </c>
      <c r="G45" s="5">
        <v>565.05665799999997</v>
      </c>
      <c r="H45" s="5">
        <v>1.3996999999999999</v>
      </c>
      <c r="I45">
        <v>1088</v>
      </c>
      <c r="J45" s="4" t="str">
        <f>IF(OR(Копия_20206[[#This Row],[Units (in 1000)]]&gt;$R$7,Копия_20206[[#This Row],[Units (in 1000)]]&lt;$R$6),"outlier","not outlier")</f>
        <v>not outlier</v>
      </c>
      <c r="K45" s="4" t="str">
        <f>IF(OR(Копия_20206[[#This Row],[Value (in 1000 rub)]]&gt;$S$7,Копия_20206[[#This Row],[Value (in 1000 rub)]]&lt;$S$6),"outlier","not outlier")</f>
        <v>not outlier</v>
      </c>
      <c r="L45" s="4" t="str">
        <f>IF(OR(Копия_20206[[#This Row],[Volume (in 1000 kg)]]&gt;$T$7,Копия_20206[[#This Row],[Volume (in 1000 kg)]]&lt;$T$6),"outlier","not outlier")</f>
        <v>not outlier</v>
      </c>
      <c r="M45" s="4" t="str">
        <f>IF(OR(Копия_20206[[#This Row],[Number of stores]]&gt;$U$7,Копия_20206[[#This Row],[Number of stores]]&lt;$U$6),"outlier","not outlier")</f>
        <v>not outlier</v>
      </c>
    </row>
    <row r="46" spans="1:13" x14ac:dyDescent="0.25">
      <c r="A46">
        <v>2020</v>
      </c>
      <c r="B46">
        <v>7</v>
      </c>
      <c r="C46" s="1" t="s">
        <v>8</v>
      </c>
      <c r="D46" s="1" t="s">
        <v>15</v>
      </c>
      <c r="E46" s="1" t="s">
        <v>10</v>
      </c>
      <c r="F46" s="5">
        <v>7.9988000000000001</v>
      </c>
      <c r="G46" s="5">
        <v>472.15317099999999</v>
      </c>
      <c r="H46" s="5">
        <v>1.8396999999999999</v>
      </c>
      <c r="I46">
        <v>475</v>
      </c>
      <c r="J46" s="4" t="str">
        <f>IF(OR(Копия_20206[[#This Row],[Units (in 1000)]]&gt;$R$7,Копия_20206[[#This Row],[Units (in 1000)]]&lt;$R$6),"outlier","not outlier")</f>
        <v>not outlier</v>
      </c>
      <c r="K46" s="4" t="str">
        <f>IF(OR(Копия_20206[[#This Row],[Value (in 1000 rub)]]&gt;$S$7,Копия_20206[[#This Row],[Value (in 1000 rub)]]&lt;$S$6),"outlier","not outlier")</f>
        <v>not outlier</v>
      </c>
      <c r="L46" s="4" t="str">
        <f>IF(OR(Копия_20206[[#This Row],[Volume (in 1000 kg)]]&gt;$T$7,Копия_20206[[#This Row],[Volume (in 1000 kg)]]&lt;$T$6),"outlier","not outlier")</f>
        <v>not outlier</v>
      </c>
      <c r="M46" s="4" t="str">
        <f>IF(OR(Копия_20206[[#This Row],[Number of stores]]&gt;$U$7,Копия_20206[[#This Row],[Number of stores]]&lt;$U$6),"outlier","not outlier")</f>
        <v>not outlier</v>
      </c>
    </row>
    <row r="47" spans="1:13" x14ac:dyDescent="0.25">
      <c r="A47">
        <v>2020</v>
      </c>
      <c r="B47">
        <v>7</v>
      </c>
      <c r="C47" s="1" t="s">
        <v>8</v>
      </c>
      <c r="D47" s="1" t="s">
        <v>15</v>
      </c>
      <c r="E47" s="1" t="s">
        <v>12</v>
      </c>
      <c r="F47" s="5">
        <v>0.70979999999999999</v>
      </c>
      <c r="G47" s="5">
        <v>116.37331399999999</v>
      </c>
      <c r="H47" s="5">
        <v>0.31940000000000002</v>
      </c>
      <c r="I47">
        <v>166</v>
      </c>
      <c r="J47" s="4" t="str">
        <f>IF(OR(Копия_20206[[#This Row],[Units (in 1000)]]&gt;$R$7,Копия_20206[[#This Row],[Units (in 1000)]]&lt;$R$6),"outlier","not outlier")</f>
        <v>not outlier</v>
      </c>
      <c r="K47" s="4" t="str">
        <f>IF(OR(Копия_20206[[#This Row],[Value (in 1000 rub)]]&gt;$S$7,Копия_20206[[#This Row],[Value (in 1000 rub)]]&lt;$S$6),"outlier","not outlier")</f>
        <v>not outlier</v>
      </c>
      <c r="L47" s="4" t="str">
        <f>IF(OR(Копия_20206[[#This Row],[Volume (in 1000 kg)]]&gt;$T$7,Копия_20206[[#This Row],[Volume (in 1000 kg)]]&lt;$T$6),"outlier","not outlier")</f>
        <v>not outlier</v>
      </c>
      <c r="M47" s="4" t="str">
        <f>IF(OR(Копия_20206[[#This Row],[Number of stores]]&gt;$U$7,Копия_20206[[#This Row],[Number of stores]]&lt;$U$6),"outlier","not outlier")</f>
        <v>not outlier</v>
      </c>
    </row>
    <row r="48" spans="1:13" x14ac:dyDescent="0.25">
      <c r="A48">
        <v>2020</v>
      </c>
      <c r="B48">
        <v>7</v>
      </c>
      <c r="C48" s="1" t="s">
        <v>25</v>
      </c>
      <c r="D48" s="1" t="s">
        <v>15</v>
      </c>
      <c r="E48" s="1" t="s">
        <v>10</v>
      </c>
      <c r="F48" s="5">
        <v>2.8536999999999999</v>
      </c>
      <c r="G48" s="5">
        <v>235.936746</v>
      </c>
      <c r="H48" s="5">
        <v>0.65639999999999998</v>
      </c>
      <c r="I48">
        <v>1216</v>
      </c>
      <c r="J48" s="4" t="str">
        <f>IF(OR(Копия_20206[[#This Row],[Units (in 1000)]]&gt;$R$7,Копия_20206[[#This Row],[Units (in 1000)]]&lt;$R$6),"outlier","not outlier")</f>
        <v>not outlier</v>
      </c>
      <c r="K48" s="4" t="str">
        <f>IF(OR(Копия_20206[[#This Row],[Value (in 1000 rub)]]&gt;$S$7,Копия_20206[[#This Row],[Value (in 1000 rub)]]&lt;$S$6),"outlier","not outlier")</f>
        <v>not outlier</v>
      </c>
      <c r="L48" s="4" t="str">
        <f>IF(OR(Копия_20206[[#This Row],[Volume (in 1000 kg)]]&gt;$T$7,Копия_20206[[#This Row],[Volume (in 1000 kg)]]&lt;$T$6),"outlier","not outlier")</f>
        <v>not outlier</v>
      </c>
      <c r="M48" s="4" t="str">
        <f>IF(OR(Копия_20206[[#This Row],[Number of stores]]&gt;$U$7,Копия_20206[[#This Row],[Number of stores]]&lt;$U$6),"outlier","not outlier")</f>
        <v>not outlier</v>
      </c>
    </row>
    <row r="49" spans="1:13" x14ac:dyDescent="0.25">
      <c r="A49">
        <v>2020</v>
      </c>
      <c r="B49">
        <v>7</v>
      </c>
      <c r="C49" s="1" t="s">
        <v>25</v>
      </c>
      <c r="D49" s="1" t="s">
        <v>15</v>
      </c>
      <c r="E49" s="1" t="s">
        <v>12</v>
      </c>
      <c r="F49" s="5">
        <v>1.1923999999999999</v>
      </c>
      <c r="G49" s="5">
        <v>193.56644</v>
      </c>
      <c r="H49" s="5">
        <v>0.53659999999999997</v>
      </c>
      <c r="I49">
        <v>292</v>
      </c>
      <c r="J49" s="4" t="str">
        <f>IF(OR(Копия_20206[[#This Row],[Units (in 1000)]]&gt;$R$7,Копия_20206[[#This Row],[Units (in 1000)]]&lt;$R$6),"outlier","not outlier")</f>
        <v>not outlier</v>
      </c>
      <c r="K49" s="4" t="str">
        <f>IF(OR(Копия_20206[[#This Row],[Value (in 1000 rub)]]&gt;$S$7,Копия_20206[[#This Row],[Value (in 1000 rub)]]&lt;$S$6),"outlier","not outlier")</f>
        <v>not outlier</v>
      </c>
      <c r="L49" s="4" t="str">
        <f>IF(OR(Копия_20206[[#This Row],[Volume (in 1000 kg)]]&gt;$T$7,Копия_20206[[#This Row],[Volume (in 1000 kg)]]&lt;$T$6),"outlier","not outlier")</f>
        <v>not outlier</v>
      </c>
      <c r="M49" s="4" t="str">
        <f>IF(OR(Копия_20206[[#This Row],[Number of stores]]&gt;$U$7,Копия_20206[[#This Row],[Number of stores]]&lt;$U$6),"outlier","not outlier")</f>
        <v>not outlier</v>
      </c>
    </row>
    <row r="50" spans="1:13" x14ac:dyDescent="0.25">
      <c r="A50">
        <v>2020</v>
      </c>
      <c r="B50">
        <v>7</v>
      </c>
      <c r="C50" s="1" t="s">
        <v>29</v>
      </c>
      <c r="D50" s="1" t="s">
        <v>15</v>
      </c>
      <c r="E50" s="1" t="s">
        <v>10</v>
      </c>
      <c r="F50" s="5">
        <v>8.3302999999999994</v>
      </c>
      <c r="G50" s="5">
        <v>521.91700200000002</v>
      </c>
      <c r="H50" s="5">
        <v>1.9159999999999999</v>
      </c>
      <c r="I50">
        <v>1689</v>
      </c>
      <c r="J50" s="4" t="str">
        <f>IF(OR(Копия_20206[[#This Row],[Units (in 1000)]]&gt;$R$7,Копия_20206[[#This Row],[Units (in 1000)]]&lt;$R$6),"outlier","not outlier")</f>
        <v>not outlier</v>
      </c>
      <c r="K50" s="4" t="str">
        <f>IF(OR(Копия_20206[[#This Row],[Value (in 1000 rub)]]&gt;$S$7,Копия_20206[[#This Row],[Value (in 1000 rub)]]&lt;$S$6),"outlier","not outlier")</f>
        <v>not outlier</v>
      </c>
      <c r="L50" s="4" t="str">
        <f>IF(OR(Копия_20206[[#This Row],[Volume (in 1000 kg)]]&gt;$T$7,Копия_20206[[#This Row],[Volume (in 1000 kg)]]&lt;$T$6),"outlier","not outlier")</f>
        <v>not outlier</v>
      </c>
      <c r="M50" s="4" t="str">
        <f>IF(OR(Копия_20206[[#This Row],[Number of stores]]&gt;$U$7,Копия_20206[[#This Row],[Number of stores]]&lt;$U$6),"outlier","not outlier")</f>
        <v>not outlier</v>
      </c>
    </row>
    <row r="51" spans="1:13" x14ac:dyDescent="0.25">
      <c r="A51">
        <v>2020</v>
      </c>
      <c r="B51">
        <v>7</v>
      </c>
      <c r="C51" s="1" t="s">
        <v>29</v>
      </c>
      <c r="D51" s="1" t="s">
        <v>15</v>
      </c>
      <c r="E51" s="1" t="s">
        <v>12</v>
      </c>
      <c r="F51" s="5">
        <v>2.7616999999999998</v>
      </c>
      <c r="G51" s="5">
        <v>499.18323700000002</v>
      </c>
      <c r="H51" s="5">
        <v>1.2427999999999999</v>
      </c>
      <c r="I51">
        <v>1130</v>
      </c>
      <c r="J51" s="4" t="str">
        <f>IF(OR(Копия_20206[[#This Row],[Units (in 1000)]]&gt;$R$7,Копия_20206[[#This Row],[Units (in 1000)]]&lt;$R$6),"outlier","not outlier")</f>
        <v>not outlier</v>
      </c>
      <c r="K51" s="4" t="str">
        <f>IF(OR(Копия_20206[[#This Row],[Value (in 1000 rub)]]&gt;$S$7,Копия_20206[[#This Row],[Value (in 1000 rub)]]&lt;$S$6),"outlier","not outlier")</f>
        <v>not outlier</v>
      </c>
      <c r="L51" s="4" t="str">
        <f>IF(OR(Копия_20206[[#This Row],[Volume (in 1000 kg)]]&gt;$T$7,Копия_20206[[#This Row],[Volume (in 1000 kg)]]&lt;$T$6),"outlier","not outlier")</f>
        <v>not outlier</v>
      </c>
      <c r="M51" s="4" t="str">
        <f>IF(OR(Копия_20206[[#This Row],[Number of stores]]&gt;$U$7,Копия_20206[[#This Row],[Number of stores]]&lt;$U$6),"outlier","not outlier")</f>
        <v>not outlier</v>
      </c>
    </row>
    <row r="52" spans="1:13" x14ac:dyDescent="0.25">
      <c r="A52">
        <v>2020</v>
      </c>
      <c r="B52">
        <v>8</v>
      </c>
      <c r="C52" s="1" t="s">
        <v>8</v>
      </c>
      <c r="D52" s="1" t="s">
        <v>15</v>
      </c>
      <c r="E52" s="1" t="s">
        <v>10</v>
      </c>
      <c r="F52" s="5">
        <v>6.5110000000000001</v>
      </c>
      <c r="G52" s="5">
        <v>386.054146</v>
      </c>
      <c r="H52" s="5">
        <v>1.4975000000000001</v>
      </c>
      <c r="I52">
        <v>461</v>
      </c>
      <c r="J52" s="4" t="str">
        <f>IF(OR(Копия_20206[[#This Row],[Units (in 1000)]]&gt;$R$7,Копия_20206[[#This Row],[Units (in 1000)]]&lt;$R$6),"outlier","not outlier")</f>
        <v>not outlier</v>
      </c>
      <c r="K52" s="4" t="str">
        <f>IF(OR(Копия_20206[[#This Row],[Value (in 1000 rub)]]&gt;$S$7,Копия_20206[[#This Row],[Value (in 1000 rub)]]&lt;$S$6),"outlier","not outlier")</f>
        <v>not outlier</v>
      </c>
      <c r="L52" s="4" t="str">
        <f>IF(OR(Копия_20206[[#This Row],[Volume (in 1000 kg)]]&gt;$T$7,Копия_20206[[#This Row],[Volume (in 1000 kg)]]&lt;$T$6),"outlier","not outlier")</f>
        <v>not outlier</v>
      </c>
      <c r="M52" s="4" t="str">
        <f>IF(OR(Копия_20206[[#This Row],[Number of stores]]&gt;$U$7,Копия_20206[[#This Row],[Number of stores]]&lt;$U$6),"outlier","not outlier")</f>
        <v>not outlier</v>
      </c>
    </row>
    <row r="53" spans="1:13" x14ac:dyDescent="0.25">
      <c r="A53">
        <v>2020</v>
      </c>
      <c r="B53">
        <v>8</v>
      </c>
      <c r="C53" s="1" t="s">
        <v>8</v>
      </c>
      <c r="D53" s="1" t="s">
        <v>15</v>
      </c>
      <c r="E53" s="1" t="s">
        <v>12</v>
      </c>
      <c r="F53" s="5">
        <v>2.0055999999999998</v>
      </c>
      <c r="G53" s="5">
        <v>152.672372</v>
      </c>
      <c r="H53" s="5">
        <v>0.90249999999999997</v>
      </c>
      <c r="I53">
        <v>106</v>
      </c>
      <c r="J53" s="4" t="str">
        <f>IF(OR(Копия_20206[[#This Row],[Units (in 1000)]]&gt;$R$7,Копия_20206[[#This Row],[Units (in 1000)]]&lt;$R$6),"outlier","not outlier")</f>
        <v>not outlier</v>
      </c>
      <c r="K53" s="4" t="str">
        <f>IF(OR(Копия_20206[[#This Row],[Value (in 1000 rub)]]&gt;$S$7,Копия_20206[[#This Row],[Value (in 1000 rub)]]&lt;$S$6),"outlier","not outlier")</f>
        <v>not outlier</v>
      </c>
      <c r="L53" s="4" t="str">
        <f>IF(OR(Копия_20206[[#This Row],[Volume (in 1000 kg)]]&gt;$T$7,Копия_20206[[#This Row],[Volume (in 1000 kg)]]&lt;$T$6),"outlier","not outlier")</f>
        <v>not outlier</v>
      </c>
      <c r="M53" s="4" t="str">
        <f>IF(OR(Копия_20206[[#This Row],[Number of stores]]&gt;$U$7,Копия_20206[[#This Row],[Number of stores]]&lt;$U$6),"outlier","not outlier")</f>
        <v>not outlier</v>
      </c>
    </row>
    <row r="54" spans="1:13" x14ac:dyDescent="0.25">
      <c r="A54">
        <v>2020</v>
      </c>
      <c r="B54">
        <v>8</v>
      </c>
      <c r="C54" s="1" t="s">
        <v>25</v>
      </c>
      <c r="D54" s="1" t="s">
        <v>15</v>
      </c>
      <c r="E54" s="1" t="s">
        <v>10</v>
      </c>
      <c r="F54" s="5">
        <v>3.2772999999999999</v>
      </c>
      <c r="G54" s="5">
        <v>258.94276300000001</v>
      </c>
      <c r="H54" s="5">
        <v>0.75380000000000003</v>
      </c>
      <c r="I54">
        <v>1415</v>
      </c>
      <c r="J54" s="4" t="str">
        <f>IF(OR(Копия_20206[[#This Row],[Units (in 1000)]]&gt;$R$7,Копия_20206[[#This Row],[Units (in 1000)]]&lt;$R$6),"outlier","not outlier")</f>
        <v>not outlier</v>
      </c>
      <c r="K54" s="4" t="str">
        <f>IF(OR(Копия_20206[[#This Row],[Value (in 1000 rub)]]&gt;$S$7,Копия_20206[[#This Row],[Value (in 1000 rub)]]&lt;$S$6),"outlier","not outlier")</f>
        <v>not outlier</v>
      </c>
      <c r="L54" s="4" t="str">
        <f>IF(OR(Копия_20206[[#This Row],[Volume (in 1000 kg)]]&gt;$T$7,Копия_20206[[#This Row],[Volume (in 1000 kg)]]&lt;$T$6),"outlier","not outlier")</f>
        <v>not outlier</v>
      </c>
      <c r="M54" s="4" t="str">
        <f>IF(OR(Копия_20206[[#This Row],[Number of stores]]&gt;$U$7,Копия_20206[[#This Row],[Number of stores]]&lt;$U$6),"outlier","not outlier")</f>
        <v>not outlier</v>
      </c>
    </row>
    <row r="55" spans="1:13" x14ac:dyDescent="0.25">
      <c r="A55">
        <v>2020</v>
      </c>
      <c r="B55">
        <v>8</v>
      </c>
      <c r="C55" s="1" t="s">
        <v>25</v>
      </c>
      <c r="D55" s="1" t="s">
        <v>15</v>
      </c>
      <c r="E55" s="1" t="s">
        <v>12</v>
      </c>
      <c r="F55" s="5">
        <v>1.2451000000000001</v>
      </c>
      <c r="G55" s="5">
        <v>129.59633500000001</v>
      </c>
      <c r="H55" s="5">
        <v>0.56040000000000001</v>
      </c>
      <c r="I55">
        <v>250</v>
      </c>
      <c r="J55" s="4" t="str">
        <f>IF(OR(Копия_20206[[#This Row],[Units (in 1000)]]&gt;$R$7,Копия_20206[[#This Row],[Units (in 1000)]]&lt;$R$6),"outlier","not outlier")</f>
        <v>not outlier</v>
      </c>
      <c r="K55" s="4" t="str">
        <f>IF(OR(Копия_20206[[#This Row],[Value (in 1000 rub)]]&gt;$S$7,Копия_20206[[#This Row],[Value (in 1000 rub)]]&lt;$S$6),"outlier","not outlier")</f>
        <v>not outlier</v>
      </c>
      <c r="L55" s="4" t="str">
        <f>IF(OR(Копия_20206[[#This Row],[Volume (in 1000 kg)]]&gt;$T$7,Копия_20206[[#This Row],[Volume (in 1000 kg)]]&lt;$T$6),"outlier","not outlier")</f>
        <v>not outlier</v>
      </c>
      <c r="M55" s="4" t="str">
        <f>IF(OR(Копия_20206[[#This Row],[Number of stores]]&gt;$U$7,Копия_20206[[#This Row],[Number of stores]]&lt;$U$6),"outlier","not outlier")</f>
        <v>not outlier</v>
      </c>
    </row>
    <row r="56" spans="1:13" x14ac:dyDescent="0.25">
      <c r="A56">
        <v>2020</v>
      </c>
      <c r="B56">
        <v>8</v>
      </c>
      <c r="C56" s="1" t="s">
        <v>29</v>
      </c>
      <c r="D56" s="1" t="s">
        <v>15</v>
      </c>
      <c r="E56" s="1" t="s">
        <v>10</v>
      </c>
      <c r="F56" s="5">
        <v>5.6584000000000003</v>
      </c>
      <c r="G56" s="5">
        <v>363.135918</v>
      </c>
      <c r="H56" s="5">
        <v>1.3013999999999999</v>
      </c>
      <c r="I56">
        <v>1584</v>
      </c>
      <c r="J56" s="4" t="str">
        <f>IF(OR(Копия_20206[[#This Row],[Units (in 1000)]]&gt;$R$7,Копия_20206[[#This Row],[Units (in 1000)]]&lt;$R$6),"outlier","not outlier")</f>
        <v>not outlier</v>
      </c>
      <c r="K56" s="4" t="str">
        <f>IF(OR(Копия_20206[[#This Row],[Value (in 1000 rub)]]&gt;$S$7,Копия_20206[[#This Row],[Value (in 1000 rub)]]&lt;$S$6),"outlier","not outlier")</f>
        <v>not outlier</v>
      </c>
      <c r="L56" s="4" t="str">
        <f>IF(OR(Копия_20206[[#This Row],[Volume (in 1000 kg)]]&gt;$T$7,Копия_20206[[#This Row],[Volume (in 1000 kg)]]&lt;$T$6),"outlier","not outlier")</f>
        <v>not outlier</v>
      </c>
      <c r="M56" s="4" t="str">
        <f>IF(OR(Копия_20206[[#This Row],[Number of stores]]&gt;$U$7,Копия_20206[[#This Row],[Number of stores]]&lt;$U$6),"outlier","not outlier")</f>
        <v>not outlier</v>
      </c>
    </row>
    <row r="57" spans="1:13" x14ac:dyDescent="0.25">
      <c r="A57">
        <v>2020</v>
      </c>
      <c r="B57">
        <v>8</v>
      </c>
      <c r="C57" s="1" t="s">
        <v>29</v>
      </c>
      <c r="D57" s="1" t="s">
        <v>15</v>
      </c>
      <c r="E57" s="1" t="s">
        <v>12</v>
      </c>
      <c r="F57" s="5">
        <v>3.9685000000000001</v>
      </c>
      <c r="G57" s="5">
        <v>436.58911699999999</v>
      </c>
      <c r="H57" s="5">
        <v>1.7858000000000001</v>
      </c>
      <c r="I57">
        <v>872</v>
      </c>
      <c r="J57" s="4" t="str">
        <f>IF(OR(Копия_20206[[#This Row],[Units (in 1000)]]&gt;$R$7,Копия_20206[[#This Row],[Units (in 1000)]]&lt;$R$6),"outlier","not outlier")</f>
        <v>not outlier</v>
      </c>
      <c r="K57" s="4" t="str">
        <f>IF(OR(Копия_20206[[#This Row],[Value (in 1000 rub)]]&gt;$S$7,Копия_20206[[#This Row],[Value (in 1000 rub)]]&lt;$S$6),"outlier","not outlier")</f>
        <v>not outlier</v>
      </c>
      <c r="L57" s="4" t="str">
        <f>IF(OR(Копия_20206[[#This Row],[Volume (in 1000 kg)]]&gt;$T$7,Копия_20206[[#This Row],[Volume (in 1000 kg)]]&lt;$T$6),"outlier","not outlier")</f>
        <v>not outlier</v>
      </c>
      <c r="M57" s="4" t="str">
        <f>IF(OR(Копия_20206[[#This Row],[Number of stores]]&gt;$U$7,Копия_20206[[#This Row],[Number of stores]]&lt;$U$6),"outlier","not outlier")</f>
        <v>not outlier</v>
      </c>
    </row>
    <row r="58" spans="1:13" x14ac:dyDescent="0.25">
      <c r="A58">
        <v>2020</v>
      </c>
      <c r="B58">
        <v>9</v>
      </c>
      <c r="C58" s="1" t="s">
        <v>8</v>
      </c>
      <c r="D58" s="1" t="s">
        <v>15</v>
      </c>
      <c r="E58" s="1" t="s">
        <v>10</v>
      </c>
      <c r="F58" s="5">
        <v>6.6517999999999997</v>
      </c>
      <c r="G58" s="5">
        <v>372.04314399999998</v>
      </c>
      <c r="H58" s="5">
        <v>1.5299</v>
      </c>
      <c r="I58">
        <v>454</v>
      </c>
      <c r="J58" s="4" t="str">
        <f>IF(OR(Копия_20206[[#This Row],[Units (in 1000)]]&gt;$R$7,Копия_20206[[#This Row],[Units (in 1000)]]&lt;$R$6),"outlier","not outlier")</f>
        <v>not outlier</v>
      </c>
      <c r="K58" s="4" t="str">
        <f>IF(OR(Копия_20206[[#This Row],[Value (in 1000 rub)]]&gt;$S$7,Копия_20206[[#This Row],[Value (in 1000 rub)]]&lt;$S$6),"outlier","not outlier")</f>
        <v>not outlier</v>
      </c>
      <c r="L58" s="4" t="str">
        <f>IF(OR(Копия_20206[[#This Row],[Volume (in 1000 kg)]]&gt;$T$7,Копия_20206[[#This Row],[Volume (in 1000 kg)]]&lt;$T$6),"outlier","not outlier")</f>
        <v>not outlier</v>
      </c>
      <c r="M58" s="4" t="str">
        <f>IF(OR(Копия_20206[[#This Row],[Number of stores]]&gt;$U$7,Копия_20206[[#This Row],[Number of stores]]&lt;$U$6),"outlier","not outlier")</f>
        <v>not outlier</v>
      </c>
    </row>
    <row r="59" spans="1:13" x14ac:dyDescent="0.25">
      <c r="A59">
        <v>2020</v>
      </c>
      <c r="B59">
        <v>9</v>
      </c>
      <c r="C59" s="1" t="s">
        <v>8</v>
      </c>
      <c r="D59" s="1" t="s">
        <v>15</v>
      </c>
      <c r="E59" s="1" t="s">
        <v>12</v>
      </c>
      <c r="F59" s="5">
        <v>0.54859999999999998</v>
      </c>
      <c r="G59" s="5">
        <v>60.611303999999997</v>
      </c>
      <c r="H59" s="5">
        <v>0.24690000000000001</v>
      </c>
      <c r="I59">
        <v>91</v>
      </c>
      <c r="J59" s="4" t="str">
        <f>IF(OR(Копия_20206[[#This Row],[Units (in 1000)]]&gt;$R$7,Копия_20206[[#This Row],[Units (in 1000)]]&lt;$R$6),"outlier","not outlier")</f>
        <v>not outlier</v>
      </c>
      <c r="K59" s="4" t="str">
        <f>IF(OR(Копия_20206[[#This Row],[Value (in 1000 rub)]]&gt;$S$7,Копия_20206[[#This Row],[Value (in 1000 rub)]]&lt;$S$6),"outlier","not outlier")</f>
        <v>not outlier</v>
      </c>
      <c r="L59" s="4" t="str">
        <f>IF(OR(Копия_20206[[#This Row],[Volume (in 1000 kg)]]&gt;$T$7,Копия_20206[[#This Row],[Volume (in 1000 kg)]]&lt;$T$6),"outlier","not outlier")</f>
        <v>not outlier</v>
      </c>
      <c r="M59" s="4" t="str">
        <f>IF(OR(Копия_20206[[#This Row],[Number of stores]]&gt;$U$7,Копия_20206[[#This Row],[Number of stores]]&lt;$U$6),"outlier","not outlier")</f>
        <v>not outlier</v>
      </c>
    </row>
    <row r="60" spans="1:13" x14ac:dyDescent="0.25">
      <c r="A60">
        <v>2020</v>
      </c>
      <c r="B60">
        <v>9</v>
      </c>
      <c r="C60" s="1" t="s">
        <v>25</v>
      </c>
      <c r="D60" s="1" t="s">
        <v>15</v>
      </c>
      <c r="E60" s="1" t="s">
        <v>10</v>
      </c>
      <c r="F60" s="5">
        <v>2.3517999999999999</v>
      </c>
      <c r="G60" s="5">
        <v>180.63085599999999</v>
      </c>
      <c r="H60" s="5">
        <v>0.54090000000000005</v>
      </c>
      <c r="I60">
        <v>1360</v>
      </c>
      <c r="J60" s="4" t="str">
        <f>IF(OR(Копия_20206[[#This Row],[Units (in 1000)]]&gt;$R$7,Копия_20206[[#This Row],[Units (in 1000)]]&lt;$R$6),"outlier","not outlier")</f>
        <v>not outlier</v>
      </c>
      <c r="K60" s="4" t="str">
        <f>IF(OR(Копия_20206[[#This Row],[Value (in 1000 rub)]]&gt;$S$7,Копия_20206[[#This Row],[Value (in 1000 rub)]]&lt;$S$6),"outlier","not outlier")</f>
        <v>not outlier</v>
      </c>
      <c r="L60" s="4" t="str">
        <f>IF(OR(Копия_20206[[#This Row],[Volume (in 1000 kg)]]&gt;$T$7,Копия_20206[[#This Row],[Volume (in 1000 kg)]]&lt;$T$6),"outlier","not outlier")</f>
        <v>not outlier</v>
      </c>
      <c r="M60" s="4" t="str">
        <f>IF(OR(Копия_20206[[#This Row],[Number of stores]]&gt;$U$7,Копия_20206[[#This Row],[Number of stores]]&lt;$U$6),"outlier","not outlier")</f>
        <v>not outlier</v>
      </c>
    </row>
    <row r="61" spans="1:13" x14ac:dyDescent="0.25">
      <c r="A61">
        <v>2020</v>
      </c>
      <c r="B61">
        <v>9</v>
      </c>
      <c r="C61" s="1" t="s">
        <v>25</v>
      </c>
      <c r="D61" s="1" t="s">
        <v>15</v>
      </c>
      <c r="E61" s="1" t="s">
        <v>12</v>
      </c>
      <c r="F61" s="5">
        <v>0.87</v>
      </c>
      <c r="G61" s="5">
        <v>156.61625699999999</v>
      </c>
      <c r="H61" s="5">
        <v>0.39150000000000001</v>
      </c>
      <c r="I61">
        <v>319</v>
      </c>
      <c r="J61" s="4" t="str">
        <f>IF(OR(Копия_20206[[#This Row],[Units (in 1000)]]&gt;$R$7,Копия_20206[[#This Row],[Units (in 1000)]]&lt;$R$6),"outlier","not outlier")</f>
        <v>not outlier</v>
      </c>
      <c r="K61" s="4" t="str">
        <f>IF(OR(Копия_20206[[#This Row],[Value (in 1000 rub)]]&gt;$S$7,Копия_20206[[#This Row],[Value (in 1000 rub)]]&lt;$S$6),"outlier","not outlier")</f>
        <v>not outlier</v>
      </c>
      <c r="L61" s="4" t="str">
        <f>IF(OR(Копия_20206[[#This Row],[Volume (in 1000 kg)]]&gt;$T$7,Копия_20206[[#This Row],[Volume (in 1000 kg)]]&lt;$T$6),"outlier","not outlier")</f>
        <v>not outlier</v>
      </c>
      <c r="M61" s="4" t="str">
        <f>IF(OR(Копия_20206[[#This Row],[Number of stores]]&gt;$U$7,Копия_20206[[#This Row],[Number of stores]]&lt;$U$6),"outlier","not outlier")</f>
        <v>not outlier</v>
      </c>
    </row>
    <row r="62" spans="1:13" x14ac:dyDescent="0.25">
      <c r="A62">
        <v>2020</v>
      </c>
      <c r="B62">
        <v>9</v>
      </c>
      <c r="C62" s="1" t="s">
        <v>29</v>
      </c>
      <c r="D62" s="1" t="s">
        <v>15</v>
      </c>
      <c r="E62" s="1" t="s">
        <v>10</v>
      </c>
      <c r="F62" s="5">
        <v>5.6877000000000004</v>
      </c>
      <c r="G62" s="5">
        <v>372.51325400000002</v>
      </c>
      <c r="H62" s="5">
        <v>1.3082</v>
      </c>
      <c r="I62">
        <v>1505</v>
      </c>
      <c r="J62" s="4" t="str">
        <f>IF(OR(Копия_20206[[#This Row],[Units (in 1000)]]&gt;$R$7,Копия_20206[[#This Row],[Units (in 1000)]]&lt;$R$6),"outlier","not outlier")</f>
        <v>not outlier</v>
      </c>
      <c r="K62" s="4" t="str">
        <f>IF(OR(Копия_20206[[#This Row],[Value (in 1000 rub)]]&gt;$S$7,Копия_20206[[#This Row],[Value (in 1000 rub)]]&lt;$S$6),"outlier","not outlier")</f>
        <v>not outlier</v>
      </c>
      <c r="L62" s="4" t="str">
        <f>IF(OR(Копия_20206[[#This Row],[Volume (in 1000 kg)]]&gt;$T$7,Копия_20206[[#This Row],[Volume (in 1000 kg)]]&lt;$T$6),"outlier","not outlier")</f>
        <v>not outlier</v>
      </c>
      <c r="M62" s="4" t="str">
        <f>IF(OR(Копия_20206[[#This Row],[Number of stores]]&gt;$U$7,Копия_20206[[#This Row],[Number of stores]]&lt;$U$6),"outlier","not outlier")</f>
        <v>not outlier</v>
      </c>
    </row>
    <row r="63" spans="1:13" x14ac:dyDescent="0.25">
      <c r="A63">
        <v>2020</v>
      </c>
      <c r="B63">
        <v>9</v>
      </c>
      <c r="C63" s="1" t="s">
        <v>29</v>
      </c>
      <c r="D63" s="1" t="s">
        <v>15</v>
      </c>
      <c r="E63" s="1" t="s">
        <v>12</v>
      </c>
      <c r="F63" s="5">
        <v>1.8560000000000001</v>
      </c>
      <c r="G63" s="5">
        <v>283.97569099999998</v>
      </c>
      <c r="H63" s="5">
        <v>0.83520000000000005</v>
      </c>
      <c r="I63">
        <v>847</v>
      </c>
      <c r="J63" s="4" t="str">
        <f>IF(OR(Копия_20206[[#This Row],[Units (in 1000)]]&gt;$R$7,Копия_20206[[#This Row],[Units (in 1000)]]&lt;$R$6),"outlier","not outlier")</f>
        <v>not outlier</v>
      </c>
      <c r="K63" s="4" t="str">
        <f>IF(OR(Копия_20206[[#This Row],[Value (in 1000 rub)]]&gt;$S$7,Копия_20206[[#This Row],[Value (in 1000 rub)]]&lt;$S$6),"outlier","not outlier")</f>
        <v>not outlier</v>
      </c>
      <c r="L63" s="4" t="str">
        <f>IF(OR(Копия_20206[[#This Row],[Volume (in 1000 kg)]]&gt;$T$7,Копия_20206[[#This Row],[Volume (in 1000 kg)]]&lt;$T$6),"outlier","not outlier")</f>
        <v>not outlier</v>
      </c>
      <c r="M63" s="4" t="str">
        <f>IF(OR(Копия_20206[[#This Row],[Number of stores]]&gt;$U$7,Копия_20206[[#This Row],[Number of stores]]&lt;$U$6),"outlier","not outlier")</f>
        <v>not outlier</v>
      </c>
    </row>
    <row r="64" spans="1:13" x14ac:dyDescent="0.25">
      <c r="A64">
        <v>2020</v>
      </c>
      <c r="B64">
        <v>10</v>
      </c>
      <c r="C64" s="1" t="s">
        <v>8</v>
      </c>
      <c r="D64" s="1" t="s">
        <v>15</v>
      </c>
      <c r="E64" s="1" t="s">
        <v>10</v>
      </c>
      <c r="F64" s="5">
        <v>7.4771000000000001</v>
      </c>
      <c r="G64" s="5">
        <v>414.76454100000001</v>
      </c>
      <c r="H64" s="5">
        <v>1.7197</v>
      </c>
      <c r="I64">
        <v>469</v>
      </c>
      <c r="J64" s="4" t="str">
        <f>IF(OR(Копия_20206[[#This Row],[Units (in 1000)]]&gt;$R$7,Копия_20206[[#This Row],[Units (in 1000)]]&lt;$R$6),"outlier","not outlier")</f>
        <v>not outlier</v>
      </c>
      <c r="K64" s="4" t="str">
        <f>IF(OR(Копия_20206[[#This Row],[Value (in 1000 rub)]]&gt;$S$7,Копия_20206[[#This Row],[Value (in 1000 rub)]]&lt;$S$6),"outlier","not outlier")</f>
        <v>not outlier</v>
      </c>
      <c r="L64" s="4" t="str">
        <f>IF(OR(Копия_20206[[#This Row],[Volume (in 1000 kg)]]&gt;$T$7,Копия_20206[[#This Row],[Volume (in 1000 kg)]]&lt;$T$6),"outlier","not outlier")</f>
        <v>not outlier</v>
      </c>
      <c r="M64" s="4" t="str">
        <f>IF(OR(Копия_20206[[#This Row],[Number of stores]]&gt;$U$7,Копия_20206[[#This Row],[Number of stores]]&lt;$U$6),"outlier","not outlier")</f>
        <v>not outlier</v>
      </c>
    </row>
    <row r="65" spans="1:13" x14ac:dyDescent="0.25">
      <c r="A65">
        <v>2020</v>
      </c>
      <c r="B65">
        <v>10</v>
      </c>
      <c r="C65" s="1" t="s">
        <v>8</v>
      </c>
      <c r="D65" s="1" t="s">
        <v>15</v>
      </c>
      <c r="E65" s="1" t="s">
        <v>12</v>
      </c>
      <c r="F65" s="5">
        <v>0.99029999999999996</v>
      </c>
      <c r="G65" s="5">
        <v>126.79139000000001</v>
      </c>
      <c r="H65" s="5">
        <v>0.4456</v>
      </c>
      <c r="I65">
        <v>273</v>
      </c>
      <c r="J65" s="4" t="str">
        <f>IF(OR(Копия_20206[[#This Row],[Units (in 1000)]]&gt;$R$7,Копия_20206[[#This Row],[Units (in 1000)]]&lt;$R$6),"outlier","not outlier")</f>
        <v>not outlier</v>
      </c>
      <c r="K65" s="4" t="str">
        <f>IF(OR(Копия_20206[[#This Row],[Value (in 1000 rub)]]&gt;$S$7,Копия_20206[[#This Row],[Value (in 1000 rub)]]&lt;$S$6),"outlier","not outlier")</f>
        <v>not outlier</v>
      </c>
      <c r="L65" s="4" t="str">
        <f>IF(OR(Копия_20206[[#This Row],[Volume (in 1000 kg)]]&gt;$T$7,Копия_20206[[#This Row],[Volume (in 1000 kg)]]&lt;$T$6),"outlier","not outlier")</f>
        <v>not outlier</v>
      </c>
      <c r="M65" s="4" t="str">
        <f>IF(OR(Копия_20206[[#This Row],[Number of stores]]&gt;$U$7,Копия_20206[[#This Row],[Number of stores]]&lt;$U$6),"outlier","not outlier")</f>
        <v>not outlier</v>
      </c>
    </row>
    <row r="66" spans="1:13" x14ac:dyDescent="0.25">
      <c r="A66">
        <v>2020</v>
      </c>
      <c r="B66">
        <v>10</v>
      </c>
      <c r="C66" s="1" t="s">
        <v>25</v>
      </c>
      <c r="D66" s="1" t="s">
        <v>15</v>
      </c>
      <c r="E66" s="1" t="s">
        <v>10</v>
      </c>
      <c r="F66" s="5">
        <v>2.4861</v>
      </c>
      <c r="G66" s="5">
        <v>194.28221400000001</v>
      </c>
      <c r="H66" s="5">
        <v>0.57179999999999997</v>
      </c>
      <c r="I66">
        <v>1454</v>
      </c>
      <c r="J66" s="4" t="str">
        <f>IF(OR(Копия_20206[[#This Row],[Units (in 1000)]]&gt;$R$7,Копия_20206[[#This Row],[Units (in 1000)]]&lt;$R$6),"outlier","not outlier")</f>
        <v>not outlier</v>
      </c>
      <c r="K66" s="4" t="str">
        <f>IF(OR(Копия_20206[[#This Row],[Value (in 1000 rub)]]&gt;$S$7,Копия_20206[[#This Row],[Value (in 1000 rub)]]&lt;$S$6),"outlier","not outlier")</f>
        <v>not outlier</v>
      </c>
      <c r="L66" s="4" t="str">
        <f>IF(OR(Копия_20206[[#This Row],[Volume (in 1000 kg)]]&gt;$T$7,Копия_20206[[#This Row],[Volume (in 1000 kg)]]&lt;$T$6),"outlier","not outlier")</f>
        <v>not outlier</v>
      </c>
      <c r="M66" s="4" t="str">
        <f>IF(OR(Копия_20206[[#This Row],[Number of stores]]&gt;$U$7,Копия_20206[[#This Row],[Number of stores]]&lt;$U$6),"outlier","not outlier")</f>
        <v>not outlier</v>
      </c>
    </row>
    <row r="67" spans="1:13" x14ac:dyDescent="0.25">
      <c r="A67">
        <v>2020</v>
      </c>
      <c r="B67">
        <v>10</v>
      </c>
      <c r="C67" s="1" t="s">
        <v>25</v>
      </c>
      <c r="D67" s="1" t="s">
        <v>15</v>
      </c>
      <c r="E67" s="1" t="s">
        <v>12</v>
      </c>
      <c r="F67" s="5">
        <v>0.60580000000000001</v>
      </c>
      <c r="G67" s="5">
        <v>109.80841700000001</v>
      </c>
      <c r="H67" s="5">
        <v>0.27260000000000001</v>
      </c>
      <c r="I67">
        <v>275</v>
      </c>
      <c r="J67" s="4" t="str">
        <f>IF(OR(Копия_20206[[#This Row],[Units (in 1000)]]&gt;$R$7,Копия_20206[[#This Row],[Units (in 1000)]]&lt;$R$6),"outlier","not outlier")</f>
        <v>not outlier</v>
      </c>
      <c r="K67" s="4" t="str">
        <f>IF(OR(Копия_20206[[#This Row],[Value (in 1000 rub)]]&gt;$S$7,Копия_20206[[#This Row],[Value (in 1000 rub)]]&lt;$S$6),"outlier","not outlier")</f>
        <v>not outlier</v>
      </c>
      <c r="L67" s="4" t="str">
        <f>IF(OR(Копия_20206[[#This Row],[Volume (in 1000 kg)]]&gt;$T$7,Копия_20206[[#This Row],[Volume (in 1000 kg)]]&lt;$T$6),"outlier","not outlier")</f>
        <v>not outlier</v>
      </c>
      <c r="M67" s="4" t="str">
        <f>IF(OR(Копия_20206[[#This Row],[Number of stores]]&gt;$U$7,Копия_20206[[#This Row],[Number of stores]]&lt;$U$6),"outlier","not outlier")</f>
        <v>not outlier</v>
      </c>
    </row>
    <row r="68" spans="1:13" x14ac:dyDescent="0.25">
      <c r="A68">
        <v>2020</v>
      </c>
      <c r="B68">
        <v>10</v>
      </c>
      <c r="C68" s="1" t="s">
        <v>29</v>
      </c>
      <c r="D68" s="1" t="s">
        <v>15</v>
      </c>
      <c r="E68" s="1" t="s">
        <v>10</v>
      </c>
      <c r="F68" s="5">
        <v>7.1821999999999999</v>
      </c>
      <c r="G68" s="5">
        <v>465.36933099999999</v>
      </c>
      <c r="H68" s="5">
        <v>1.6518999999999999</v>
      </c>
      <c r="I68">
        <v>1585</v>
      </c>
      <c r="J68" s="4" t="str">
        <f>IF(OR(Копия_20206[[#This Row],[Units (in 1000)]]&gt;$R$7,Копия_20206[[#This Row],[Units (in 1000)]]&lt;$R$6),"outlier","not outlier")</f>
        <v>not outlier</v>
      </c>
      <c r="K68" s="4" t="str">
        <f>IF(OR(Копия_20206[[#This Row],[Value (in 1000 rub)]]&gt;$S$7,Копия_20206[[#This Row],[Value (in 1000 rub)]]&lt;$S$6),"outlier","not outlier")</f>
        <v>not outlier</v>
      </c>
      <c r="L68" s="4" t="str">
        <f>IF(OR(Копия_20206[[#This Row],[Volume (in 1000 kg)]]&gt;$T$7,Копия_20206[[#This Row],[Volume (in 1000 kg)]]&lt;$T$6),"outlier","not outlier")</f>
        <v>not outlier</v>
      </c>
      <c r="M68" s="4" t="str">
        <f>IF(OR(Копия_20206[[#This Row],[Number of stores]]&gt;$U$7,Копия_20206[[#This Row],[Number of stores]]&lt;$U$6),"outlier","not outlier")</f>
        <v>not outlier</v>
      </c>
    </row>
    <row r="69" spans="1:13" x14ac:dyDescent="0.25">
      <c r="A69">
        <v>2020</v>
      </c>
      <c r="B69">
        <v>10</v>
      </c>
      <c r="C69" s="1" t="s">
        <v>29</v>
      </c>
      <c r="D69" s="1" t="s">
        <v>15</v>
      </c>
      <c r="E69" s="1" t="s">
        <v>12</v>
      </c>
      <c r="F69" s="5">
        <v>2.5769000000000002</v>
      </c>
      <c r="G69" s="5">
        <v>433.62191999999999</v>
      </c>
      <c r="H69" s="5">
        <v>1.1595</v>
      </c>
      <c r="I69">
        <v>1206</v>
      </c>
      <c r="J69" s="4" t="str">
        <f>IF(OR(Копия_20206[[#This Row],[Units (in 1000)]]&gt;$R$7,Копия_20206[[#This Row],[Units (in 1000)]]&lt;$R$6),"outlier","not outlier")</f>
        <v>not outlier</v>
      </c>
      <c r="K69" s="4" t="str">
        <f>IF(OR(Копия_20206[[#This Row],[Value (in 1000 rub)]]&gt;$S$7,Копия_20206[[#This Row],[Value (in 1000 rub)]]&lt;$S$6),"outlier","not outlier")</f>
        <v>not outlier</v>
      </c>
      <c r="L69" s="4" t="str">
        <f>IF(OR(Копия_20206[[#This Row],[Volume (in 1000 kg)]]&gt;$T$7,Копия_20206[[#This Row],[Volume (in 1000 kg)]]&lt;$T$6),"outlier","not outlier")</f>
        <v>not outlier</v>
      </c>
      <c r="M69" s="4" t="str">
        <f>IF(OR(Копия_20206[[#This Row],[Number of stores]]&gt;$U$7,Копия_20206[[#This Row],[Number of stores]]&lt;$U$6),"outlier","not outlier")</f>
        <v>not outlier</v>
      </c>
    </row>
    <row r="70" spans="1:13" x14ac:dyDescent="0.25">
      <c r="A70">
        <v>2020</v>
      </c>
      <c r="B70">
        <v>11</v>
      </c>
      <c r="C70" s="1" t="s">
        <v>8</v>
      </c>
      <c r="D70" s="1" t="s">
        <v>15</v>
      </c>
      <c r="E70" s="1" t="s">
        <v>10</v>
      </c>
      <c r="F70" s="5">
        <v>4.8132000000000001</v>
      </c>
      <c r="G70" s="5">
        <v>319.93897399999997</v>
      </c>
      <c r="H70" s="5">
        <v>1.107</v>
      </c>
      <c r="I70">
        <v>476</v>
      </c>
      <c r="J70" s="4" t="str">
        <f>IF(OR(Копия_20206[[#This Row],[Units (in 1000)]]&gt;$R$7,Копия_20206[[#This Row],[Units (in 1000)]]&lt;$R$6),"outlier","not outlier")</f>
        <v>not outlier</v>
      </c>
      <c r="K70" s="4" t="str">
        <f>IF(OR(Копия_20206[[#This Row],[Value (in 1000 rub)]]&gt;$S$7,Копия_20206[[#This Row],[Value (in 1000 rub)]]&lt;$S$6),"outlier","not outlier")</f>
        <v>not outlier</v>
      </c>
      <c r="L70" s="4" t="str">
        <f>IF(OR(Копия_20206[[#This Row],[Volume (in 1000 kg)]]&gt;$T$7,Копия_20206[[#This Row],[Volume (in 1000 kg)]]&lt;$T$6),"outlier","not outlier")</f>
        <v>not outlier</v>
      </c>
      <c r="M70" s="4" t="str">
        <f>IF(OR(Копия_20206[[#This Row],[Number of stores]]&gt;$U$7,Копия_20206[[#This Row],[Number of stores]]&lt;$U$6),"outlier","not outlier")</f>
        <v>not outlier</v>
      </c>
    </row>
    <row r="71" spans="1:13" x14ac:dyDescent="0.25">
      <c r="A71">
        <v>2020</v>
      </c>
      <c r="B71">
        <v>11</v>
      </c>
      <c r="C71" s="1" t="s">
        <v>8</v>
      </c>
      <c r="D71" s="1" t="s">
        <v>15</v>
      </c>
      <c r="E71" s="1" t="s">
        <v>12</v>
      </c>
      <c r="F71" s="5">
        <v>1.1080000000000001</v>
      </c>
      <c r="G71" s="5">
        <v>174.65104299999999</v>
      </c>
      <c r="H71" s="5">
        <v>0.49869999999999998</v>
      </c>
      <c r="I71">
        <v>314</v>
      </c>
      <c r="J71" s="4" t="str">
        <f>IF(OR(Копия_20206[[#This Row],[Units (in 1000)]]&gt;$R$7,Копия_20206[[#This Row],[Units (in 1000)]]&lt;$R$6),"outlier","not outlier")</f>
        <v>not outlier</v>
      </c>
      <c r="K71" s="4" t="str">
        <f>IF(OR(Копия_20206[[#This Row],[Value (in 1000 rub)]]&gt;$S$7,Копия_20206[[#This Row],[Value (in 1000 rub)]]&lt;$S$6),"outlier","not outlier")</f>
        <v>not outlier</v>
      </c>
      <c r="L71" s="4" t="str">
        <f>IF(OR(Копия_20206[[#This Row],[Volume (in 1000 kg)]]&gt;$T$7,Копия_20206[[#This Row],[Volume (in 1000 kg)]]&lt;$T$6),"outlier","not outlier")</f>
        <v>not outlier</v>
      </c>
      <c r="M71" s="4" t="str">
        <f>IF(OR(Копия_20206[[#This Row],[Number of stores]]&gt;$U$7,Копия_20206[[#This Row],[Number of stores]]&lt;$U$6),"outlier","not outlier")</f>
        <v>not outlier</v>
      </c>
    </row>
    <row r="72" spans="1:13" x14ac:dyDescent="0.25">
      <c r="A72">
        <v>2020</v>
      </c>
      <c r="B72">
        <v>11</v>
      </c>
      <c r="C72" s="1" t="s">
        <v>25</v>
      </c>
      <c r="D72" s="1" t="s">
        <v>15</v>
      </c>
      <c r="E72" s="1" t="s">
        <v>10</v>
      </c>
      <c r="F72" s="5">
        <v>2.4161000000000001</v>
      </c>
      <c r="G72" s="5">
        <v>198.72034400000001</v>
      </c>
      <c r="H72" s="5">
        <v>0.55569999999999997</v>
      </c>
      <c r="I72">
        <v>1520</v>
      </c>
      <c r="J72" s="4" t="str">
        <f>IF(OR(Копия_20206[[#This Row],[Units (in 1000)]]&gt;$R$7,Копия_20206[[#This Row],[Units (in 1000)]]&lt;$R$6),"outlier","not outlier")</f>
        <v>not outlier</v>
      </c>
      <c r="K72" s="4" t="str">
        <f>IF(OR(Копия_20206[[#This Row],[Value (in 1000 rub)]]&gt;$S$7,Копия_20206[[#This Row],[Value (in 1000 rub)]]&lt;$S$6),"outlier","not outlier")</f>
        <v>not outlier</v>
      </c>
      <c r="L72" s="4" t="str">
        <f>IF(OR(Копия_20206[[#This Row],[Volume (in 1000 kg)]]&gt;$T$7,Копия_20206[[#This Row],[Volume (in 1000 kg)]]&lt;$T$6),"outlier","not outlier")</f>
        <v>not outlier</v>
      </c>
      <c r="M72" s="4" t="str">
        <f>IF(OR(Копия_20206[[#This Row],[Number of stores]]&gt;$U$7,Копия_20206[[#This Row],[Number of stores]]&lt;$U$6),"outlier","not outlier")</f>
        <v>not outlier</v>
      </c>
    </row>
    <row r="73" spans="1:13" x14ac:dyDescent="0.25">
      <c r="A73">
        <v>2020</v>
      </c>
      <c r="B73">
        <v>11</v>
      </c>
      <c r="C73" s="1" t="s">
        <v>25</v>
      </c>
      <c r="D73" s="1" t="s">
        <v>15</v>
      </c>
      <c r="E73" s="1" t="s">
        <v>12</v>
      </c>
      <c r="F73" s="5">
        <v>0.64219999999999999</v>
      </c>
      <c r="G73" s="5">
        <v>111.463019</v>
      </c>
      <c r="H73" s="5">
        <v>0.28899999999999998</v>
      </c>
      <c r="I73">
        <v>362</v>
      </c>
      <c r="J73" s="4" t="str">
        <f>IF(OR(Копия_20206[[#This Row],[Units (in 1000)]]&gt;$R$7,Копия_20206[[#This Row],[Units (in 1000)]]&lt;$R$6),"outlier","not outlier")</f>
        <v>not outlier</v>
      </c>
      <c r="K73" s="4" t="str">
        <f>IF(OR(Копия_20206[[#This Row],[Value (in 1000 rub)]]&gt;$S$7,Копия_20206[[#This Row],[Value (in 1000 rub)]]&lt;$S$6),"outlier","not outlier")</f>
        <v>not outlier</v>
      </c>
      <c r="L73" s="4" t="str">
        <f>IF(OR(Копия_20206[[#This Row],[Volume (in 1000 kg)]]&gt;$T$7,Копия_20206[[#This Row],[Volume (in 1000 kg)]]&lt;$T$6),"outlier","not outlier")</f>
        <v>not outlier</v>
      </c>
      <c r="M73" s="4" t="str">
        <f>IF(OR(Копия_20206[[#This Row],[Number of stores]]&gt;$U$7,Копия_20206[[#This Row],[Number of stores]]&lt;$U$6),"outlier","not outlier")</f>
        <v>not outlier</v>
      </c>
    </row>
    <row r="74" spans="1:13" x14ac:dyDescent="0.25">
      <c r="A74">
        <v>2020</v>
      </c>
      <c r="B74">
        <v>11</v>
      </c>
      <c r="C74" s="1" t="s">
        <v>29</v>
      </c>
      <c r="D74" s="1" t="s">
        <v>15</v>
      </c>
      <c r="E74" s="1" t="s">
        <v>10</v>
      </c>
      <c r="F74" s="5">
        <v>5.5669000000000004</v>
      </c>
      <c r="G74" s="5">
        <v>347.846203</v>
      </c>
      <c r="H74" s="5">
        <v>1.2804</v>
      </c>
      <c r="I74">
        <v>1415</v>
      </c>
      <c r="J74" s="4" t="str">
        <f>IF(OR(Копия_20206[[#This Row],[Units (in 1000)]]&gt;$R$7,Копия_20206[[#This Row],[Units (in 1000)]]&lt;$R$6),"outlier","not outlier")</f>
        <v>not outlier</v>
      </c>
      <c r="K74" s="4" t="str">
        <f>IF(OR(Копия_20206[[#This Row],[Value (in 1000 rub)]]&gt;$S$7,Копия_20206[[#This Row],[Value (in 1000 rub)]]&lt;$S$6),"outlier","not outlier")</f>
        <v>not outlier</v>
      </c>
      <c r="L74" s="4" t="str">
        <f>IF(OR(Копия_20206[[#This Row],[Volume (in 1000 kg)]]&gt;$T$7,Копия_20206[[#This Row],[Volume (in 1000 kg)]]&lt;$T$6),"outlier","not outlier")</f>
        <v>not outlier</v>
      </c>
      <c r="M74" s="4" t="str">
        <f>IF(OR(Копия_20206[[#This Row],[Number of stores]]&gt;$U$7,Копия_20206[[#This Row],[Number of stores]]&lt;$U$6),"outlier","not outlier")</f>
        <v>not outlier</v>
      </c>
    </row>
    <row r="75" spans="1:13" x14ac:dyDescent="0.25">
      <c r="A75">
        <v>2020</v>
      </c>
      <c r="B75">
        <v>11</v>
      </c>
      <c r="C75" s="1" t="s">
        <v>29</v>
      </c>
      <c r="D75" s="1" t="s">
        <v>15</v>
      </c>
      <c r="E75" s="1" t="s">
        <v>12</v>
      </c>
      <c r="F75" s="5">
        <v>3.2635999999999998</v>
      </c>
      <c r="G75" s="5">
        <v>537.94231600000001</v>
      </c>
      <c r="H75" s="5">
        <v>1.4685999999999999</v>
      </c>
      <c r="I75">
        <v>1914</v>
      </c>
      <c r="J75" s="4" t="str">
        <f>IF(OR(Копия_20206[[#This Row],[Units (in 1000)]]&gt;$R$7,Копия_20206[[#This Row],[Units (in 1000)]]&lt;$R$6),"outlier","not outlier")</f>
        <v>not outlier</v>
      </c>
      <c r="K75" s="4" t="str">
        <f>IF(OR(Копия_20206[[#This Row],[Value (in 1000 rub)]]&gt;$S$7,Копия_20206[[#This Row],[Value (in 1000 rub)]]&lt;$S$6),"outlier","not outlier")</f>
        <v>not outlier</v>
      </c>
      <c r="L75" s="4" t="str">
        <f>IF(OR(Копия_20206[[#This Row],[Volume (in 1000 kg)]]&gt;$T$7,Копия_20206[[#This Row],[Volume (in 1000 kg)]]&lt;$T$6),"outlier","not outlier")</f>
        <v>not outlier</v>
      </c>
      <c r="M75" s="4" t="str">
        <f>IF(OR(Копия_20206[[#This Row],[Number of stores]]&gt;$U$7,Копия_20206[[#This Row],[Number of stores]]&lt;$U$6),"outlier","not outlier")</f>
        <v>not outlier</v>
      </c>
    </row>
    <row r="76" spans="1:13" x14ac:dyDescent="0.25">
      <c r="A76">
        <v>2020</v>
      </c>
      <c r="B76">
        <v>12</v>
      </c>
      <c r="C76" s="1" t="s">
        <v>8</v>
      </c>
      <c r="D76" s="1" t="s">
        <v>15</v>
      </c>
      <c r="E76" s="1" t="s">
        <v>10</v>
      </c>
      <c r="F76" s="5">
        <v>9.7942999999999998</v>
      </c>
      <c r="G76" s="5">
        <v>542.25353700000005</v>
      </c>
      <c r="H76" s="5">
        <v>2.2526999999999999</v>
      </c>
      <c r="I76">
        <v>466</v>
      </c>
      <c r="J76" s="4" t="str">
        <f>IF(OR(Копия_20206[[#This Row],[Units (in 1000)]]&gt;$R$7,Копия_20206[[#This Row],[Units (in 1000)]]&lt;$R$6),"outlier","not outlier")</f>
        <v>not outlier</v>
      </c>
      <c r="K76" s="4" t="str">
        <f>IF(OR(Копия_20206[[#This Row],[Value (in 1000 rub)]]&gt;$S$7,Копия_20206[[#This Row],[Value (in 1000 rub)]]&lt;$S$6),"outlier","not outlier")</f>
        <v>not outlier</v>
      </c>
      <c r="L76" s="4" t="str">
        <f>IF(OR(Копия_20206[[#This Row],[Volume (in 1000 kg)]]&gt;$T$7,Копия_20206[[#This Row],[Volume (in 1000 kg)]]&lt;$T$6),"outlier","not outlier")</f>
        <v>not outlier</v>
      </c>
      <c r="M76" s="4" t="str">
        <f>IF(OR(Копия_20206[[#This Row],[Number of stores]]&gt;$U$7,Копия_20206[[#This Row],[Number of stores]]&lt;$U$6),"outlier","not outlier")</f>
        <v>not outlier</v>
      </c>
    </row>
    <row r="77" spans="1:13" x14ac:dyDescent="0.25">
      <c r="A77">
        <v>2020</v>
      </c>
      <c r="B77">
        <v>12</v>
      </c>
      <c r="C77" s="1" t="s">
        <v>8</v>
      </c>
      <c r="D77" s="1" t="s">
        <v>15</v>
      </c>
      <c r="E77" s="1" t="s">
        <v>12</v>
      </c>
      <c r="F77" s="5">
        <v>1.4948999999999999</v>
      </c>
      <c r="G77" s="5">
        <v>208.69973899999999</v>
      </c>
      <c r="H77" s="5">
        <v>0.67269999999999996</v>
      </c>
      <c r="I77">
        <v>341</v>
      </c>
      <c r="J77" s="4" t="str">
        <f>IF(OR(Копия_20206[[#This Row],[Units (in 1000)]]&gt;$R$7,Копия_20206[[#This Row],[Units (in 1000)]]&lt;$R$6),"outlier","not outlier")</f>
        <v>not outlier</v>
      </c>
      <c r="K77" s="4" t="str">
        <f>IF(OR(Копия_20206[[#This Row],[Value (in 1000 rub)]]&gt;$S$7,Копия_20206[[#This Row],[Value (in 1000 rub)]]&lt;$S$6),"outlier","not outlier")</f>
        <v>not outlier</v>
      </c>
      <c r="L77" s="4" t="str">
        <f>IF(OR(Копия_20206[[#This Row],[Volume (in 1000 kg)]]&gt;$T$7,Копия_20206[[#This Row],[Volume (in 1000 kg)]]&lt;$T$6),"outlier","not outlier")</f>
        <v>not outlier</v>
      </c>
      <c r="M77" s="4" t="str">
        <f>IF(OR(Копия_20206[[#This Row],[Number of stores]]&gt;$U$7,Копия_20206[[#This Row],[Number of stores]]&lt;$U$6),"outlier","not outlier")</f>
        <v>not outlier</v>
      </c>
    </row>
    <row r="78" spans="1:13" x14ac:dyDescent="0.25">
      <c r="A78">
        <v>2020</v>
      </c>
      <c r="B78">
        <v>12</v>
      </c>
      <c r="C78" s="1" t="s">
        <v>8</v>
      </c>
      <c r="D78" s="1" t="s">
        <v>15</v>
      </c>
      <c r="E78" s="1" t="s">
        <v>13</v>
      </c>
      <c r="F78" s="5">
        <v>6.9999999999999999E-4</v>
      </c>
      <c r="G78" s="5">
        <v>0.125915</v>
      </c>
      <c r="H78" s="5">
        <v>4.0000000000000002E-4</v>
      </c>
      <c r="I78">
        <v>1</v>
      </c>
      <c r="J78" s="4" t="str">
        <f>IF(OR(Копия_20206[[#This Row],[Units (in 1000)]]&gt;$R$7,Копия_20206[[#This Row],[Units (in 1000)]]&lt;$R$6),"outlier","not outlier")</f>
        <v>not outlier</v>
      </c>
      <c r="K78" s="4" t="str">
        <f>IF(OR(Копия_20206[[#This Row],[Value (in 1000 rub)]]&gt;$S$7,Копия_20206[[#This Row],[Value (in 1000 rub)]]&lt;$S$6),"outlier","not outlier")</f>
        <v>not outlier</v>
      </c>
      <c r="L78" s="4" t="str">
        <f>IF(OR(Копия_20206[[#This Row],[Volume (in 1000 kg)]]&gt;$T$7,Копия_20206[[#This Row],[Volume (in 1000 kg)]]&lt;$T$6),"outlier","not outlier")</f>
        <v>not outlier</v>
      </c>
      <c r="M78" s="4" t="str">
        <f>IF(OR(Копия_20206[[#This Row],[Number of stores]]&gt;$U$7,Копия_20206[[#This Row],[Number of stores]]&lt;$U$6),"outlier","not outlier")</f>
        <v>not outlier</v>
      </c>
    </row>
    <row r="79" spans="1:13" x14ac:dyDescent="0.25">
      <c r="A79">
        <v>2020</v>
      </c>
      <c r="B79">
        <v>12</v>
      </c>
      <c r="C79" s="1" t="s">
        <v>25</v>
      </c>
      <c r="D79" s="1" t="s">
        <v>15</v>
      </c>
      <c r="E79" s="1" t="s">
        <v>10</v>
      </c>
      <c r="F79" s="5">
        <v>3.0648</v>
      </c>
      <c r="G79" s="5">
        <v>238.161845</v>
      </c>
      <c r="H79" s="5">
        <v>0.70489999999999997</v>
      </c>
      <c r="I79">
        <v>1181</v>
      </c>
      <c r="J79" s="4" t="str">
        <f>IF(OR(Копия_20206[[#This Row],[Units (in 1000)]]&gt;$R$7,Копия_20206[[#This Row],[Units (in 1000)]]&lt;$R$6),"outlier","not outlier")</f>
        <v>not outlier</v>
      </c>
      <c r="K79" s="4" t="str">
        <f>IF(OR(Копия_20206[[#This Row],[Value (in 1000 rub)]]&gt;$S$7,Копия_20206[[#This Row],[Value (in 1000 rub)]]&lt;$S$6),"outlier","not outlier")</f>
        <v>not outlier</v>
      </c>
      <c r="L79" s="4" t="str">
        <f>IF(OR(Копия_20206[[#This Row],[Volume (in 1000 kg)]]&gt;$T$7,Копия_20206[[#This Row],[Volume (in 1000 kg)]]&lt;$T$6),"outlier","not outlier")</f>
        <v>not outlier</v>
      </c>
      <c r="M79" s="4" t="str">
        <f>IF(OR(Копия_20206[[#This Row],[Number of stores]]&gt;$U$7,Копия_20206[[#This Row],[Number of stores]]&lt;$U$6),"outlier","not outlier")</f>
        <v>not outlier</v>
      </c>
    </row>
    <row r="80" spans="1:13" x14ac:dyDescent="0.25">
      <c r="A80">
        <v>2020</v>
      </c>
      <c r="B80">
        <v>12</v>
      </c>
      <c r="C80" s="1" t="s">
        <v>25</v>
      </c>
      <c r="D80" s="1" t="s">
        <v>15</v>
      </c>
      <c r="E80" s="1" t="s">
        <v>12</v>
      </c>
      <c r="F80" s="5">
        <v>0.66700000000000004</v>
      </c>
      <c r="G80" s="5">
        <v>117.18423799999999</v>
      </c>
      <c r="H80" s="5">
        <v>0.30020000000000002</v>
      </c>
      <c r="I80">
        <v>439</v>
      </c>
      <c r="J80" s="4" t="str">
        <f>IF(OR(Копия_20206[[#This Row],[Units (in 1000)]]&gt;$R$7,Копия_20206[[#This Row],[Units (in 1000)]]&lt;$R$6),"outlier","not outlier")</f>
        <v>not outlier</v>
      </c>
      <c r="K80" s="4" t="str">
        <f>IF(OR(Копия_20206[[#This Row],[Value (in 1000 rub)]]&gt;$S$7,Копия_20206[[#This Row],[Value (in 1000 rub)]]&lt;$S$6),"outlier","not outlier")</f>
        <v>not outlier</v>
      </c>
      <c r="L80" s="4" t="str">
        <f>IF(OR(Копия_20206[[#This Row],[Volume (in 1000 kg)]]&gt;$T$7,Копия_20206[[#This Row],[Volume (in 1000 kg)]]&lt;$T$6),"outlier","not outlier")</f>
        <v>not outlier</v>
      </c>
      <c r="M80" s="4" t="str">
        <f>IF(OR(Копия_20206[[#This Row],[Number of stores]]&gt;$U$7,Копия_20206[[#This Row],[Number of stores]]&lt;$U$6),"outlier","not outlier")</f>
        <v>not outlier</v>
      </c>
    </row>
    <row r="81" spans="1:13" x14ac:dyDescent="0.25">
      <c r="A81">
        <v>2020</v>
      </c>
      <c r="B81">
        <v>12</v>
      </c>
      <c r="C81" s="1" t="s">
        <v>29</v>
      </c>
      <c r="D81" s="1" t="s">
        <v>15</v>
      </c>
      <c r="E81" s="1" t="s">
        <v>10</v>
      </c>
      <c r="F81" s="5">
        <v>5.1246999999999998</v>
      </c>
      <c r="G81" s="5">
        <v>297.62850800000001</v>
      </c>
      <c r="H81" s="5">
        <v>1.1787000000000001</v>
      </c>
      <c r="I81">
        <v>1031</v>
      </c>
      <c r="J81" s="4" t="str">
        <f>IF(OR(Копия_20206[[#This Row],[Units (in 1000)]]&gt;$R$7,Копия_20206[[#This Row],[Units (in 1000)]]&lt;$R$6),"outlier","not outlier")</f>
        <v>not outlier</v>
      </c>
      <c r="K81" s="4" t="str">
        <f>IF(OR(Копия_20206[[#This Row],[Value (in 1000 rub)]]&gt;$S$7,Копия_20206[[#This Row],[Value (in 1000 rub)]]&lt;$S$6),"outlier","not outlier")</f>
        <v>not outlier</v>
      </c>
      <c r="L81" s="4" t="str">
        <f>IF(OR(Копия_20206[[#This Row],[Volume (in 1000 kg)]]&gt;$T$7,Копия_20206[[#This Row],[Volume (in 1000 kg)]]&lt;$T$6),"outlier","not outlier")</f>
        <v>not outlier</v>
      </c>
      <c r="M81" s="4" t="str">
        <f>IF(OR(Копия_20206[[#This Row],[Number of stores]]&gt;$U$7,Копия_20206[[#This Row],[Number of stores]]&lt;$U$6),"outlier","not outlier")</f>
        <v>not outlier</v>
      </c>
    </row>
    <row r="82" spans="1:13" x14ac:dyDescent="0.25">
      <c r="A82">
        <v>2020</v>
      </c>
      <c r="B82">
        <v>12</v>
      </c>
      <c r="C82" s="1" t="s">
        <v>29</v>
      </c>
      <c r="D82" s="1" t="s">
        <v>15</v>
      </c>
      <c r="E82" s="1" t="s">
        <v>35</v>
      </c>
      <c r="F82" s="5">
        <v>7.7999999999999996E-3</v>
      </c>
      <c r="G82" s="5">
        <v>0.85269600000000001</v>
      </c>
      <c r="H82" s="5">
        <v>2.3E-3</v>
      </c>
      <c r="I82">
        <v>9</v>
      </c>
      <c r="J82" s="4" t="str">
        <f>IF(OR(Копия_20206[[#This Row],[Units (in 1000)]]&gt;$R$7,Копия_20206[[#This Row],[Units (in 1000)]]&lt;$R$6),"outlier","not outlier")</f>
        <v>not outlier</v>
      </c>
      <c r="K82" s="4" t="str">
        <f>IF(OR(Копия_20206[[#This Row],[Value (in 1000 rub)]]&gt;$S$7,Копия_20206[[#This Row],[Value (in 1000 rub)]]&lt;$S$6),"outlier","not outlier")</f>
        <v>not outlier</v>
      </c>
      <c r="L82" s="4" t="str">
        <f>IF(OR(Копия_20206[[#This Row],[Volume (in 1000 kg)]]&gt;$T$7,Копия_20206[[#This Row],[Volume (in 1000 kg)]]&lt;$T$6),"outlier","not outlier")</f>
        <v>not outlier</v>
      </c>
      <c r="M82" s="4" t="str">
        <f>IF(OR(Копия_20206[[#This Row],[Number of stores]]&gt;$U$7,Копия_20206[[#This Row],[Number of stores]]&lt;$U$6),"outlier","not outlier")</f>
        <v>not outlier</v>
      </c>
    </row>
    <row r="83" spans="1:13" x14ac:dyDescent="0.25">
      <c r="A83">
        <v>2020</v>
      </c>
      <c r="B83">
        <v>12</v>
      </c>
      <c r="C83" s="1" t="s">
        <v>29</v>
      </c>
      <c r="D83" s="1" t="s">
        <v>15</v>
      </c>
      <c r="E83" s="1" t="s">
        <v>12</v>
      </c>
      <c r="F83" s="5">
        <v>6.2070999999999996</v>
      </c>
      <c r="G83" s="5">
        <v>923.40991899999995</v>
      </c>
      <c r="H83" s="5">
        <v>2.7930999999999999</v>
      </c>
      <c r="I83">
        <v>2067</v>
      </c>
      <c r="J83" s="4" t="str">
        <f>IF(OR(Копия_20206[[#This Row],[Units (in 1000)]]&gt;$R$7,Копия_20206[[#This Row],[Units (in 1000)]]&lt;$R$6),"outlier","not outlier")</f>
        <v>not outlier</v>
      </c>
      <c r="K83" s="4" t="str">
        <f>IF(OR(Копия_20206[[#This Row],[Value (in 1000 rub)]]&gt;$S$7,Копия_20206[[#This Row],[Value (in 1000 rub)]]&lt;$S$6),"outlier","not outlier")</f>
        <v>not outlier</v>
      </c>
      <c r="L83" s="4" t="str">
        <f>IF(OR(Копия_20206[[#This Row],[Volume (in 1000 kg)]]&gt;$T$7,Копия_20206[[#This Row],[Volume (in 1000 kg)]]&lt;$T$6),"outlier","not outlier")</f>
        <v>not outlier</v>
      </c>
      <c r="M83" s="4" t="str">
        <f>IF(OR(Копия_20206[[#This Row],[Number of stores]]&gt;$U$7,Копия_20206[[#This Row],[Number of stores]]&lt;$U$6),"outlier","not outlier")</f>
        <v>not outlier</v>
      </c>
    </row>
    <row r="84" spans="1:13" x14ac:dyDescent="0.25">
      <c r="A84">
        <v>2020</v>
      </c>
      <c r="B84">
        <v>1</v>
      </c>
      <c r="C84" s="1" t="s">
        <v>8</v>
      </c>
      <c r="D84" s="1" t="s">
        <v>14</v>
      </c>
      <c r="E84" s="1" t="s">
        <v>12</v>
      </c>
      <c r="F84" s="5">
        <v>16.8368</v>
      </c>
      <c r="G84" s="5">
        <v>3227.9926559999999</v>
      </c>
      <c r="H84" s="5">
        <v>6.7346000000000004</v>
      </c>
      <c r="I84">
        <v>663</v>
      </c>
      <c r="J84" s="4" t="str">
        <f>IF(OR(Копия_20206[[#This Row],[Units (in 1000)]]&gt;$R$7,Копия_20206[[#This Row],[Units (in 1000)]]&lt;$R$6),"outlier","not outlier")</f>
        <v>not outlier</v>
      </c>
      <c r="K84" s="4" t="str">
        <f>IF(OR(Копия_20206[[#This Row],[Value (in 1000 rub)]]&gt;$S$7,Копия_20206[[#This Row],[Value (in 1000 rub)]]&lt;$S$6),"outlier","not outlier")</f>
        <v>outlier</v>
      </c>
      <c r="L84" s="4" t="str">
        <f>IF(OR(Копия_20206[[#This Row],[Volume (in 1000 kg)]]&gt;$T$7,Копия_20206[[#This Row],[Volume (in 1000 kg)]]&lt;$T$6),"outlier","not outlier")</f>
        <v>not outlier</v>
      </c>
      <c r="M84" s="4" t="str">
        <f>IF(OR(Копия_20206[[#This Row],[Number of stores]]&gt;$U$7,Копия_20206[[#This Row],[Number of stores]]&lt;$U$6),"outlier","not outlier")</f>
        <v>not outlier</v>
      </c>
    </row>
    <row r="85" spans="1:13" x14ac:dyDescent="0.25">
      <c r="A85">
        <v>2020</v>
      </c>
      <c r="B85">
        <v>1</v>
      </c>
      <c r="C85" s="1" t="s">
        <v>25</v>
      </c>
      <c r="D85" s="1" t="s">
        <v>14</v>
      </c>
      <c r="E85" s="1" t="s">
        <v>12</v>
      </c>
      <c r="F85" s="5">
        <v>14.2126</v>
      </c>
      <c r="G85" s="5">
        <v>2169.3090109999998</v>
      </c>
      <c r="H85" s="5">
        <v>5.6848999999999998</v>
      </c>
      <c r="I85">
        <v>1776</v>
      </c>
      <c r="J85" s="4" t="str">
        <f>IF(OR(Копия_20206[[#This Row],[Units (in 1000)]]&gt;$R$7,Копия_20206[[#This Row],[Units (in 1000)]]&lt;$R$6),"outlier","not outlier")</f>
        <v>not outlier</v>
      </c>
      <c r="K85" s="4" t="str">
        <f>IF(OR(Копия_20206[[#This Row],[Value (in 1000 rub)]]&gt;$S$7,Копия_20206[[#This Row],[Value (in 1000 rub)]]&lt;$S$6),"outlier","not outlier")</f>
        <v>outlier</v>
      </c>
      <c r="L85" s="4" t="str">
        <f>IF(OR(Копия_20206[[#This Row],[Volume (in 1000 kg)]]&gt;$T$7,Копия_20206[[#This Row],[Volume (in 1000 kg)]]&lt;$T$6),"outlier","not outlier")</f>
        <v>not outlier</v>
      </c>
      <c r="M85" s="4" t="str">
        <f>IF(OR(Копия_20206[[#This Row],[Number of stores]]&gt;$U$7,Копия_20206[[#This Row],[Number of stores]]&lt;$U$6),"outlier","not outlier")</f>
        <v>not outlier</v>
      </c>
    </row>
    <row r="86" spans="1:13" x14ac:dyDescent="0.25">
      <c r="A86">
        <v>2020</v>
      </c>
      <c r="B86">
        <v>1</v>
      </c>
      <c r="C86" s="1" t="s">
        <v>29</v>
      </c>
      <c r="D86" s="1" t="s">
        <v>14</v>
      </c>
      <c r="E86" s="1" t="s">
        <v>12</v>
      </c>
      <c r="F86" s="5">
        <v>66.142200000000003</v>
      </c>
      <c r="G86" s="5">
        <v>9564.4037960000005</v>
      </c>
      <c r="H86" s="5">
        <v>26.456900000000001</v>
      </c>
      <c r="I86">
        <v>5157</v>
      </c>
      <c r="J86" s="4" t="str">
        <f>IF(OR(Копия_20206[[#This Row],[Units (in 1000)]]&gt;$R$7,Копия_20206[[#This Row],[Units (in 1000)]]&lt;$R$6),"outlier","not outlier")</f>
        <v>outlier</v>
      </c>
      <c r="K86" s="4" t="str">
        <f>IF(OR(Копия_20206[[#This Row],[Value (in 1000 rub)]]&gt;$S$7,Копия_20206[[#This Row],[Value (in 1000 rub)]]&lt;$S$6),"outlier","not outlier")</f>
        <v>outlier</v>
      </c>
      <c r="L86" s="4" t="str">
        <f>IF(OR(Копия_20206[[#This Row],[Volume (in 1000 kg)]]&gt;$T$7,Копия_20206[[#This Row],[Volume (in 1000 kg)]]&lt;$T$6),"outlier","not outlier")</f>
        <v>outlier</v>
      </c>
      <c r="M86" s="4" t="str">
        <f>IF(OR(Копия_20206[[#This Row],[Number of stores]]&gt;$U$7,Копия_20206[[#This Row],[Number of stores]]&lt;$U$6),"outlier","not outlier")</f>
        <v>outlier</v>
      </c>
    </row>
    <row r="87" spans="1:13" x14ac:dyDescent="0.25">
      <c r="A87">
        <v>2020</v>
      </c>
      <c r="B87">
        <v>2</v>
      </c>
      <c r="C87" s="1" t="s">
        <v>8</v>
      </c>
      <c r="D87" s="1" t="s">
        <v>14</v>
      </c>
      <c r="E87" s="1" t="s">
        <v>12</v>
      </c>
      <c r="F87" s="5">
        <v>15.797800000000001</v>
      </c>
      <c r="G87" s="5">
        <v>3177.9073079999998</v>
      </c>
      <c r="H87" s="5">
        <v>6.319</v>
      </c>
      <c r="I87">
        <v>668</v>
      </c>
      <c r="J87" s="4" t="str">
        <f>IF(OR(Копия_20206[[#This Row],[Units (in 1000)]]&gt;$R$7,Копия_20206[[#This Row],[Units (in 1000)]]&lt;$R$6),"outlier","not outlier")</f>
        <v>not outlier</v>
      </c>
      <c r="K87" s="4" t="str">
        <f>IF(OR(Копия_20206[[#This Row],[Value (in 1000 rub)]]&gt;$S$7,Копия_20206[[#This Row],[Value (in 1000 rub)]]&lt;$S$6),"outlier","not outlier")</f>
        <v>outlier</v>
      </c>
      <c r="L87" s="4" t="str">
        <f>IF(OR(Копия_20206[[#This Row],[Volume (in 1000 kg)]]&gt;$T$7,Копия_20206[[#This Row],[Volume (in 1000 kg)]]&lt;$T$6),"outlier","not outlier")</f>
        <v>not outlier</v>
      </c>
      <c r="M87" s="4" t="str">
        <f>IF(OR(Копия_20206[[#This Row],[Number of stores]]&gt;$U$7,Копия_20206[[#This Row],[Number of stores]]&lt;$U$6),"outlier","not outlier")</f>
        <v>not outlier</v>
      </c>
    </row>
    <row r="88" spans="1:13" x14ac:dyDescent="0.25">
      <c r="A88">
        <v>2020</v>
      </c>
      <c r="B88">
        <v>2</v>
      </c>
      <c r="C88" s="1" t="s">
        <v>25</v>
      </c>
      <c r="D88" s="1" t="s">
        <v>14</v>
      </c>
      <c r="E88" s="1" t="s">
        <v>12</v>
      </c>
      <c r="F88" s="5">
        <v>11.616</v>
      </c>
      <c r="G88" s="5">
        <v>1969.5568780000001</v>
      </c>
      <c r="H88" s="5">
        <v>4.6464999999999996</v>
      </c>
      <c r="I88">
        <v>1919</v>
      </c>
      <c r="J88" s="4" t="str">
        <f>IF(OR(Копия_20206[[#This Row],[Units (in 1000)]]&gt;$R$7,Копия_20206[[#This Row],[Units (in 1000)]]&lt;$R$6),"outlier","not outlier")</f>
        <v>not outlier</v>
      </c>
      <c r="K88" s="4" t="str">
        <f>IF(OR(Копия_20206[[#This Row],[Value (in 1000 rub)]]&gt;$S$7,Копия_20206[[#This Row],[Value (in 1000 rub)]]&lt;$S$6),"outlier","not outlier")</f>
        <v>not outlier</v>
      </c>
      <c r="L88" s="4" t="str">
        <f>IF(OR(Копия_20206[[#This Row],[Volume (in 1000 kg)]]&gt;$T$7,Копия_20206[[#This Row],[Volume (in 1000 kg)]]&lt;$T$6),"outlier","not outlier")</f>
        <v>not outlier</v>
      </c>
      <c r="M88" s="4" t="str">
        <f>IF(OR(Копия_20206[[#This Row],[Number of stores]]&gt;$U$7,Копия_20206[[#This Row],[Number of stores]]&lt;$U$6),"outlier","not outlier")</f>
        <v>not outlier</v>
      </c>
    </row>
    <row r="89" spans="1:13" x14ac:dyDescent="0.25">
      <c r="A89">
        <v>2020</v>
      </c>
      <c r="B89">
        <v>2</v>
      </c>
      <c r="C89" s="1" t="s">
        <v>29</v>
      </c>
      <c r="D89" s="1" t="s">
        <v>14</v>
      </c>
      <c r="E89" s="1" t="s">
        <v>12</v>
      </c>
      <c r="F89" s="5">
        <v>30.866900000000001</v>
      </c>
      <c r="G89" s="5">
        <v>5580.4851070000004</v>
      </c>
      <c r="H89" s="5">
        <v>12.3467</v>
      </c>
      <c r="I89">
        <v>3891</v>
      </c>
      <c r="J89" s="4" t="str">
        <f>IF(OR(Копия_20206[[#This Row],[Units (in 1000)]]&gt;$R$7,Копия_20206[[#This Row],[Units (in 1000)]]&lt;$R$6),"outlier","not outlier")</f>
        <v>outlier</v>
      </c>
      <c r="K89" s="4" t="str">
        <f>IF(OR(Копия_20206[[#This Row],[Value (in 1000 rub)]]&gt;$S$7,Копия_20206[[#This Row],[Value (in 1000 rub)]]&lt;$S$6),"outlier","not outlier")</f>
        <v>outlier</v>
      </c>
      <c r="L89" s="4" t="str">
        <f>IF(OR(Копия_20206[[#This Row],[Volume (in 1000 kg)]]&gt;$T$7,Копия_20206[[#This Row],[Volume (in 1000 kg)]]&lt;$T$6),"outlier","not outlier")</f>
        <v>outlier</v>
      </c>
      <c r="M89" s="4" t="str">
        <f>IF(OR(Копия_20206[[#This Row],[Number of stores]]&gt;$U$7,Копия_20206[[#This Row],[Number of stores]]&lt;$U$6),"outlier","not outlier")</f>
        <v>outlier</v>
      </c>
    </row>
    <row r="90" spans="1:13" x14ac:dyDescent="0.25">
      <c r="A90">
        <v>2020</v>
      </c>
      <c r="B90">
        <v>3</v>
      </c>
      <c r="C90" s="1" t="s">
        <v>8</v>
      </c>
      <c r="D90" s="1" t="s">
        <v>14</v>
      </c>
      <c r="E90" s="1" t="s">
        <v>12</v>
      </c>
      <c r="F90" s="5">
        <v>17.3306</v>
      </c>
      <c r="G90" s="5">
        <v>3529.6090760000002</v>
      </c>
      <c r="H90" s="5">
        <v>6.9321999999999999</v>
      </c>
      <c r="I90">
        <v>668</v>
      </c>
      <c r="J90" s="4" t="str">
        <f>IF(OR(Копия_20206[[#This Row],[Units (in 1000)]]&gt;$R$7,Копия_20206[[#This Row],[Units (in 1000)]]&lt;$R$6),"outlier","not outlier")</f>
        <v>not outlier</v>
      </c>
      <c r="K90" s="4" t="str">
        <f>IF(OR(Копия_20206[[#This Row],[Value (in 1000 rub)]]&gt;$S$7,Копия_20206[[#This Row],[Value (in 1000 rub)]]&lt;$S$6),"outlier","not outlier")</f>
        <v>outlier</v>
      </c>
      <c r="L90" s="4" t="str">
        <f>IF(OR(Копия_20206[[#This Row],[Volume (in 1000 kg)]]&gt;$T$7,Копия_20206[[#This Row],[Volume (in 1000 kg)]]&lt;$T$6),"outlier","not outlier")</f>
        <v>not outlier</v>
      </c>
      <c r="M90" s="4" t="str">
        <f>IF(OR(Копия_20206[[#This Row],[Number of stores]]&gt;$U$7,Копия_20206[[#This Row],[Number of stores]]&lt;$U$6),"outlier","not outlier")</f>
        <v>not outlier</v>
      </c>
    </row>
    <row r="91" spans="1:13" x14ac:dyDescent="0.25">
      <c r="A91">
        <v>2020</v>
      </c>
      <c r="B91">
        <v>3</v>
      </c>
      <c r="C91" s="1" t="s">
        <v>25</v>
      </c>
      <c r="D91" s="1" t="s">
        <v>14</v>
      </c>
      <c r="E91" s="1" t="s">
        <v>12</v>
      </c>
      <c r="F91" s="5">
        <v>10.6065</v>
      </c>
      <c r="G91" s="5">
        <v>1949.093433</v>
      </c>
      <c r="H91" s="5">
        <v>4.2427000000000001</v>
      </c>
      <c r="I91">
        <v>1612</v>
      </c>
      <c r="J91" s="4" t="str">
        <f>IF(OR(Копия_20206[[#This Row],[Units (in 1000)]]&gt;$R$7,Копия_20206[[#This Row],[Units (in 1000)]]&lt;$R$6),"outlier","not outlier")</f>
        <v>not outlier</v>
      </c>
      <c r="K91" s="4" t="str">
        <f>IF(OR(Копия_20206[[#This Row],[Value (in 1000 rub)]]&gt;$S$7,Копия_20206[[#This Row],[Value (in 1000 rub)]]&lt;$S$6),"outlier","not outlier")</f>
        <v>not outlier</v>
      </c>
      <c r="L91" s="4" t="str">
        <f>IF(OR(Копия_20206[[#This Row],[Volume (in 1000 kg)]]&gt;$T$7,Копия_20206[[#This Row],[Volume (in 1000 kg)]]&lt;$T$6),"outlier","not outlier")</f>
        <v>not outlier</v>
      </c>
      <c r="M91" s="4" t="str">
        <f>IF(OR(Копия_20206[[#This Row],[Number of stores]]&gt;$U$7,Копия_20206[[#This Row],[Number of stores]]&lt;$U$6),"outlier","not outlier")</f>
        <v>not outlier</v>
      </c>
    </row>
    <row r="92" spans="1:13" x14ac:dyDescent="0.25">
      <c r="A92">
        <v>2020</v>
      </c>
      <c r="B92">
        <v>3</v>
      </c>
      <c r="C92" s="1" t="s">
        <v>29</v>
      </c>
      <c r="D92" s="1" t="s">
        <v>14</v>
      </c>
      <c r="E92" s="1" t="s">
        <v>12</v>
      </c>
      <c r="F92" s="5">
        <v>22.785900000000002</v>
      </c>
      <c r="G92" s="5">
        <v>4874.6838100000004</v>
      </c>
      <c r="H92" s="5">
        <v>9.1143999999999998</v>
      </c>
      <c r="I92">
        <v>2764</v>
      </c>
      <c r="J92" s="4" t="str">
        <f>IF(OR(Копия_20206[[#This Row],[Units (in 1000)]]&gt;$R$7,Копия_20206[[#This Row],[Units (in 1000)]]&lt;$R$6),"outlier","not outlier")</f>
        <v>not outlier</v>
      </c>
      <c r="K92" s="4" t="str">
        <f>IF(OR(Копия_20206[[#This Row],[Value (in 1000 rub)]]&gt;$S$7,Копия_20206[[#This Row],[Value (in 1000 rub)]]&lt;$S$6),"outlier","not outlier")</f>
        <v>outlier</v>
      </c>
      <c r="L92" s="4" t="str">
        <f>IF(OR(Копия_20206[[#This Row],[Volume (in 1000 kg)]]&gt;$T$7,Копия_20206[[#This Row],[Volume (in 1000 kg)]]&lt;$T$6),"outlier","not outlier")</f>
        <v>outlier</v>
      </c>
      <c r="M92" s="4" t="str">
        <f>IF(OR(Копия_20206[[#This Row],[Number of stores]]&gt;$U$7,Копия_20206[[#This Row],[Number of stores]]&lt;$U$6),"outlier","not outlier")</f>
        <v>outlier</v>
      </c>
    </row>
    <row r="93" spans="1:13" x14ac:dyDescent="0.25">
      <c r="A93">
        <v>2020</v>
      </c>
      <c r="B93">
        <v>4</v>
      </c>
      <c r="C93" s="1" t="s">
        <v>8</v>
      </c>
      <c r="D93" s="1" t="s">
        <v>14</v>
      </c>
      <c r="E93" s="1" t="s">
        <v>12</v>
      </c>
      <c r="F93" s="5">
        <v>14.688700000000001</v>
      </c>
      <c r="G93" s="5">
        <v>3008.3285460000002</v>
      </c>
      <c r="H93" s="5">
        <v>5.8754999999999997</v>
      </c>
      <c r="I93">
        <v>671</v>
      </c>
      <c r="J93" s="4" t="str">
        <f>IF(OR(Копия_20206[[#This Row],[Units (in 1000)]]&gt;$R$7,Копия_20206[[#This Row],[Units (in 1000)]]&lt;$R$6),"outlier","not outlier")</f>
        <v>not outlier</v>
      </c>
      <c r="K93" s="4" t="str">
        <f>IF(OR(Копия_20206[[#This Row],[Value (in 1000 rub)]]&gt;$S$7,Копия_20206[[#This Row],[Value (in 1000 rub)]]&lt;$S$6),"outlier","not outlier")</f>
        <v>outlier</v>
      </c>
      <c r="L93" s="4" t="str">
        <f>IF(OR(Копия_20206[[#This Row],[Volume (in 1000 kg)]]&gt;$T$7,Копия_20206[[#This Row],[Volume (in 1000 kg)]]&lt;$T$6),"outlier","not outlier")</f>
        <v>not outlier</v>
      </c>
      <c r="M93" s="4" t="str">
        <f>IF(OR(Копия_20206[[#This Row],[Number of stores]]&gt;$U$7,Копия_20206[[#This Row],[Number of stores]]&lt;$U$6),"outlier","not outlier")</f>
        <v>not outlier</v>
      </c>
    </row>
    <row r="94" spans="1:13" x14ac:dyDescent="0.25">
      <c r="A94">
        <v>2020</v>
      </c>
      <c r="B94">
        <v>4</v>
      </c>
      <c r="C94" s="1" t="s">
        <v>25</v>
      </c>
      <c r="D94" s="1" t="s">
        <v>14</v>
      </c>
      <c r="E94" s="1" t="s">
        <v>12</v>
      </c>
      <c r="F94" s="5">
        <v>8.3434000000000008</v>
      </c>
      <c r="G94" s="5">
        <v>1553.383466</v>
      </c>
      <c r="H94" s="5">
        <v>3.3374000000000001</v>
      </c>
      <c r="I94">
        <v>1496</v>
      </c>
      <c r="J94" s="4" t="str">
        <f>IF(OR(Копия_20206[[#This Row],[Units (in 1000)]]&gt;$R$7,Копия_20206[[#This Row],[Units (in 1000)]]&lt;$R$6),"outlier","not outlier")</f>
        <v>not outlier</v>
      </c>
      <c r="K94" s="4" t="str">
        <f>IF(OR(Копия_20206[[#This Row],[Value (in 1000 rub)]]&gt;$S$7,Копия_20206[[#This Row],[Value (in 1000 rub)]]&lt;$S$6),"outlier","not outlier")</f>
        <v>not outlier</v>
      </c>
      <c r="L94" s="4" t="str">
        <f>IF(OR(Копия_20206[[#This Row],[Volume (in 1000 kg)]]&gt;$T$7,Копия_20206[[#This Row],[Volume (in 1000 kg)]]&lt;$T$6),"outlier","not outlier")</f>
        <v>not outlier</v>
      </c>
      <c r="M94" s="4" t="str">
        <f>IF(OR(Копия_20206[[#This Row],[Number of stores]]&gt;$U$7,Копия_20206[[#This Row],[Number of stores]]&lt;$U$6),"outlier","not outlier")</f>
        <v>not outlier</v>
      </c>
    </row>
    <row r="95" spans="1:13" x14ac:dyDescent="0.25">
      <c r="A95">
        <v>2020</v>
      </c>
      <c r="B95">
        <v>4</v>
      </c>
      <c r="C95" s="1" t="s">
        <v>29</v>
      </c>
      <c r="D95" s="1" t="s">
        <v>14</v>
      </c>
      <c r="E95" s="1" t="s">
        <v>12</v>
      </c>
      <c r="F95" s="5">
        <v>32.749200000000002</v>
      </c>
      <c r="G95" s="5">
        <v>5927.9103999999998</v>
      </c>
      <c r="H95" s="5">
        <v>13.0998</v>
      </c>
      <c r="I95">
        <v>2316</v>
      </c>
      <c r="J95" s="4" t="str">
        <f>IF(OR(Копия_20206[[#This Row],[Units (in 1000)]]&gt;$R$7,Копия_20206[[#This Row],[Units (in 1000)]]&lt;$R$6),"outlier","not outlier")</f>
        <v>outlier</v>
      </c>
      <c r="K95" s="4" t="str">
        <f>IF(OR(Копия_20206[[#This Row],[Value (in 1000 rub)]]&gt;$S$7,Копия_20206[[#This Row],[Value (in 1000 rub)]]&lt;$S$6),"outlier","not outlier")</f>
        <v>outlier</v>
      </c>
      <c r="L95" s="4" t="str">
        <f>IF(OR(Копия_20206[[#This Row],[Volume (in 1000 kg)]]&gt;$T$7,Копия_20206[[#This Row],[Volume (in 1000 kg)]]&lt;$T$6),"outlier","not outlier")</f>
        <v>outlier</v>
      </c>
      <c r="M95" s="4" t="str">
        <f>IF(OR(Копия_20206[[#This Row],[Number of stores]]&gt;$U$7,Копия_20206[[#This Row],[Number of stores]]&lt;$U$6),"outlier","not outlier")</f>
        <v>not outlier</v>
      </c>
    </row>
    <row r="96" spans="1:13" x14ac:dyDescent="0.25">
      <c r="A96">
        <v>2020</v>
      </c>
      <c r="B96">
        <v>5</v>
      </c>
      <c r="C96" s="1" t="s">
        <v>8</v>
      </c>
      <c r="D96" s="1" t="s">
        <v>14</v>
      </c>
      <c r="E96" s="1" t="s">
        <v>12</v>
      </c>
      <c r="F96" s="5">
        <v>17.095099999999999</v>
      </c>
      <c r="G96" s="5">
        <v>3209.643513</v>
      </c>
      <c r="H96" s="5">
        <v>6.8380999999999998</v>
      </c>
      <c r="I96">
        <v>633</v>
      </c>
      <c r="J96" s="4" t="str">
        <f>IF(OR(Копия_20206[[#This Row],[Units (in 1000)]]&gt;$R$7,Копия_20206[[#This Row],[Units (in 1000)]]&lt;$R$6),"outlier","not outlier")</f>
        <v>not outlier</v>
      </c>
      <c r="K96" s="4" t="str">
        <f>IF(OR(Копия_20206[[#This Row],[Value (in 1000 rub)]]&gt;$S$7,Копия_20206[[#This Row],[Value (in 1000 rub)]]&lt;$S$6),"outlier","not outlier")</f>
        <v>outlier</v>
      </c>
      <c r="L96" s="4" t="str">
        <f>IF(OR(Копия_20206[[#This Row],[Volume (in 1000 kg)]]&gt;$T$7,Копия_20206[[#This Row],[Volume (in 1000 kg)]]&lt;$T$6),"outlier","not outlier")</f>
        <v>not outlier</v>
      </c>
      <c r="M96" s="4" t="str">
        <f>IF(OR(Копия_20206[[#This Row],[Number of stores]]&gt;$U$7,Копия_20206[[#This Row],[Number of stores]]&lt;$U$6),"outlier","not outlier")</f>
        <v>not outlier</v>
      </c>
    </row>
    <row r="97" spans="1:13" x14ac:dyDescent="0.25">
      <c r="A97">
        <v>2020</v>
      </c>
      <c r="B97">
        <v>5</v>
      </c>
      <c r="C97" s="1" t="s">
        <v>25</v>
      </c>
      <c r="D97" s="1" t="s">
        <v>14</v>
      </c>
      <c r="E97" s="1" t="s">
        <v>12</v>
      </c>
      <c r="F97" s="5">
        <v>9.4710999999999999</v>
      </c>
      <c r="G97" s="5">
        <v>1704.141979</v>
      </c>
      <c r="H97" s="5">
        <v>3.7885</v>
      </c>
      <c r="I97">
        <v>1342</v>
      </c>
      <c r="J97" s="4" t="str">
        <f>IF(OR(Копия_20206[[#This Row],[Units (in 1000)]]&gt;$R$7,Копия_20206[[#This Row],[Units (in 1000)]]&lt;$R$6),"outlier","not outlier")</f>
        <v>not outlier</v>
      </c>
      <c r="K97" s="4" t="str">
        <f>IF(OR(Копия_20206[[#This Row],[Value (in 1000 rub)]]&gt;$S$7,Копия_20206[[#This Row],[Value (in 1000 rub)]]&lt;$S$6),"outlier","not outlier")</f>
        <v>not outlier</v>
      </c>
      <c r="L97" s="4" t="str">
        <f>IF(OR(Копия_20206[[#This Row],[Volume (in 1000 kg)]]&gt;$T$7,Копия_20206[[#This Row],[Volume (in 1000 kg)]]&lt;$T$6),"outlier","not outlier")</f>
        <v>not outlier</v>
      </c>
      <c r="M97" s="4" t="str">
        <f>IF(OR(Копия_20206[[#This Row],[Number of stores]]&gt;$U$7,Копия_20206[[#This Row],[Number of stores]]&lt;$U$6),"outlier","not outlier")</f>
        <v>not outlier</v>
      </c>
    </row>
    <row r="98" spans="1:13" x14ac:dyDescent="0.25">
      <c r="A98">
        <v>2020</v>
      </c>
      <c r="B98">
        <v>5</v>
      </c>
      <c r="C98" s="1" t="s">
        <v>29</v>
      </c>
      <c r="D98" s="1" t="s">
        <v>14</v>
      </c>
      <c r="E98" s="1" t="s">
        <v>12</v>
      </c>
      <c r="F98" s="5">
        <v>23.846399999999999</v>
      </c>
      <c r="G98" s="5">
        <v>4815.3788020000002</v>
      </c>
      <c r="H98" s="5">
        <v>9.5385000000000009</v>
      </c>
      <c r="I98">
        <v>2262</v>
      </c>
      <c r="J98" s="4" t="str">
        <f>IF(OR(Копия_20206[[#This Row],[Units (in 1000)]]&gt;$R$7,Копия_20206[[#This Row],[Units (in 1000)]]&lt;$R$6),"outlier","not outlier")</f>
        <v>outlier</v>
      </c>
      <c r="K98" s="4" t="str">
        <f>IF(OR(Копия_20206[[#This Row],[Value (in 1000 rub)]]&gt;$S$7,Копия_20206[[#This Row],[Value (in 1000 rub)]]&lt;$S$6),"outlier","not outlier")</f>
        <v>outlier</v>
      </c>
      <c r="L98" s="4" t="str">
        <f>IF(OR(Копия_20206[[#This Row],[Volume (in 1000 kg)]]&gt;$T$7,Копия_20206[[#This Row],[Volume (in 1000 kg)]]&lt;$T$6),"outlier","not outlier")</f>
        <v>outlier</v>
      </c>
      <c r="M98" s="4" t="str">
        <f>IF(OR(Копия_20206[[#This Row],[Number of stores]]&gt;$U$7,Копия_20206[[#This Row],[Number of stores]]&lt;$U$6),"outlier","not outlier")</f>
        <v>not outlier</v>
      </c>
    </row>
    <row r="99" spans="1:13" x14ac:dyDescent="0.25">
      <c r="A99">
        <v>2020</v>
      </c>
      <c r="B99">
        <v>6</v>
      </c>
      <c r="C99" s="1" t="s">
        <v>8</v>
      </c>
      <c r="D99" s="1" t="s">
        <v>14</v>
      </c>
      <c r="E99" s="1" t="s">
        <v>12</v>
      </c>
      <c r="F99" s="5">
        <v>13.2913</v>
      </c>
      <c r="G99" s="5">
        <v>2643.4169510000002</v>
      </c>
      <c r="H99" s="5">
        <v>5.3166000000000002</v>
      </c>
      <c r="I99">
        <v>580</v>
      </c>
      <c r="J99" s="4" t="str">
        <f>IF(OR(Копия_20206[[#This Row],[Units (in 1000)]]&gt;$R$7,Копия_20206[[#This Row],[Units (in 1000)]]&lt;$R$6),"outlier","not outlier")</f>
        <v>not outlier</v>
      </c>
      <c r="K99" s="4" t="str">
        <f>IF(OR(Копия_20206[[#This Row],[Value (in 1000 rub)]]&gt;$S$7,Копия_20206[[#This Row],[Value (in 1000 rub)]]&lt;$S$6),"outlier","not outlier")</f>
        <v>outlier</v>
      </c>
      <c r="L99" s="4" t="str">
        <f>IF(OR(Копия_20206[[#This Row],[Volume (in 1000 kg)]]&gt;$T$7,Копия_20206[[#This Row],[Volume (in 1000 kg)]]&lt;$T$6),"outlier","not outlier")</f>
        <v>not outlier</v>
      </c>
      <c r="M99" s="4" t="str">
        <f>IF(OR(Копия_20206[[#This Row],[Number of stores]]&gt;$U$7,Копия_20206[[#This Row],[Number of stores]]&lt;$U$6),"outlier","not outlier")</f>
        <v>not outlier</v>
      </c>
    </row>
    <row r="100" spans="1:13" x14ac:dyDescent="0.25">
      <c r="A100">
        <v>2020</v>
      </c>
      <c r="B100">
        <v>6</v>
      </c>
      <c r="C100" s="1" t="s">
        <v>25</v>
      </c>
      <c r="D100" s="1" t="s">
        <v>14</v>
      </c>
      <c r="E100" s="1" t="s">
        <v>12</v>
      </c>
      <c r="F100" s="5">
        <v>5.8056000000000001</v>
      </c>
      <c r="G100" s="5">
        <v>1161.256081</v>
      </c>
      <c r="H100" s="5">
        <v>2.3222</v>
      </c>
      <c r="I100">
        <v>1295</v>
      </c>
      <c r="J100" s="4" t="str">
        <f>IF(OR(Копия_20206[[#This Row],[Units (in 1000)]]&gt;$R$7,Копия_20206[[#This Row],[Units (in 1000)]]&lt;$R$6),"outlier","not outlier")</f>
        <v>not outlier</v>
      </c>
      <c r="K100" s="4" t="str">
        <f>IF(OR(Копия_20206[[#This Row],[Value (in 1000 rub)]]&gt;$S$7,Копия_20206[[#This Row],[Value (in 1000 rub)]]&lt;$S$6),"outlier","not outlier")</f>
        <v>not outlier</v>
      </c>
      <c r="L100" s="4" t="str">
        <f>IF(OR(Копия_20206[[#This Row],[Volume (in 1000 kg)]]&gt;$T$7,Копия_20206[[#This Row],[Volume (in 1000 kg)]]&lt;$T$6),"outlier","not outlier")</f>
        <v>not outlier</v>
      </c>
      <c r="M100" s="4" t="str">
        <f>IF(OR(Копия_20206[[#This Row],[Number of stores]]&gt;$U$7,Копия_20206[[#This Row],[Number of stores]]&lt;$U$6),"outlier","not outlier")</f>
        <v>not outlier</v>
      </c>
    </row>
    <row r="101" spans="1:13" x14ac:dyDescent="0.25">
      <c r="A101">
        <v>2020</v>
      </c>
      <c r="B101">
        <v>6</v>
      </c>
      <c r="C101" s="1" t="s">
        <v>29</v>
      </c>
      <c r="D101" s="1" t="s">
        <v>14</v>
      </c>
      <c r="E101" s="1" t="s">
        <v>12</v>
      </c>
      <c r="F101" s="5">
        <v>20.441199999999998</v>
      </c>
      <c r="G101" s="5">
        <v>4241.4783729999999</v>
      </c>
      <c r="H101" s="5">
        <v>8.1765000000000008</v>
      </c>
      <c r="I101">
        <v>2246</v>
      </c>
      <c r="J101" s="4" t="str">
        <f>IF(OR(Копия_20206[[#This Row],[Units (in 1000)]]&gt;$R$7,Копия_20206[[#This Row],[Units (in 1000)]]&lt;$R$6),"outlier","not outlier")</f>
        <v>not outlier</v>
      </c>
      <c r="K101" s="4" t="str">
        <f>IF(OR(Копия_20206[[#This Row],[Value (in 1000 rub)]]&gt;$S$7,Копия_20206[[#This Row],[Value (in 1000 rub)]]&lt;$S$6),"outlier","not outlier")</f>
        <v>outlier</v>
      </c>
      <c r="L101" s="4" t="str">
        <f>IF(OR(Копия_20206[[#This Row],[Volume (in 1000 kg)]]&gt;$T$7,Копия_20206[[#This Row],[Volume (in 1000 kg)]]&lt;$T$6),"outlier","not outlier")</f>
        <v>outlier</v>
      </c>
      <c r="M101" s="4" t="str">
        <f>IF(OR(Копия_20206[[#This Row],[Number of stores]]&gt;$U$7,Копия_20206[[#This Row],[Number of stores]]&lt;$U$6),"outlier","not outlier")</f>
        <v>not outlier</v>
      </c>
    </row>
    <row r="102" spans="1:13" x14ac:dyDescent="0.25">
      <c r="A102">
        <v>2020</v>
      </c>
      <c r="B102">
        <v>7</v>
      </c>
      <c r="C102" s="1" t="s">
        <v>8</v>
      </c>
      <c r="D102" s="1" t="s">
        <v>14</v>
      </c>
      <c r="E102" s="1" t="s">
        <v>12</v>
      </c>
      <c r="F102" s="5">
        <v>14.491899999999999</v>
      </c>
      <c r="G102" s="5">
        <v>2822.8310240000001</v>
      </c>
      <c r="H102" s="5">
        <v>5.7967000000000004</v>
      </c>
      <c r="I102">
        <v>575</v>
      </c>
      <c r="J102" s="4" t="str">
        <f>IF(OR(Копия_20206[[#This Row],[Units (in 1000)]]&gt;$R$7,Копия_20206[[#This Row],[Units (in 1000)]]&lt;$R$6),"outlier","not outlier")</f>
        <v>not outlier</v>
      </c>
      <c r="K102" s="4" t="str">
        <f>IF(OR(Копия_20206[[#This Row],[Value (in 1000 rub)]]&gt;$S$7,Копия_20206[[#This Row],[Value (in 1000 rub)]]&lt;$S$6),"outlier","not outlier")</f>
        <v>outlier</v>
      </c>
      <c r="L102" s="4" t="str">
        <f>IF(OR(Копия_20206[[#This Row],[Volume (in 1000 kg)]]&gt;$T$7,Копия_20206[[#This Row],[Volume (in 1000 kg)]]&lt;$T$6),"outlier","not outlier")</f>
        <v>not outlier</v>
      </c>
      <c r="M102" s="4" t="str">
        <f>IF(OR(Копия_20206[[#This Row],[Number of stores]]&gt;$U$7,Копия_20206[[#This Row],[Number of stores]]&lt;$U$6),"outlier","not outlier")</f>
        <v>not outlier</v>
      </c>
    </row>
    <row r="103" spans="1:13" x14ac:dyDescent="0.25">
      <c r="A103">
        <v>2020</v>
      </c>
      <c r="B103">
        <v>7</v>
      </c>
      <c r="C103" s="1" t="s">
        <v>25</v>
      </c>
      <c r="D103" s="1" t="s">
        <v>14</v>
      </c>
      <c r="E103" s="1" t="s">
        <v>12</v>
      </c>
      <c r="F103" s="5">
        <v>7.2123999999999997</v>
      </c>
      <c r="G103" s="5">
        <v>1518.623836</v>
      </c>
      <c r="H103" s="5">
        <v>2.8849</v>
      </c>
      <c r="I103">
        <v>1343</v>
      </c>
      <c r="J103" s="4" t="str">
        <f>IF(OR(Копия_20206[[#This Row],[Units (in 1000)]]&gt;$R$7,Копия_20206[[#This Row],[Units (in 1000)]]&lt;$R$6),"outlier","not outlier")</f>
        <v>not outlier</v>
      </c>
      <c r="K103" s="4" t="str">
        <f>IF(OR(Копия_20206[[#This Row],[Value (in 1000 rub)]]&gt;$S$7,Копия_20206[[#This Row],[Value (in 1000 rub)]]&lt;$S$6),"outlier","not outlier")</f>
        <v>not outlier</v>
      </c>
      <c r="L103" s="4" t="str">
        <f>IF(OR(Копия_20206[[#This Row],[Volume (in 1000 kg)]]&gt;$T$7,Копия_20206[[#This Row],[Volume (in 1000 kg)]]&lt;$T$6),"outlier","not outlier")</f>
        <v>not outlier</v>
      </c>
      <c r="M103" s="4" t="str">
        <f>IF(OR(Копия_20206[[#This Row],[Number of stores]]&gt;$U$7,Копия_20206[[#This Row],[Number of stores]]&lt;$U$6),"outlier","not outlier")</f>
        <v>not outlier</v>
      </c>
    </row>
    <row r="104" spans="1:13" x14ac:dyDescent="0.25">
      <c r="A104">
        <v>2020</v>
      </c>
      <c r="B104">
        <v>7</v>
      </c>
      <c r="C104" s="1" t="s">
        <v>29</v>
      </c>
      <c r="D104" s="1" t="s">
        <v>14</v>
      </c>
      <c r="E104" s="1" t="s">
        <v>12</v>
      </c>
      <c r="F104" s="5">
        <v>36.377099999999999</v>
      </c>
      <c r="G104" s="5">
        <v>6144.1652510000004</v>
      </c>
      <c r="H104" s="5">
        <v>14.5509</v>
      </c>
      <c r="I104">
        <v>2354</v>
      </c>
      <c r="J104" s="4" t="str">
        <f>IF(OR(Копия_20206[[#This Row],[Units (in 1000)]]&gt;$R$7,Копия_20206[[#This Row],[Units (in 1000)]]&lt;$R$6),"outlier","not outlier")</f>
        <v>outlier</v>
      </c>
      <c r="K104" s="4" t="str">
        <f>IF(OR(Копия_20206[[#This Row],[Value (in 1000 rub)]]&gt;$S$7,Копия_20206[[#This Row],[Value (in 1000 rub)]]&lt;$S$6),"outlier","not outlier")</f>
        <v>outlier</v>
      </c>
      <c r="L104" s="4" t="str">
        <f>IF(OR(Копия_20206[[#This Row],[Volume (in 1000 kg)]]&gt;$T$7,Копия_20206[[#This Row],[Volume (in 1000 kg)]]&lt;$T$6),"outlier","not outlier")</f>
        <v>outlier</v>
      </c>
      <c r="M104" s="4" t="str">
        <f>IF(OR(Копия_20206[[#This Row],[Number of stores]]&gt;$U$7,Копия_20206[[#This Row],[Number of stores]]&lt;$U$6),"outlier","not outlier")</f>
        <v>not outlier</v>
      </c>
    </row>
    <row r="105" spans="1:13" x14ac:dyDescent="0.25">
      <c r="A105">
        <v>2020</v>
      </c>
      <c r="B105">
        <v>8</v>
      </c>
      <c r="C105" s="1" t="s">
        <v>8</v>
      </c>
      <c r="D105" s="1" t="s">
        <v>14</v>
      </c>
      <c r="E105" s="1" t="s">
        <v>12</v>
      </c>
      <c r="F105" s="5">
        <v>15.988799999999999</v>
      </c>
      <c r="G105" s="5">
        <v>3144.0329969999998</v>
      </c>
      <c r="H105" s="5">
        <v>6.3956</v>
      </c>
      <c r="I105">
        <v>580</v>
      </c>
      <c r="J105" s="4" t="str">
        <f>IF(OR(Копия_20206[[#This Row],[Units (in 1000)]]&gt;$R$7,Копия_20206[[#This Row],[Units (in 1000)]]&lt;$R$6),"outlier","not outlier")</f>
        <v>not outlier</v>
      </c>
      <c r="K105" s="4" t="str">
        <f>IF(OR(Копия_20206[[#This Row],[Value (in 1000 rub)]]&gt;$S$7,Копия_20206[[#This Row],[Value (in 1000 rub)]]&lt;$S$6),"outlier","not outlier")</f>
        <v>outlier</v>
      </c>
      <c r="L105" s="4" t="str">
        <f>IF(OR(Копия_20206[[#This Row],[Volume (in 1000 kg)]]&gt;$T$7,Копия_20206[[#This Row],[Volume (in 1000 kg)]]&lt;$T$6),"outlier","not outlier")</f>
        <v>not outlier</v>
      </c>
      <c r="M105" s="4" t="str">
        <f>IF(OR(Копия_20206[[#This Row],[Number of stores]]&gt;$U$7,Копия_20206[[#This Row],[Number of stores]]&lt;$U$6),"outlier","not outlier")</f>
        <v>not outlier</v>
      </c>
    </row>
    <row r="106" spans="1:13" x14ac:dyDescent="0.25">
      <c r="A106">
        <v>2020</v>
      </c>
      <c r="B106">
        <v>8</v>
      </c>
      <c r="C106" s="1" t="s">
        <v>25</v>
      </c>
      <c r="D106" s="1" t="s">
        <v>14</v>
      </c>
      <c r="E106" s="1" t="s">
        <v>12</v>
      </c>
      <c r="F106" s="5">
        <v>8.3404000000000007</v>
      </c>
      <c r="G106" s="5">
        <v>1734.232667</v>
      </c>
      <c r="H106" s="5">
        <v>3.3361000000000001</v>
      </c>
      <c r="I106">
        <v>1323</v>
      </c>
      <c r="J106" s="4" t="str">
        <f>IF(OR(Копия_20206[[#This Row],[Units (in 1000)]]&gt;$R$7,Копия_20206[[#This Row],[Units (in 1000)]]&lt;$R$6),"outlier","not outlier")</f>
        <v>not outlier</v>
      </c>
      <c r="K106" s="4" t="str">
        <f>IF(OR(Копия_20206[[#This Row],[Value (in 1000 rub)]]&gt;$S$7,Копия_20206[[#This Row],[Value (in 1000 rub)]]&lt;$S$6),"outlier","not outlier")</f>
        <v>not outlier</v>
      </c>
      <c r="L106" s="4" t="str">
        <f>IF(OR(Копия_20206[[#This Row],[Volume (in 1000 kg)]]&gt;$T$7,Копия_20206[[#This Row],[Volume (in 1000 kg)]]&lt;$T$6),"outlier","not outlier")</f>
        <v>not outlier</v>
      </c>
      <c r="M106" s="4" t="str">
        <f>IF(OR(Копия_20206[[#This Row],[Number of stores]]&gt;$U$7,Копия_20206[[#This Row],[Number of stores]]&lt;$U$6),"outlier","not outlier")</f>
        <v>not outlier</v>
      </c>
    </row>
    <row r="107" spans="1:13" x14ac:dyDescent="0.25">
      <c r="A107">
        <v>2020</v>
      </c>
      <c r="B107">
        <v>8</v>
      </c>
      <c r="C107" s="1" t="s">
        <v>29</v>
      </c>
      <c r="D107" s="1" t="s">
        <v>14</v>
      </c>
      <c r="E107" s="1" t="s">
        <v>12</v>
      </c>
      <c r="F107" s="5">
        <v>34.6937</v>
      </c>
      <c r="G107" s="5">
        <v>6101.6734059999999</v>
      </c>
      <c r="H107" s="5">
        <v>13.8775</v>
      </c>
      <c r="I107">
        <v>2016</v>
      </c>
      <c r="J107" s="4" t="str">
        <f>IF(OR(Копия_20206[[#This Row],[Units (in 1000)]]&gt;$R$7,Копия_20206[[#This Row],[Units (in 1000)]]&lt;$R$6),"outlier","not outlier")</f>
        <v>outlier</v>
      </c>
      <c r="K107" s="4" t="str">
        <f>IF(OR(Копия_20206[[#This Row],[Value (in 1000 rub)]]&gt;$S$7,Копия_20206[[#This Row],[Value (in 1000 rub)]]&lt;$S$6),"outlier","not outlier")</f>
        <v>outlier</v>
      </c>
      <c r="L107" s="4" t="str">
        <f>IF(OR(Копия_20206[[#This Row],[Volume (in 1000 kg)]]&gt;$T$7,Копия_20206[[#This Row],[Volume (in 1000 kg)]]&lt;$T$6),"outlier","not outlier")</f>
        <v>outlier</v>
      </c>
      <c r="M107" s="4" t="str">
        <f>IF(OR(Копия_20206[[#This Row],[Number of stores]]&gt;$U$7,Копия_20206[[#This Row],[Number of stores]]&lt;$U$6),"outlier","not outlier")</f>
        <v>not outlier</v>
      </c>
    </row>
    <row r="108" spans="1:13" x14ac:dyDescent="0.25">
      <c r="A108">
        <v>2020</v>
      </c>
      <c r="B108">
        <v>9</v>
      </c>
      <c r="C108" s="1" t="s">
        <v>8</v>
      </c>
      <c r="D108" s="1" t="s">
        <v>14</v>
      </c>
      <c r="E108" s="1" t="s">
        <v>12</v>
      </c>
      <c r="F108" s="5">
        <v>28.8596</v>
      </c>
      <c r="G108" s="5">
        <v>4467.3348070000002</v>
      </c>
      <c r="H108" s="5">
        <v>11.543900000000001</v>
      </c>
      <c r="I108">
        <v>646</v>
      </c>
      <c r="J108" s="4" t="str">
        <f>IF(OR(Копия_20206[[#This Row],[Units (in 1000)]]&gt;$R$7,Копия_20206[[#This Row],[Units (in 1000)]]&lt;$R$6),"outlier","not outlier")</f>
        <v>outlier</v>
      </c>
      <c r="K108" s="4" t="str">
        <f>IF(OR(Копия_20206[[#This Row],[Value (in 1000 rub)]]&gt;$S$7,Копия_20206[[#This Row],[Value (in 1000 rub)]]&lt;$S$6),"outlier","not outlier")</f>
        <v>outlier</v>
      </c>
      <c r="L108" s="4" t="str">
        <f>IF(OR(Копия_20206[[#This Row],[Volume (in 1000 kg)]]&gt;$T$7,Копия_20206[[#This Row],[Volume (in 1000 kg)]]&lt;$T$6),"outlier","not outlier")</f>
        <v>outlier</v>
      </c>
      <c r="M108" s="4" t="str">
        <f>IF(OR(Копия_20206[[#This Row],[Number of stores]]&gt;$U$7,Копия_20206[[#This Row],[Number of stores]]&lt;$U$6),"outlier","not outlier")</f>
        <v>not outlier</v>
      </c>
    </row>
    <row r="109" spans="1:13" x14ac:dyDescent="0.25">
      <c r="A109">
        <v>2020</v>
      </c>
      <c r="B109">
        <v>9</v>
      </c>
      <c r="C109" s="1" t="s">
        <v>25</v>
      </c>
      <c r="D109" s="1" t="s">
        <v>14</v>
      </c>
      <c r="E109" s="1" t="s">
        <v>12</v>
      </c>
      <c r="F109" s="5">
        <v>9.4641000000000002</v>
      </c>
      <c r="G109" s="5">
        <v>1951.666573</v>
      </c>
      <c r="H109" s="5">
        <v>3.7856999999999998</v>
      </c>
      <c r="I109">
        <v>1363</v>
      </c>
      <c r="J109" s="4" t="str">
        <f>IF(OR(Копия_20206[[#This Row],[Units (in 1000)]]&gt;$R$7,Копия_20206[[#This Row],[Units (in 1000)]]&lt;$R$6),"outlier","not outlier")</f>
        <v>not outlier</v>
      </c>
      <c r="K109" s="4" t="str">
        <f>IF(OR(Копия_20206[[#This Row],[Value (in 1000 rub)]]&gt;$S$7,Копия_20206[[#This Row],[Value (in 1000 rub)]]&lt;$S$6),"outlier","not outlier")</f>
        <v>not outlier</v>
      </c>
      <c r="L109" s="4" t="str">
        <f>IF(OR(Копия_20206[[#This Row],[Volume (in 1000 kg)]]&gt;$T$7,Копия_20206[[#This Row],[Volume (in 1000 kg)]]&lt;$T$6),"outlier","not outlier")</f>
        <v>not outlier</v>
      </c>
      <c r="M109" s="4" t="str">
        <f>IF(OR(Копия_20206[[#This Row],[Number of stores]]&gt;$U$7,Копия_20206[[#This Row],[Number of stores]]&lt;$U$6),"outlier","not outlier")</f>
        <v>not outlier</v>
      </c>
    </row>
    <row r="110" spans="1:13" x14ac:dyDescent="0.25">
      <c r="A110">
        <v>2020</v>
      </c>
      <c r="B110">
        <v>9</v>
      </c>
      <c r="C110" s="1" t="s">
        <v>29</v>
      </c>
      <c r="D110" s="1" t="s">
        <v>14</v>
      </c>
      <c r="E110" s="1" t="s">
        <v>12</v>
      </c>
      <c r="F110" s="5">
        <v>27.315999999999999</v>
      </c>
      <c r="G110" s="5">
        <v>5429.4975059999997</v>
      </c>
      <c r="H110" s="5">
        <v>10.926399999999999</v>
      </c>
      <c r="I110">
        <v>2225</v>
      </c>
      <c r="J110" s="4" t="str">
        <f>IF(OR(Копия_20206[[#This Row],[Units (in 1000)]]&gt;$R$7,Копия_20206[[#This Row],[Units (in 1000)]]&lt;$R$6),"outlier","not outlier")</f>
        <v>outlier</v>
      </c>
      <c r="K110" s="4" t="str">
        <f>IF(OR(Копия_20206[[#This Row],[Value (in 1000 rub)]]&gt;$S$7,Копия_20206[[#This Row],[Value (in 1000 rub)]]&lt;$S$6),"outlier","not outlier")</f>
        <v>outlier</v>
      </c>
      <c r="L110" s="4" t="str">
        <f>IF(OR(Копия_20206[[#This Row],[Volume (in 1000 kg)]]&gt;$T$7,Копия_20206[[#This Row],[Volume (in 1000 kg)]]&lt;$T$6),"outlier","not outlier")</f>
        <v>outlier</v>
      </c>
      <c r="M110" s="4" t="str">
        <f>IF(OR(Копия_20206[[#This Row],[Number of stores]]&gt;$U$7,Копия_20206[[#This Row],[Number of stores]]&lt;$U$6),"outlier","not outlier")</f>
        <v>not outlier</v>
      </c>
    </row>
    <row r="111" spans="1:13" x14ac:dyDescent="0.25">
      <c r="A111">
        <v>2020</v>
      </c>
      <c r="B111">
        <v>10</v>
      </c>
      <c r="C111" s="1" t="s">
        <v>8</v>
      </c>
      <c r="D111" s="1" t="s">
        <v>14</v>
      </c>
      <c r="E111" s="1" t="s">
        <v>10</v>
      </c>
      <c r="F111" s="5">
        <v>1.4E-3</v>
      </c>
      <c r="G111" s="5">
        <v>0.155886</v>
      </c>
      <c r="H111" s="5">
        <v>2.9999999999999997E-4</v>
      </c>
      <c r="I111">
        <v>2</v>
      </c>
      <c r="J111" s="4" t="str">
        <f>IF(OR(Копия_20206[[#This Row],[Units (in 1000)]]&gt;$R$7,Копия_20206[[#This Row],[Units (in 1000)]]&lt;$R$6),"outlier","not outlier")</f>
        <v>not outlier</v>
      </c>
      <c r="K111" s="4" t="str">
        <f>IF(OR(Копия_20206[[#This Row],[Value (in 1000 rub)]]&gt;$S$7,Копия_20206[[#This Row],[Value (in 1000 rub)]]&lt;$S$6),"outlier","not outlier")</f>
        <v>not outlier</v>
      </c>
      <c r="L111" s="4" t="str">
        <f>IF(OR(Копия_20206[[#This Row],[Volume (in 1000 kg)]]&gt;$T$7,Копия_20206[[#This Row],[Volume (in 1000 kg)]]&lt;$T$6),"outlier","not outlier")</f>
        <v>not outlier</v>
      </c>
      <c r="M111" s="4" t="str">
        <f>IF(OR(Копия_20206[[#This Row],[Number of stores]]&gt;$U$7,Копия_20206[[#This Row],[Number of stores]]&lt;$U$6),"outlier","not outlier")</f>
        <v>not outlier</v>
      </c>
    </row>
    <row r="112" spans="1:13" x14ac:dyDescent="0.25">
      <c r="A112">
        <v>2020</v>
      </c>
      <c r="B112">
        <v>10</v>
      </c>
      <c r="C112" s="1" t="s">
        <v>8</v>
      </c>
      <c r="D112" s="1" t="s">
        <v>14</v>
      </c>
      <c r="E112" s="1" t="s">
        <v>12</v>
      </c>
      <c r="F112" s="5">
        <v>33.0503</v>
      </c>
      <c r="G112" s="5">
        <v>5290.4256359999899</v>
      </c>
      <c r="H112" s="5">
        <v>13.2201</v>
      </c>
      <c r="I112">
        <v>649</v>
      </c>
      <c r="J112" s="4" t="str">
        <f>IF(OR(Копия_20206[[#This Row],[Units (in 1000)]]&gt;$R$7,Копия_20206[[#This Row],[Units (in 1000)]]&lt;$R$6),"outlier","not outlier")</f>
        <v>outlier</v>
      </c>
      <c r="K112" s="4" t="str">
        <f>IF(OR(Копия_20206[[#This Row],[Value (in 1000 rub)]]&gt;$S$7,Копия_20206[[#This Row],[Value (in 1000 rub)]]&lt;$S$6),"outlier","not outlier")</f>
        <v>outlier</v>
      </c>
      <c r="L112" s="4" t="str">
        <f>IF(OR(Копия_20206[[#This Row],[Volume (in 1000 kg)]]&gt;$T$7,Копия_20206[[#This Row],[Volume (in 1000 kg)]]&lt;$T$6),"outlier","not outlier")</f>
        <v>outlier</v>
      </c>
      <c r="M112" s="4" t="str">
        <f>IF(OR(Копия_20206[[#This Row],[Number of stores]]&gt;$U$7,Копия_20206[[#This Row],[Number of stores]]&lt;$U$6),"outlier","not outlier")</f>
        <v>not outlier</v>
      </c>
    </row>
    <row r="113" spans="1:13" x14ac:dyDescent="0.25">
      <c r="A113">
        <v>2020</v>
      </c>
      <c r="B113">
        <v>10</v>
      </c>
      <c r="C113" s="1" t="s">
        <v>25</v>
      </c>
      <c r="D113" s="1" t="s">
        <v>14</v>
      </c>
      <c r="E113" s="1" t="s">
        <v>12</v>
      </c>
      <c r="F113" s="5">
        <v>9.9452999999999996</v>
      </c>
      <c r="G113" s="5">
        <v>2087.8199810000001</v>
      </c>
      <c r="H113" s="5">
        <v>3.9780000000000002</v>
      </c>
      <c r="I113">
        <v>1419</v>
      </c>
      <c r="J113" s="4" t="str">
        <f>IF(OR(Копия_20206[[#This Row],[Units (in 1000)]]&gt;$R$7,Копия_20206[[#This Row],[Units (in 1000)]]&lt;$R$6),"outlier","not outlier")</f>
        <v>not outlier</v>
      </c>
      <c r="K113" s="4" t="str">
        <f>IF(OR(Копия_20206[[#This Row],[Value (in 1000 rub)]]&gt;$S$7,Копия_20206[[#This Row],[Value (in 1000 rub)]]&lt;$S$6),"outlier","not outlier")</f>
        <v>not outlier</v>
      </c>
      <c r="L113" s="4" t="str">
        <f>IF(OR(Копия_20206[[#This Row],[Volume (in 1000 kg)]]&gt;$T$7,Копия_20206[[#This Row],[Volume (in 1000 kg)]]&lt;$T$6),"outlier","not outlier")</f>
        <v>not outlier</v>
      </c>
      <c r="M113" s="4" t="str">
        <f>IF(OR(Копия_20206[[#This Row],[Number of stores]]&gt;$U$7,Копия_20206[[#This Row],[Number of stores]]&lt;$U$6),"outlier","not outlier")</f>
        <v>not outlier</v>
      </c>
    </row>
    <row r="114" spans="1:13" x14ac:dyDescent="0.25">
      <c r="A114">
        <v>2020</v>
      </c>
      <c r="B114">
        <v>10</v>
      </c>
      <c r="C114" s="1" t="s">
        <v>29</v>
      </c>
      <c r="D114" s="1" t="s">
        <v>14</v>
      </c>
      <c r="E114" s="1" t="s">
        <v>12</v>
      </c>
      <c r="F114" s="5">
        <v>37.477699999999999</v>
      </c>
      <c r="G114" s="5">
        <v>6614.2090939999998</v>
      </c>
      <c r="H114" s="5">
        <v>14.991099999999999</v>
      </c>
      <c r="I114">
        <v>1918</v>
      </c>
      <c r="J114" s="4" t="str">
        <f>IF(OR(Копия_20206[[#This Row],[Units (in 1000)]]&gt;$R$7,Копия_20206[[#This Row],[Units (in 1000)]]&lt;$R$6),"outlier","not outlier")</f>
        <v>outlier</v>
      </c>
      <c r="K114" s="4" t="str">
        <f>IF(OR(Копия_20206[[#This Row],[Value (in 1000 rub)]]&gt;$S$7,Копия_20206[[#This Row],[Value (in 1000 rub)]]&lt;$S$6),"outlier","not outlier")</f>
        <v>outlier</v>
      </c>
      <c r="L114" s="4" t="str">
        <f>IF(OR(Копия_20206[[#This Row],[Volume (in 1000 kg)]]&gt;$T$7,Копия_20206[[#This Row],[Volume (in 1000 kg)]]&lt;$T$6),"outlier","not outlier")</f>
        <v>outlier</v>
      </c>
      <c r="M114" s="4" t="str">
        <f>IF(OR(Копия_20206[[#This Row],[Number of stores]]&gt;$U$7,Копия_20206[[#This Row],[Number of stores]]&lt;$U$6),"outlier","not outlier")</f>
        <v>not outlier</v>
      </c>
    </row>
    <row r="115" spans="1:13" x14ac:dyDescent="0.25">
      <c r="A115">
        <v>2020</v>
      </c>
      <c r="B115">
        <v>11</v>
      </c>
      <c r="C115" s="1" t="s">
        <v>8</v>
      </c>
      <c r="D115" s="1" t="s">
        <v>14</v>
      </c>
      <c r="E115" s="1" t="s">
        <v>10</v>
      </c>
      <c r="F115" s="5">
        <v>2.76E-2</v>
      </c>
      <c r="G115" s="5">
        <v>3.023822</v>
      </c>
      <c r="H115" s="5">
        <v>5.4999999999999997E-3</v>
      </c>
      <c r="I115">
        <v>4</v>
      </c>
      <c r="J115" s="4" t="str">
        <f>IF(OR(Копия_20206[[#This Row],[Units (in 1000)]]&gt;$R$7,Копия_20206[[#This Row],[Units (in 1000)]]&lt;$R$6),"outlier","not outlier")</f>
        <v>not outlier</v>
      </c>
      <c r="K115" s="4" t="str">
        <f>IF(OR(Копия_20206[[#This Row],[Value (in 1000 rub)]]&gt;$S$7,Копия_20206[[#This Row],[Value (in 1000 rub)]]&lt;$S$6),"outlier","not outlier")</f>
        <v>not outlier</v>
      </c>
      <c r="L115" s="4" t="str">
        <f>IF(OR(Копия_20206[[#This Row],[Volume (in 1000 kg)]]&gt;$T$7,Копия_20206[[#This Row],[Volume (in 1000 kg)]]&lt;$T$6),"outlier","not outlier")</f>
        <v>not outlier</v>
      </c>
      <c r="M115" s="4" t="str">
        <f>IF(OR(Копия_20206[[#This Row],[Number of stores]]&gt;$U$7,Копия_20206[[#This Row],[Number of stores]]&lt;$U$6),"outlier","not outlier")</f>
        <v>not outlier</v>
      </c>
    </row>
    <row r="116" spans="1:13" x14ac:dyDescent="0.25">
      <c r="A116">
        <v>2020</v>
      </c>
      <c r="B116">
        <v>11</v>
      </c>
      <c r="C116" s="1" t="s">
        <v>8</v>
      </c>
      <c r="D116" s="1" t="s">
        <v>14</v>
      </c>
      <c r="E116" s="1" t="s">
        <v>12</v>
      </c>
      <c r="F116" s="5">
        <v>26.734500000000001</v>
      </c>
      <c r="G116" s="5">
        <v>4384.7971470000002</v>
      </c>
      <c r="H116" s="5">
        <v>10.694000000000001</v>
      </c>
      <c r="I116">
        <v>645</v>
      </c>
      <c r="J116" s="4" t="str">
        <f>IF(OR(Копия_20206[[#This Row],[Units (in 1000)]]&gt;$R$7,Копия_20206[[#This Row],[Units (in 1000)]]&lt;$R$6),"outlier","not outlier")</f>
        <v>outlier</v>
      </c>
      <c r="K116" s="4" t="str">
        <f>IF(OR(Копия_20206[[#This Row],[Value (in 1000 rub)]]&gt;$S$7,Копия_20206[[#This Row],[Value (in 1000 rub)]]&lt;$S$6),"outlier","not outlier")</f>
        <v>outlier</v>
      </c>
      <c r="L116" s="4" t="str">
        <f>IF(OR(Копия_20206[[#This Row],[Volume (in 1000 kg)]]&gt;$T$7,Копия_20206[[#This Row],[Volume (in 1000 kg)]]&lt;$T$6),"outlier","not outlier")</f>
        <v>outlier</v>
      </c>
      <c r="M116" s="4" t="str">
        <f>IF(OR(Копия_20206[[#This Row],[Number of stores]]&gt;$U$7,Копия_20206[[#This Row],[Number of stores]]&lt;$U$6),"outlier","not outlier")</f>
        <v>not outlier</v>
      </c>
    </row>
    <row r="117" spans="1:13" x14ac:dyDescent="0.25">
      <c r="A117">
        <v>2020</v>
      </c>
      <c r="B117">
        <v>11</v>
      </c>
      <c r="C117" s="1" t="s">
        <v>25</v>
      </c>
      <c r="D117" s="1" t="s">
        <v>14</v>
      </c>
      <c r="E117" s="1" t="s">
        <v>10</v>
      </c>
      <c r="F117" s="5">
        <v>3.8E-3</v>
      </c>
      <c r="G117" s="5">
        <v>0.441797</v>
      </c>
      <c r="H117" s="5">
        <v>6.9999999999999999E-4</v>
      </c>
      <c r="I117">
        <v>1</v>
      </c>
      <c r="J117" s="4" t="str">
        <f>IF(OR(Копия_20206[[#This Row],[Units (in 1000)]]&gt;$R$7,Копия_20206[[#This Row],[Units (in 1000)]]&lt;$R$6),"outlier","not outlier")</f>
        <v>not outlier</v>
      </c>
      <c r="K117" s="4" t="str">
        <f>IF(OR(Копия_20206[[#This Row],[Value (in 1000 rub)]]&gt;$S$7,Копия_20206[[#This Row],[Value (in 1000 rub)]]&lt;$S$6),"outlier","not outlier")</f>
        <v>not outlier</v>
      </c>
      <c r="L117" s="4" t="str">
        <f>IF(OR(Копия_20206[[#This Row],[Volume (in 1000 kg)]]&gt;$T$7,Копия_20206[[#This Row],[Volume (in 1000 kg)]]&lt;$T$6),"outlier","not outlier")</f>
        <v>not outlier</v>
      </c>
      <c r="M117" s="4" t="str">
        <f>IF(OR(Копия_20206[[#This Row],[Number of stores]]&gt;$U$7,Копия_20206[[#This Row],[Number of stores]]&lt;$U$6),"outlier","not outlier")</f>
        <v>not outlier</v>
      </c>
    </row>
    <row r="118" spans="1:13" x14ac:dyDescent="0.25">
      <c r="A118">
        <v>2020</v>
      </c>
      <c r="B118">
        <v>11</v>
      </c>
      <c r="C118" s="1" t="s">
        <v>25</v>
      </c>
      <c r="D118" s="1" t="s">
        <v>14</v>
      </c>
      <c r="E118" s="1" t="s">
        <v>12</v>
      </c>
      <c r="F118" s="5">
        <v>9.3493999999999993</v>
      </c>
      <c r="G118" s="5">
        <v>1891.763815</v>
      </c>
      <c r="H118" s="5">
        <v>3.7399</v>
      </c>
      <c r="I118">
        <v>1070</v>
      </c>
      <c r="J118" s="4" t="str">
        <f>IF(OR(Копия_20206[[#This Row],[Units (in 1000)]]&gt;$R$7,Копия_20206[[#This Row],[Units (in 1000)]]&lt;$R$6),"outlier","not outlier")</f>
        <v>not outlier</v>
      </c>
      <c r="K118" s="4" t="str">
        <f>IF(OR(Копия_20206[[#This Row],[Value (in 1000 rub)]]&gt;$S$7,Копия_20206[[#This Row],[Value (in 1000 rub)]]&lt;$S$6),"outlier","not outlier")</f>
        <v>not outlier</v>
      </c>
      <c r="L118" s="4" t="str">
        <f>IF(OR(Копия_20206[[#This Row],[Volume (in 1000 kg)]]&gt;$T$7,Копия_20206[[#This Row],[Volume (in 1000 kg)]]&lt;$T$6),"outlier","not outlier")</f>
        <v>not outlier</v>
      </c>
      <c r="M118" s="4" t="str">
        <f>IF(OR(Копия_20206[[#This Row],[Number of stores]]&gt;$U$7,Копия_20206[[#This Row],[Number of stores]]&lt;$U$6),"outlier","not outlier")</f>
        <v>not outlier</v>
      </c>
    </row>
    <row r="119" spans="1:13" x14ac:dyDescent="0.25">
      <c r="A119">
        <v>2020</v>
      </c>
      <c r="B119">
        <v>11</v>
      </c>
      <c r="C119" s="1" t="s">
        <v>29</v>
      </c>
      <c r="D119" s="1" t="s">
        <v>14</v>
      </c>
      <c r="E119" s="1" t="s">
        <v>10</v>
      </c>
      <c r="F119" s="5">
        <v>2.7000000000000001E-3</v>
      </c>
      <c r="G119" s="5">
        <v>0.327685</v>
      </c>
      <c r="H119" s="5">
        <v>5.0000000000000001E-4</v>
      </c>
      <c r="I119">
        <v>2</v>
      </c>
      <c r="J119" s="4" t="str">
        <f>IF(OR(Копия_20206[[#This Row],[Units (in 1000)]]&gt;$R$7,Копия_20206[[#This Row],[Units (in 1000)]]&lt;$R$6),"outlier","not outlier")</f>
        <v>not outlier</v>
      </c>
      <c r="K119" s="4" t="str">
        <f>IF(OR(Копия_20206[[#This Row],[Value (in 1000 rub)]]&gt;$S$7,Копия_20206[[#This Row],[Value (in 1000 rub)]]&lt;$S$6),"outlier","not outlier")</f>
        <v>not outlier</v>
      </c>
      <c r="L119" s="4" t="str">
        <f>IF(OR(Копия_20206[[#This Row],[Volume (in 1000 kg)]]&gt;$T$7,Копия_20206[[#This Row],[Volume (in 1000 kg)]]&lt;$T$6),"outlier","not outlier")</f>
        <v>not outlier</v>
      </c>
      <c r="M119" s="4" t="str">
        <f>IF(OR(Копия_20206[[#This Row],[Number of stores]]&gt;$U$7,Копия_20206[[#This Row],[Number of stores]]&lt;$U$6),"outlier","not outlier")</f>
        <v>not outlier</v>
      </c>
    </row>
    <row r="120" spans="1:13" x14ac:dyDescent="0.25">
      <c r="A120">
        <v>2020</v>
      </c>
      <c r="B120">
        <v>11</v>
      </c>
      <c r="C120" s="1" t="s">
        <v>29</v>
      </c>
      <c r="D120" s="1" t="s">
        <v>14</v>
      </c>
      <c r="E120" s="1" t="s">
        <v>12</v>
      </c>
      <c r="F120" s="5">
        <v>41.174700000000001</v>
      </c>
      <c r="G120" s="5">
        <v>7167.1561419999998</v>
      </c>
      <c r="H120" s="5">
        <v>16.47</v>
      </c>
      <c r="I120">
        <v>1973</v>
      </c>
      <c r="J120" s="4" t="str">
        <f>IF(OR(Копия_20206[[#This Row],[Units (in 1000)]]&gt;$R$7,Копия_20206[[#This Row],[Units (in 1000)]]&lt;$R$6),"outlier","not outlier")</f>
        <v>outlier</v>
      </c>
      <c r="K120" s="4" t="str">
        <f>IF(OR(Копия_20206[[#This Row],[Value (in 1000 rub)]]&gt;$S$7,Копия_20206[[#This Row],[Value (in 1000 rub)]]&lt;$S$6),"outlier","not outlier")</f>
        <v>outlier</v>
      </c>
      <c r="L120" s="4" t="str">
        <f>IF(OR(Копия_20206[[#This Row],[Volume (in 1000 kg)]]&gt;$T$7,Копия_20206[[#This Row],[Volume (in 1000 kg)]]&lt;$T$6),"outlier","not outlier")</f>
        <v>outlier</v>
      </c>
      <c r="M120" s="4" t="str">
        <f>IF(OR(Копия_20206[[#This Row],[Number of stores]]&gt;$U$7,Копия_20206[[#This Row],[Number of stores]]&lt;$U$6),"outlier","not outlier")</f>
        <v>not outlier</v>
      </c>
    </row>
    <row r="121" spans="1:13" x14ac:dyDescent="0.25">
      <c r="A121">
        <v>2020</v>
      </c>
      <c r="B121">
        <v>12</v>
      </c>
      <c r="C121" s="1" t="s">
        <v>8</v>
      </c>
      <c r="D121" s="1" t="s">
        <v>14</v>
      </c>
      <c r="E121" s="1" t="s">
        <v>10</v>
      </c>
      <c r="F121" s="5">
        <v>3.9899999999999998E-2</v>
      </c>
      <c r="G121" s="5">
        <v>4.3746749999999999</v>
      </c>
      <c r="H121" s="5">
        <v>8.0000000000000002E-3</v>
      </c>
      <c r="I121">
        <v>5</v>
      </c>
      <c r="J121" s="4" t="str">
        <f>IF(OR(Копия_20206[[#This Row],[Units (in 1000)]]&gt;$R$7,Копия_20206[[#This Row],[Units (in 1000)]]&lt;$R$6),"outlier","not outlier")</f>
        <v>not outlier</v>
      </c>
      <c r="K121" s="4" t="str">
        <f>IF(OR(Копия_20206[[#This Row],[Value (in 1000 rub)]]&gt;$S$7,Копия_20206[[#This Row],[Value (in 1000 rub)]]&lt;$S$6),"outlier","not outlier")</f>
        <v>not outlier</v>
      </c>
      <c r="L121" s="4" t="str">
        <f>IF(OR(Копия_20206[[#This Row],[Volume (in 1000 kg)]]&gt;$T$7,Копия_20206[[#This Row],[Volume (in 1000 kg)]]&lt;$T$6),"outlier","not outlier")</f>
        <v>not outlier</v>
      </c>
      <c r="M121" s="4" t="str">
        <f>IF(OR(Копия_20206[[#This Row],[Number of stores]]&gt;$U$7,Копия_20206[[#This Row],[Number of stores]]&lt;$U$6),"outlier","not outlier")</f>
        <v>not outlier</v>
      </c>
    </row>
    <row r="122" spans="1:13" x14ac:dyDescent="0.25">
      <c r="A122">
        <v>2020</v>
      </c>
      <c r="B122">
        <v>12</v>
      </c>
      <c r="C122" s="1" t="s">
        <v>8</v>
      </c>
      <c r="D122" s="1" t="s">
        <v>14</v>
      </c>
      <c r="E122" s="1" t="s">
        <v>12</v>
      </c>
      <c r="F122" s="5">
        <v>40.667499999999997</v>
      </c>
      <c r="G122" s="5">
        <v>5995.0734069999999</v>
      </c>
      <c r="H122" s="5">
        <v>16.267099999999999</v>
      </c>
      <c r="I122">
        <v>658</v>
      </c>
      <c r="J122" s="4" t="str">
        <f>IF(OR(Копия_20206[[#This Row],[Units (in 1000)]]&gt;$R$7,Копия_20206[[#This Row],[Units (in 1000)]]&lt;$R$6),"outlier","not outlier")</f>
        <v>outlier</v>
      </c>
      <c r="K122" s="4" t="str">
        <f>IF(OR(Копия_20206[[#This Row],[Value (in 1000 rub)]]&gt;$S$7,Копия_20206[[#This Row],[Value (in 1000 rub)]]&lt;$S$6),"outlier","not outlier")</f>
        <v>outlier</v>
      </c>
      <c r="L122" s="4" t="str">
        <f>IF(OR(Копия_20206[[#This Row],[Volume (in 1000 kg)]]&gt;$T$7,Копия_20206[[#This Row],[Volume (in 1000 kg)]]&lt;$T$6),"outlier","not outlier")</f>
        <v>outlier</v>
      </c>
      <c r="M122" s="4" t="str">
        <f>IF(OR(Копия_20206[[#This Row],[Number of stores]]&gt;$U$7,Копия_20206[[#This Row],[Number of stores]]&lt;$U$6),"outlier","not outlier")</f>
        <v>not outlier</v>
      </c>
    </row>
    <row r="123" spans="1:13" x14ac:dyDescent="0.25">
      <c r="A123">
        <v>2020</v>
      </c>
      <c r="B123">
        <v>12</v>
      </c>
      <c r="C123" s="1" t="s">
        <v>25</v>
      </c>
      <c r="D123" s="1" t="s">
        <v>14</v>
      </c>
      <c r="E123" s="1" t="s">
        <v>10</v>
      </c>
      <c r="F123" s="5">
        <v>1.21E-2</v>
      </c>
      <c r="G123" s="5">
        <v>1.127402</v>
      </c>
      <c r="H123" s="5">
        <v>2.5000000000000001E-3</v>
      </c>
      <c r="I123">
        <v>2</v>
      </c>
      <c r="J123" s="4" t="str">
        <f>IF(OR(Копия_20206[[#This Row],[Units (in 1000)]]&gt;$R$7,Копия_20206[[#This Row],[Units (in 1000)]]&lt;$R$6),"outlier","not outlier")</f>
        <v>not outlier</v>
      </c>
      <c r="K123" s="4" t="str">
        <f>IF(OR(Копия_20206[[#This Row],[Value (in 1000 rub)]]&gt;$S$7,Копия_20206[[#This Row],[Value (in 1000 rub)]]&lt;$S$6),"outlier","not outlier")</f>
        <v>not outlier</v>
      </c>
      <c r="L123" s="4" t="str">
        <f>IF(OR(Копия_20206[[#This Row],[Volume (in 1000 kg)]]&gt;$T$7,Копия_20206[[#This Row],[Volume (in 1000 kg)]]&lt;$T$6),"outlier","not outlier")</f>
        <v>not outlier</v>
      </c>
      <c r="M123" s="4" t="str">
        <f>IF(OR(Копия_20206[[#This Row],[Number of stores]]&gt;$U$7,Копия_20206[[#This Row],[Number of stores]]&lt;$U$6),"outlier","not outlier")</f>
        <v>not outlier</v>
      </c>
    </row>
    <row r="124" spans="1:13" x14ac:dyDescent="0.25">
      <c r="A124">
        <v>2020</v>
      </c>
      <c r="B124">
        <v>12</v>
      </c>
      <c r="C124" s="1" t="s">
        <v>25</v>
      </c>
      <c r="D124" s="1" t="s">
        <v>14</v>
      </c>
      <c r="E124" s="1" t="s">
        <v>12</v>
      </c>
      <c r="F124" s="5">
        <v>6.5758000000000001</v>
      </c>
      <c r="G124" s="5">
        <v>1391.7110399999999</v>
      </c>
      <c r="H124" s="5">
        <v>2.6303000000000001</v>
      </c>
      <c r="I124">
        <v>939</v>
      </c>
      <c r="J124" s="4" t="str">
        <f>IF(OR(Копия_20206[[#This Row],[Units (in 1000)]]&gt;$R$7,Копия_20206[[#This Row],[Units (in 1000)]]&lt;$R$6),"outlier","not outlier")</f>
        <v>not outlier</v>
      </c>
      <c r="K124" s="4" t="str">
        <f>IF(OR(Копия_20206[[#This Row],[Value (in 1000 rub)]]&gt;$S$7,Копия_20206[[#This Row],[Value (in 1000 rub)]]&lt;$S$6),"outlier","not outlier")</f>
        <v>not outlier</v>
      </c>
      <c r="L124" s="4" t="str">
        <f>IF(OR(Копия_20206[[#This Row],[Volume (in 1000 kg)]]&gt;$T$7,Копия_20206[[#This Row],[Volume (in 1000 kg)]]&lt;$T$6),"outlier","not outlier")</f>
        <v>not outlier</v>
      </c>
      <c r="M124" s="4" t="str">
        <f>IF(OR(Копия_20206[[#This Row],[Number of stores]]&gt;$U$7,Копия_20206[[#This Row],[Number of stores]]&lt;$U$6),"outlier","not outlier")</f>
        <v>not outlier</v>
      </c>
    </row>
    <row r="125" spans="1:13" x14ac:dyDescent="0.25">
      <c r="A125">
        <v>2020</v>
      </c>
      <c r="B125">
        <v>12</v>
      </c>
      <c r="C125" s="1" t="s">
        <v>29</v>
      </c>
      <c r="D125" s="1" t="s">
        <v>14</v>
      </c>
      <c r="E125" s="1" t="s">
        <v>10</v>
      </c>
      <c r="F125" s="5">
        <v>4.0000000000000001E-3</v>
      </c>
      <c r="G125" s="5">
        <v>0.49345</v>
      </c>
      <c r="H125" s="5">
        <v>8.0000000000000004E-4</v>
      </c>
      <c r="I125">
        <v>2</v>
      </c>
      <c r="J125" s="4" t="str">
        <f>IF(OR(Копия_20206[[#This Row],[Units (in 1000)]]&gt;$R$7,Копия_20206[[#This Row],[Units (in 1000)]]&lt;$R$6),"outlier","not outlier")</f>
        <v>not outlier</v>
      </c>
      <c r="K125" s="4" t="str">
        <f>IF(OR(Копия_20206[[#This Row],[Value (in 1000 rub)]]&gt;$S$7,Копия_20206[[#This Row],[Value (in 1000 rub)]]&lt;$S$6),"outlier","not outlier")</f>
        <v>not outlier</v>
      </c>
      <c r="L125" s="4" t="str">
        <f>IF(OR(Копия_20206[[#This Row],[Volume (in 1000 kg)]]&gt;$T$7,Копия_20206[[#This Row],[Volume (in 1000 kg)]]&lt;$T$6),"outlier","not outlier")</f>
        <v>not outlier</v>
      </c>
      <c r="M125" s="4" t="str">
        <f>IF(OR(Копия_20206[[#This Row],[Number of stores]]&gt;$U$7,Копия_20206[[#This Row],[Number of stores]]&lt;$U$6),"outlier","not outlier")</f>
        <v>not outlier</v>
      </c>
    </row>
    <row r="126" spans="1:13" x14ac:dyDescent="0.25">
      <c r="A126">
        <v>2020</v>
      </c>
      <c r="B126">
        <v>12</v>
      </c>
      <c r="C126" s="1" t="s">
        <v>29</v>
      </c>
      <c r="D126" s="1" t="s">
        <v>14</v>
      </c>
      <c r="E126" s="1" t="s">
        <v>12</v>
      </c>
      <c r="F126" s="5">
        <v>24.9785</v>
      </c>
      <c r="G126" s="5">
        <v>4973.5722139999998</v>
      </c>
      <c r="H126" s="5">
        <v>9.9914000000000005</v>
      </c>
      <c r="I126">
        <v>1907</v>
      </c>
      <c r="J126" s="4" t="str">
        <f>IF(OR(Копия_20206[[#This Row],[Units (in 1000)]]&gt;$R$7,Копия_20206[[#This Row],[Units (in 1000)]]&lt;$R$6),"outlier","not outlier")</f>
        <v>outlier</v>
      </c>
      <c r="K126" s="4" t="str">
        <f>IF(OR(Копия_20206[[#This Row],[Value (in 1000 rub)]]&gt;$S$7,Копия_20206[[#This Row],[Value (in 1000 rub)]]&lt;$S$6),"outlier","not outlier")</f>
        <v>outlier</v>
      </c>
      <c r="L126" s="4" t="str">
        <f>IF(OR(Копия_20206[[#This Row],[Volume (in 1000 kg)]]&gt;$T$7,Копия_20206[[#This Row],[Volume (in 1000 kg)]]&lt;$T$6),"outlier","not outlier")</f>
        <v>outlier</v>
      </c>
      <c r="M126" s="4" t="str">
        <f>IF(OR(Копия_20206[[#This Row],[Number of stores]]&gt;$U$7,Копия_20206[[#This Row],[Number of stores]]&lt;$U$6),"outlier","not outlier")</f>
        <v>not outlier</v>
      </c>
    </row>
    <row r="127" spans="1:13" x14ac:dyDescent="0.25">
      <c r="A127">
        <v>2020</v>
      </c>
      <c r="B127">
        <v>1</v>
      </c>
      <c r="C127" s="1" t="s">
        <v>8</v>
      </c>
      <c r="D127" s="1" t="s">
        <v>23</v>
      </c>
      <c r="E127" s="1" t="s">
        <v>12</v>
      </c>
      <c r="F127" s="5">
        <v>0.32100000000000001</v>
      </c>
      <c r="G127" s="5">
        <v>50.769759999999998</v>
      </c>
      <c r="H127" s="5">
        <v>0.12839999999999999</v>
      </c>
      <c r="I127">
        <v>0</v>
      </c>
      <c r="J127" s="4" t="str">
        <f>IF(OR(Копия_20206[[#This Row],[Units (in 1000)]]&gt;$R$7,Копия_20206[[#This Row],[Units (in 1000)]]&lt;$R$6),"outlier","not outlier")</f>
        <v>not outlier</v>
      </c>
      <c r="K127" s="4" t="str">
        <f>IF(OR(Копия_20206[[#This Row],[Value (in 1000 rub)]]&gt;$S$7,Копия_20206[[#This Row],[Value (in 1000 rub)]]&lt;$S$6),"outlier","not outlier")</f>
        <v>not outlier</v>
      </c>
      <c r="L127" s="4" t="str">
        <f>IF(OR(Копия_20206[[#This Row],[Volume (in 1000 kg)]]&gt;$T$7,Копия_20206[[#This Row],[Volume (in 1000 kg)]]&lt;$T$6),"outlier","not outlier")</f>
        <v>not outlier</v>
      </c>
      <c r="M127" s="4" t="str">
        <f>IF(OR(Копия_20206[[#This Row],[Number of stores]]&gt;$U$7,Копия_20206[[#This Row],[Number of stores]]&lt;$U$6),"outlier","not outlier")</f>
        <v>not outlier</v>
      </c>
    </row>
    <row r="128" spans="1:13" x14ac:dyDescent="0.25">
      <c r="A128">
        <v>2020</v>
      </c>
      <c r="B128">
        <v>2</v>
      </c>
      <c r="C128" s="1" t="s">
        <v>8</v>
      </c>
      <c r="D128" s="1" t="s">
        <v>23</v>
      </c>
      <c r="E128" s="1" t="s">
        <v>12</v>
      </c>
      <c r="F128" s="5">
        <v>0.2888</v>
      </c>
      <c r="G128" s="5">
        <v>46.506610999999999</v>
      </c>
      <c r="H128" s="5">
        <v>0.11550000000000001</v>
      </c>
      <c r="I128">
        <v>70</v>
      </c>
      <c r="J128" s="4" t="str">
        <f>IF(OR(Копия_20206[[#This Row],[Units (in 1000)]]&gt;$R$7,Копия_20206[[#This Row],[Units (in 1000)]]&lt;$R$6),"outlier","not outlier")</f>
        <v>not outlier</v>
      </c>
      <c r="K128" s="4" t="str">
        <f>IF(OR(Копия_20206[[#This Row],[Value (in 1000 rub)]]&gt;$S$7,Копия_20206[[#This Row],[Value (in 1000 rub)]]&lt;$S$6),"outlier","not outlier")</f>
        <v>not outlier</v>
      </c>
      <c r="L128" s="4" t="str">
        <f>IF(OR(Копия_20206[[#This Row],[Volume (in 1000 kg)]]&gt;$T$7,Копия_20206[[#This Row],[Volume (in 1000 kg)]]&lt;$T$6),"outlier","not outlier")</f>
        <v>not outlier</v>
      </c>
      <c r="M128" s="4" t="str">
        <f>IF(OR(Копия_20206[[#This Row],[Number of stores]]&gt;$U$7,Копия_20206[[#This Row],[Number of stores]]&lt;$U$6),"outlier","not outlier")</f>
        <v>not outlier</v>
      </c>
    </row>
    <row r="129" spans="1:13" x14ac:dyDescent="0.25">
      <c r="A129">
        <v>2020</v>
      </c>
      <c r="B129">
        <v>3</v>
      </c>
      <c r="C129" s="1" t="s">
        <v>8</v>
      </c>
      <c r="D129" s="1" t="s">
        <v>23</v>
      </c>
      <c r="E129" s="1" t="s">
        <v>12</v>
      </c>
      <c r="F129" s="5">
        <v>0.28820000000000001</v>
      </c>
      <c r="G129" s="5">
        <v>45.010945</v>
      </c>
      <c r="H129" s="5">
        <v>0.1152</v>
      </c>
      <c r="I129">
        <v>0</v>
      </c>
      <c r="J129" s="4" t="str">
        <f>IF(OR(Копия_20206[[#This Row],[Units (in 1000)]]&gt;$R$7,Копия_20206[[#This Row],[Units (in 1000)]]&lt;$R$6),"outlier","not outlier")</f>
        <v>not outlier</v>
      </c>
      <c r="K129" s="4" t="str">
        <f>IF(OR(Копия_20206[[#This Row],[Value (in 1000 rub)]]&gt;$S$7,Копия_20206[[#This Row],[Value (in 1000 rub)]]&lt;$S$6),"outlier","not outlier")</f>
        <v>not outlier</v>
      </c>
      <c r="L129" s="4" t="str">
        <f>IF(OR(Копия_20206[[#This Row],[Volume (in 1000 kg)]]&gt;$T$7,Копия_20206[[#This Row],[Volume (in 1000 kg)]]&lt;$T$6),"outlier","not outlier")</f>
        <v>not outlier</v>
      </c>
      <c r="M129" s="4" t="str">
        <f>IF(OR(Копия_20206[[#This Row],[Number of stores]]&gt;$U$7,Копия_20206[[#This Row],[Number of stores]]&lt;$U$6),"outlier","not outlier")</f>
        <v>not outlier</v>
      </c>
    </row>
    <row r="130" spans="1:13" x14ac:dyDescent="0.25">
      <c r="A130">
        <v>2020</v>
      </c>
      <c r="B130">
        <v>4</v>
      </c>
      <c r="C130" s="1" t="s">
        <v>8</v>
      </c>
      <c r="D130" s="1" t="s">
        <v>23</v>
      </c>
      <c r="E130" s="1" t="s">
        <v>12</v>
      </c>
      <c r="F130" s="5">
        <v>0.22370000000000001</v>
      </c>
      <c r="G130" s="5">
        <v>30.341988000000001</v>
      </c>
      <c r="H130" s="5">
        <v>8.9499999999999996E-2</v>
      </c>
      <c r="I130">
        <v>0</v>
      </c>
      <c r="J130" s="4" t="str">
        <f>IF(OR(Копия_20206[[#This Row],[Units (in 1000)]]&gt;$R$7,Копия_20206[[#This Row],[Units (in 1000)]]&lt;$R$6),"outlier","not outlier")</f>
        <v>not outlier</v>
      </c>
      <c r="K130" s="4" t="str">
        <f>IF(OR(Копия_20206[[#This Row],[Value (in 1000 rub)]]&gt;$S$7,Копия_20206[[#This Row],[Value (in 1000 rub)]]&lt;$S$6),"outlier","not outlier")</f>
        <v>not outlier</v>
      </c>
      <c r="L130" s="4" t="str">
        <f>IF(OR(Копия_20206[[#This Row],[Volume (in 1000 kg)]]&gt;$T$7,Копия_20206[[#This Row],[Volume (in 1000 kg)]]&lt;$T$6),"outlier","not outlier")</f>
        <v>not outlier</v>
      </c>
      <c r="M130" s="4" t="str">
        <f>IF(OR(Копия_20206[[#This Row],[Number of stores]]&gt;$U$7,Копия_20206[[#This Row],[Number of stores]]&lt;$U$6),"outlier","not outlier")</f>
        <v>not outlier</v>
      </c>
    </row>
    <row r="131" spans="1:13" x14ac:dyDescent="0.25">
      <c r="A131">
        <v>2020</v>
      </c>
      <c r="B131">
        <v>8</v>
      </c>
      <c r="C131" s="1" t="s">
        <v>8</v>
      </c>
      <c r="D131" s="1" t="s">
        <v>23</v>
      </c>
      <c r="E131" s="1" t="s">
        <v>18</v>
      </c>
      <c r="F131" s="5">
        <v>0.2349</v>
      </c>
      <c r="G131" s="5">
        <v>24.720427000000001</v>
      </c>
      <c r="H131" s="5">
        <v>4.2299999999999997E-2</v>
      </c>
      <c r="I131">
        <v>79</v>
      </c>
      <c r="J131" s="4" t="str">
        <f>IF(OR(Копия_20206[[#This Row],[Units (in 1000)]]&gt;$R$7,Копия_20206[[#This Row],[Units (in 1000)]]&lt;$R$6),"outlier","not outlier")</f>
        <v>not outlier</v>
      </c>
      <c r="K131" s="4" t="str">
        <f>IF(OR(Копия_20206[[#This Row],[Value (in 1000 rub)]]&gt;$S$7,Копия_20206[[#This Row],[Value (in 1000 rub)]]&lt;$S$6),"outlier","not outlier")</f>
        <v>not outlier</v>
      </c>
      <c r="L131" s="4" t="str">
        <f>IF(OR(Копия_20206[[#This Row],[Volume (in 1000 kg)]]&gt;$T$7,Копия_20206[[#This Row],[Volume (in 1000 kg)]]&lt;$T$6),"outlier","not outlier")</f>
        <v>not outlier</v>
      </c>
      <c r="M131" s="4" t="str">
        <f>IF(OR(Копия_20206[[#This Row],[Number of stores]]&gt;$U$7,Копия_20206[[#This Row],[Number of stores]]&lt;$U$6),"outlier","not outlier")</f>
        <v>not outlier</v>
      </c>
    </row>
    <row r="132" spans="1:13" x14ac:dyDescent="0.25">
      <c r="A132">
        <v>2020</v>
      </c>
      <c r="B132">
        <v>8</v>
      </c>
      <c r="C132" s="1" t="s">
        <v>8</v>
      </c>
      <c r="D132" s="1" t="s">
        <v>23</v>
      </c>
      <c r="E132" s="1" t="s">
        <v>12</v>
      </c>
      <c r="F132" s="5">
        <v>8.0199999999999994E-2</v>
      </c>
      <c r="G132" s="5">
        <v>9.5779779999999999</v>
      </c>
      <c r="H132" s="5">
        <v>3.2099999999999997E-2</v>
      </c>
      <c r="I132">
        <v>40</v>
      </c>
      <c r="J132" s="4" t="str">
        <f>IF(OR(Копия_20206[[#This Row],[Units (in 1000)]]&gt;$R$7,Копия_20206[[#This Row],[Units (in 1000)]]&lt;$R$6),"outlier","not outlier")</f>
        <v>not outlier</v>
      </c>
      <c r="K132" s="4" t="str">
        <f>IF(OR(Копия_20206[[#This Row],[Value (in 1000 rub)]]&gt;$S$7,Копия_20206[[#This Row],[Value (in 1000 rub)]]&lt;$S$6),"outlier","not outlier")</f>
        <v>not outlier</v>
      </c>
      <c r="L132" s="4" t="str">
        <f>IF(OR(Копия_20206[[#This Row],[Volume (in 1000 kg)]]&gt;$T$7,Копия_20206[[#This Row],[Volume (in 1000 kg)]]&lt;$T$6),"outlier","not outlier")</f>
        <v>not outlier</v>
      </c>
      <c r="M132" s="4" t="str">
        <f>IF(OR(Копия_20206[[#This Row],[Number of stores]]&gt;$U$7,Копия_20206[[#This Row],[Number of stores]]&lt;$U$6),"outlier","not outlier")</f>
        <v>not outlier</v>
      </c>
    </row>
    <row r="133" spans="1:13" x14ac:dyDescent="0.25">
      <c r="A133">
        <v>2020</v>
      </c>
      <c r="B133">
        <v>1</v>
      </c>
      <c r="C133" s="1" t="s">
        <v>29</v>
      </c>
      <c r="D133" s="1" t="s">
        <v>30</v>
      </c>
      <c r="E133" s="1" t="s">
        <v>18</v>
      </c>
      <c r="F133" s="5">
        <v>1.3486</v>
      </c>
      <c r="G133" s="5">
        <v>387.53728100000001</v>
      </c>
      <c r="H133" s="5">
        <v>0.25629999999999997</v>
      </c>
      <c r="I133">
        <v>100</v>
      </c>
      <c r="J133" s="4" t="str">
        <f>IF(OR(Копия_20206[[#This Row],[Units (in 1000)]]&gt;$R$7,Копия_20206[[#This Row],[Units (in 1000)]]&lt;$R$6),"outlier","not outlier")</f>
        <v>not outlier</v>
      </c>
      <c r="K133" s="4" t="str">
        <f>IF(OR(Копия_20206[[#This Row],[Value (in 1000 rub)]]&gt;$S$7,Копия_20206[[#This Row],[Value (in 1000 rub)]]&lt;$S$6),"outlier","not outlier")</f>
        <v>not outlier</v>
      </c>
      <c r="L133" s="4" t="str">
        <f>IF(OR(Копия_20206[[#This Row],[Volume (in 1000 kg)]]&gt;$T$7,Копия_20206[[#This Row],[Volume (in 1000 kg)]]&lt;$T$6),"outlier","not outlier")</f>
        <v>not outlier</v>
      </c>
      <c r="M133" s="4" t="str">
        <f>IF(OR(Копия_20206[[#This Row],[Number of stores]]&gt;$U$7,Копия_20206[[#This Row],[Number of stores]]&lt;$U$6),"outlier","not outlier")</f>
        <v>not outlier</v>
      </c>
    </row>
    <row r="134" spans="1:13" x14ac:dyDescent="0.25">
      <c r="A134">
        <v>2020</v>
      </c>
      <c r="B134">
        <v>1</v>
      </c>
      <c r="C134" s="1" t="s">
        <v>29</v>
      </c>
      <c r="D134" s="1" t="s">
        <v>30</v>
      </c>
      <c r="E134" s="1" t="s">
        <v>11</v>
      </c>
      <c r="F134" s="5">
        <v>3.1399999999999997E-2</v>
      </c>
      <c r="G134" s="5">
        <v>10.497775000000001</v>
      </c>
      <c r="H134" s="5">
        <v>1.0999999999999999E-2</v>
      </c>
      <c r="I134">
        <v>7</v>
      </c>
      <c r="J134" s="4" t="str">
        <f>IF(OR(Копия_20206[[#This Row],[Units (in 1000)]]&gt;$R$7,Копия_20206[[#This Row],[Units (in 1000)]]&lt;$R$6),"outlier","not outlier")</f>
        <v>not outlier</v>
      </c>
      <c r="K134" s="4" t="str">
        <f>IF(OR(Копия_20206[[#This Row],[Value (in 1000 rub)]]&gt;$S$7,Копия_20206[[#This Row],[Value (in 1000 rub)]]&lt;$S$6),"outlier","not outlier")</f>
        <v>not outlier</v>
      </c>
      <c r="L134" s="4" t="str">
        <f>IF(OR(Копия_20206[[#This Row],[Volume (in 1000 kg)]]&gt;$T$7,Копия_20206[[#This Row],[Volume (in 1000 kg)]]&lt;$T$6),"outlier","not outlier")</f>
        <v>not outlier</v>
      </c>
      <c r="M134" s="4" t="str">
        <f>IF(OR(Копия_20206[[#This Row],[Number of stores]]&gt;$U$7,Копия_20206[[#This Row],[Number of stores]]&lt;$U$6),"outlier","not outlier")</f>
        <v>not outlier</v>
      </c>
    </row>
    <row r="135" spans="1:13" x14ac:dyDescent="0.25">
      <c r="A135">
        <v>2020</v>
      </c>
      <c r="B135">
        <v>1</v>
      </c>
      <c r="C135" s="1" t="s">
        <v>29</v>
      </c>
      <c r="D135" s="1" t="s">
        <v>30</v>
      </c>
      <c r="E135" s="1" t="s">
        <v>12</v>
      </c>
      <c r="F135" s="5">
        <v>7.3400000000000007E-2</v>
      </c>
      <c r="G135" s="5">
        <v>36.070234999999997</v>
      </c>
      <c r="H135" s="5">
        <v>3.6700000000000003E-2</v>
      </c>
      <c r="I135">
        <v>50</v>
      </c>
      <c r="J135" s="4" t="str">
        <f>IF(OR(Копия_20206[[#This Row],[Units (in 1000)]]&gt;$R$7,Копия_20206[[#This Row],[Units (in 1000)]]&lt;$R$6),"outlier","not outlier")</f>
        <v>not outlier</v>
      </c>
      <c r="K135" s="4" t="str">
        <f>IF(OR(Копия_20206[[#This Row],[Value (in 1000 rub)]]&gt;$S$7,Копия_20206[[#This Row],[Value (in 1000 rub)]]&lt;$S$6),"outlier","not outlier")</f>
        <v>not outlier</v>
      </c>
      <c r="L135" s="4" t="str">
        <f>IF(OR(Копия_20206[[#This Row],[Volume (in 1000 kg)]]&gt;$T$7,Копия_20206[[#This Row],[Volume (in 1000 kg)]]&lt;$T$6),"outlier","not outlier")</f>
        <v>not outlier</v>
      </c>
      <c r="M135" s="4" t="str">
        <f>IF(OR(Копия_20206[[#This Row],[Number of stores]]&gt;$U$7,Копия_20206[[#This Row],[Number of stores]]&lt;$U$6),"outlier","not outlier")</f>
        <v>not outlier</v>
      </c>
    </row>
    <row r="136" spans="1:13" x14ac:dyDescent="0.25">
      <c r="A136">
        <v>2020</v>
      </c>
      <c r="B136">
        <v>2</v>
      </c>
      <c r="C136" s="1" t="s">
        <v>29</v>
      </c>
      <c r="D136" s="1" t="s">
        <v>30</v>
      </c>
      <c r="E136" s="1" t="s">
        <v>18</v>
      </c>
      <c r="F136" s="5">
        <v>1.7384999999999999</v>
      </c>
      <c r="G136" s="5">
        <v>457.74386800000002</v>
      </c>
      <c r="H136" s="5">
        <v>0.33029999999999998</v>
      </c>
      <c r="I136">
        <v>108</v>
      </c>
      <c r="J136" s="4" t="str">
        <f>IF(OR(Копия_20206[[#This Row],[Units (in 1000)]]&gt;$R$7,Копия_20206[[#This Row],[Units (in 1000)]]&lt;$R$6),"outlier","not outlier")</f>
        <v>not outlier</v>
      </c>
      <c r="K136" s="4" t="str">
        <f>IF(OR(Копия_20206[[#This Row],[Value (in 1000 rub)]]&gt;$S$7,Копия_20206[[#This Row],[Value (in 1000 rub)]]&lt;$S$6),"outlier","not outlier")</f>
        <v>not outlier</v>
      </c>
      <c r="L136" s="4" t="str">
        <f>IF(OR(Копия_20206[[#This Row],[Volume (in 1000 kg)]]&gt;$T$7,Копия_20206[[#This Row],[Volume (in 1000 kg)]]&lt;$T$6),"outlier","not outlier")</f>
        <v>not outlier</v>
      </c>
      <c r="M136" s="4" t="str">
        <f>IF(OR(Копия_20206[[#This Row],[Number of stores]]&gt;$U$7,Копия_20206[[#This Row],[Number of stores]]&lt;$U$6),"outlier","not outlier")</f>
        <v>not outlier</v>
      </c>
    </row>
    <row r="137" spans="1:13" x14ac:dyDescent="0.25">
      <c r="A137">
        <v>2020</v>
      </c>
      <c r="B137">
        <v>2</v>
      </c>
      <c r="C137" s="1" t="s">
        <v>29</v>
      </c>
      <c r="D137" s="1" t="s">
        <v>30</v>
      </c>
      <c r="E137" s="1" t="s">
        <v>11</v>
      </c>
      <c r="F137" s="5">
        <v>3.9699999999999999E-2</v>
      </c>
      <c r="G137" s="5">
        <v>13.110632000000001</v>
      </c>
      <c r="H137" s="5">
        <v>1.4E-2</v>
      </c>
      <c r="I137">
        <v>8</v>
      </c>
      <c r="J137" s="4" t="str">
        <f>IF(OR(Копия_20206[[#This Row],[Units (in 1000)]]&gt;$R$7,Копия_20206[[#This Row],[Units (in 1000)]]&lt;$R$6),"outlier","not outlier")</f>
        <v>not outlier</v>
      </c>
      <c r="K137" s="4" t="str">
        <f>IF(OR(Копия_20206[[#This Row],[Value (in 1000 rub)]]&gt;$S$7,Копия_20206[[#This Row],[Value (in 1000 rub)]]&lt;$S$6),"outlier","not outlier")</f>
        <v>not outlier</v>
      </c>
      <c r="L137" s="4" t="str">
        <f>IF(OR(Копия_20206[[#This Row],[Volume (in 1000 kg)]]&gt;$T$7,Копия_20206[[#This Row],[Volume (in 1000 kg)]]&lt;$T$6),"outlier","not outlier")</f>
        <v>not outlier</v>
      </c>
      <c r="M137" s="4" t="str">
        <f>IF(OR(Копия_20206[[#This Row],[Number of stores]]&gt;$U$7,Копия_20206[[#This Row],[Number of stores]]&lt;$U$6),"outlier","not outlier")</f>
        <v>not outlier</v>
      </c>
    </row>
    <row r="138" spans="1:13" x14ac:dyDescent="0.25">
      <c r="A138">
        <v>2020</v>
      </c>
      <c r="B138">
        <v>2</v>
      </c>
      <c r="C138" s="1" t="s">
        <v>29</v>
      </c>
      <c r="D138" s="1" t="s">
        <v>30</v>
      </c>
      <c r="E138" s="1" t="s">
        <v>12</v>
      </c>
      <c r="F138" s="5">
        <v>6.8500000000000005E-2</v>
      </c>
      <c r="G138" s="5">
        <v>33.706556999999997</v>
      </c>
      <c r="H138" s="5">
        <v>3.4200000000000001E-2</v>
      </c>
      <c r="I138">
        <v>40</v>
      </c>
      <c r="J138" s="4" t="str">
        <f>IF(OR(Копия_20206[[#This Row],[Units (in 1000)]]&gt;$R$7,Копия_20206[[#This Row],[Units (in 1000)]]&lt;$R$6),"outlier","not outlier")</f>
        <v>not outlier</v>
      </c>
      <c r="K138" s="4" t="str">
        <f>IF(OR(Копия_20206[[#This Row],[Value (in 1000 rub)]]&gt;$S$7,Копия_20206[[#This Row],[Value (in 1000 rub)]]&lt;$S$6),"outlier","not outlier")</f>
        <v>not outlier</v>
      </c>
      <c r="L138" s="4" t="str">
        <f>IF(OR(Копия_20206[[#This Row],[Volume (in 1000 kg)]]&gt;$T$7,Копия_20206[[#This Row],[Volume (in 1000 kg)]]&lt;$T$6),"outlier","not outlier")</f>
        <v>not outlier</v>
      </c>
      <c r="M138" s="4" t="str">
        <f>IF(OR(Копия_20206[[#This Row],[Number of stores]]&gt;$U$7,Копия_20206[[#This Row],[Number of stores]]&lt;$U$6),"outlier","not outlier")</f>
        <v>not outlier</v>
      </c>
    </row>
    <row r="139" spans="1:13" x14ac:dyDescent="0.25">
      <c r="A139">
        <v>2020</v>
      </c>
      <c r="B139">
        <v>3</v>
      </c>
      <c r="C139" s="1" t="s">
        <v>29</v>
      </c>
      <c r="D139" s="1" t="s">
        <v>30</v>
      </c>
      <c r="E139" s="1" t="s">
        <v>18</v>
      </c>
      <c r="F139" s="5">
        <v>2.5575999999999999</v>
      </c>
      <c r="G139" s="5">
        <v>700.96811600000001</v>
      </c>
      <c r="H139" s="5">
        <v>0.4859</v>
      </c>
      <c r="I139">
        <v>111</v>
      </c>
      <c r="J139" s="4" t="str">
        <f>IF(OR(Копия_20206[[#This Row],[Units (in 1000)]]&gt;$R$7,Копия_20206[[#This Row],[Units (in 1000)]]&lt;$R$6),"outlier","not outlier")</f>
        <v>not outlier</v>
      </c>
      <c r="K139" s="4" t="str">
        <f>IF(OR(Копия_20206[[#This Row],[Value (in 1000 rub)]]&gt;$S$7,Копия_20206[[#This Row],[Value (in 1000 rub)]]&lt;$S$6),"outlier","not outlier")</f>
        <v>not outlier</v>
      </c>
      <c r="L139" s="4" t="str">
        <f>IF(OR(Копия_20206[[#This Row],[Volume (in 1000 kg)]]&gt;$T$7,Копия_20206[[#This Row],[Volume (in 1000 kg)]]&lt;$T$6),"outlier","not outlier")</f>
        <v>not outlier</v>
      </c>
      <c r="M139" s="4" t="str">
        <f>IF(OR(Копия_20206[[#This Row],[Number of stores]]&gt;$U$7,Копия_20206[[#This Row],[Number of stores]]&lt;$U$6),"outlier","not outlier")</f>
        <v>not outlier</v>
      </c>
    </row>
    <row r="140" spans="1:13" x14ac:dyDescent="0.25">
      <c r="A140">
        <v>2020</v>
      </c>
      <c r="B140">
        <v>3</v>
      </c>
      <c r="C140" s="1" t="s">
        <v>29</v>
      </c>
      <c r="D140" s="1" t="s">
        <v>30</v>
      </c>
      <c r="E140" s="1" t="s">
        <v>11</v>
      </c>
      <c r="F140" s="5">
        <v>4.1200000000000001E-2</v>
      </c>
      <c r="G140" s="5">
        <v>13.251863999999999</v>
      </c>
      <c r="H140" s="5">
        <v>1.4500000000000001E-2</v>
      </c>
      <c r="I140">
        <v>6</v>
      </c>
      <c r="J140" s="4" t="str">
        <f>IF(OR(Копия_20206[[#This Row],[Units (in 1000)]]&gt;$R$7,Копия_20206[[#This Row],[Units (in 1000)]]&lt;$R$6),"outlier","not outlier")</f>
        <v>not outlier</v>
      </c>
      <c r="K140" s="4" t="str">
        <f>IF(OR(Копия_20206[[#This Row],[Value (in 1000 rub)]]&gt;$S$7,Копия_20206[[#This Row],[Value (in 1000 rub)]]&lt;$S$6),"outlier","not outlier")</f>
        <v>not outlier</v>
      </c>
      <c r="L140" s="4" t="str">
        <f>IF(OR(Копия_20206[[#This Row],[Volume (in 1000 kg)]]&gt;$T$7,Копия_20206[[#This Row],[Volume (in 1000 kg)]]&lt;$T$6),"outlier","not outlier")</f>
        <v>not outlier</v>
      </c>
      <c r="M140" s="4" t="str">
        <f>IF(OR(Копия_20206[[#This Row],[Number of stores]]&gt;$U$7,Копия_20206[[#This Row],[Number of stores]]&lt;$U$6),"outlier","not outlier")</f>
        <v>not outlier</v>
      </c>
    </row>
    <row r="141" spans="1:13" x14ac:dyDescent="0.25">
      <c r="A141">
        <v>2020</v>
      </c>
      <c r="B141">
        <v>3</v>
      </c>
      <c r="C141" s="1" t="s">
        <v>29</v>
      </c>
      <c r="D141" s="1" t="s">
        <v>30</v>
      </c>
      <c r="E141" s="1" t="s">
        <v>12</v>
      </c>
      <c r="F141" s="5">
        <v>8.1799999999999998E-2</v>
      </c>
      <c r="G141" s="5">
        <v>39.988526</v>
      </c>
      <c r="H141" s="5">
        <v>4.0800000000000003E-2</v>
      </c>
      <c r="I141">
        <v>47</v>
      </c>
      <c r="J141" s="4" t="str">
        <f>IF(OR(Копия_20206[[#This Row],[Units (in 1000)]]&gt;$R$7,Копия_20206[[#This Row],[Units (in 1000)]]&lt;$R$6),"outlier","not outlier")</f>
        <v>not outlier</v>
      </c>
      <c r="K141" s="4" t="str">
        <f>IF(OR(Копия_20206[[#This Row],[Value (in 1000 rub)]]&gt;$S$7,Копия_20206[[#This Row],[Value (in 1000 rub)]]&lt;$S$6),"outlier","not outlier")</f>
        <v>not outlier</v>
      </c>
      <c r="L141" s="4" t="str">
        <f>IF(OR(Копия_20206[[#This Row],[Volume (in 1000 kg)]]&gt;$T$7,Копия_20206[[#This Row],[Volume (in 1000 kg)]]&lt;$T$6),"outlier","not outlier")</f>
        <v>not outlier</v>
      </c>
      <c r="M141" s="4" t="str">
        <f>IF(OR(Копия_20206[[#This Row],[Number of stores]]&gt;$U$7,Копия_20206[[#This Row],[Number of stores]]&lt;$U$6),"outlier","not outlier")</f>
        <v>not outlier</v>
      </c>
    </row>
    <row r="142" spans="1:13" x14ac:dyDescent="0.25">
      <c r="A142">
        <v>2020</v>
      </c>
      <c r="B142">
        <v>4</v>
      </c>
      <c r="C142" s="1" t="s">
        <v>29</v>
      </c>
      <c r="D142" s="1" t="s">
        <v>30</v>
      </c>
      <c r="E142" s="1" t="s">
        <v>18</v>
      </c>
      <c r="F142" s="5">
        <v>1.6919999999999999</v>
      </c>
      <c r="G142" s="5">
        <v>457.457559</v>
      </c>
      <c r="H142" s="5">
        <v>0.32150000000000001</v>
      </c>
      <c r="I142">
        <v>115</v>
      </c>
      <c r="J142" s="4" t="str">
        <f>IF(OR(Копия_20206[[#This Row],[Units (in 1000)]]&gt;$R$7,Копия_20206[[#This Row],[Units (in 1000)]]&lt;$R$6),"outlier","not outlier")</f>
        <v>not outlier</v>
      </c>
      <c r="K142" s="4" t="str">
        <f>IF(OR(Копия_20206[[#This Row],[Value (in 1000 rub)]]&gt;$S$7,Копия_20206[[#This Row],[Value (in 1000 rub)]]&lt;$S$6),"outlier","not outlier")</f>
        <v>not outlier</v>
      </c>
      <c r="L142" s="4" t="str">
        <f>IF(OR(Копия_20206[[#This Row],[Volume (in 1000 kg)]]&gt;$T$7,Копия_20206[[#This Row],[Volume (in 1000 kg)]]&lt;$T$6),"outlier","not outlier")</f>
        <v>not outlier</v>
      </c>
      <c r="M142" s="4" t="str">
        <f>IF(OR(Копия_20206[[#This Row],[Number of stores]]&gt;$U$7,Копия_20206[[#This Row],[Number of stores]]&lt;$U$6),"outlier","not outlier")</f>
        <v>not outlier</v>
      </c>
    </row>
    <row r="143" spans="1:13" x14ac:dyDescent="0.25">
      <c r="A143">
        <v>2020</v>
      </c>
      <c r="B143">
        <v>4</v>
      </c>
      <c r="C143" s="1" t="s">
        <v>29</v>
      </c>
      <c r="D143" s="1" t="s">
        <v>30</v>
      </c>
      <c r="E143" s="1" t="s">
        <v>11</v>
      </c>
      <c r="F143" s="5">
        <v>2.3199999999999998E-2</v>
      </c>
      <c r="G143" s="5">
        <v>7.4160680000000001</v>
      </c>
      <c r="H143" s="5">
        <v>8.2000000000000007E-3</v>
      </c>
      <c r="I143">
        <v>6</v>
      </c>
      <c r="J143" s="4" t="str">
        <f>IF(OR(Копия_20206[[#This Row],[Units (in 1000)]]&gt;$R$7,Копия_20206[[#This Row],[Units (in 1000)]]&lt;$R$6),"outlier","not outlier")</f>
        <v>not outlier</v>
      </c>
      <c r="K143" s="4" t="str">
        <f>IF(OR(Копия_20206[[#This Row],[Value (in 1000 rub)]]&gt;$S$7,Копия_20206[[#This Row],[Value (in 1000 rub)]]&lt;$S$6),"outlier","not outlier")</f>
        <v>not outlier</v>
      </c>
      <c r="L143" s="4" t="str">
        <f>IF(OR(Копия_20206[[#This Row],[Volume (in 1000 kg)]]&gt;$T$7,Копия_20206[[#This Row],[Volume (in 1000 kg)]]&lt;$T$6),"outlier","not outlier")</f>
        <v>not outlier</v>
      </c>
      <c r="M143" s="4" t="str">
        <f>IF(OR(Копия_20206[[#This Row],[Number of stores]]&gt;$U$7,Копия_20206[[#This Row],[Number of stores]]&lt;$U$6),"outlier","not outlier")</f>
        <v>not outlier</v>
      </c>
    </row>
    <row r="144" spans="1:13" x14ac:dyDescent="0.25">
      <c r="A144">
        <v>2020</v>
      </c>
      <c r="B144">
        <v>4</v>
      </c>
      <c r="C144" s="1" t="s">
        <v>29</v>
      </c>
      <c r="D144" s="1" t="s">
        <v>30</v>
      </c>
      <c r="E144" s="1" t="s">
        <v>12</v>
      </c>
      <c r="F144" s="5">
        <v>6.3899999999999998E-2</v>
      </c>
      <c r="G144" s="5">
        <v>31.154171000000002</v>
      </c>
      <c r="H144" s="5">
        <v>3.1899999999999998E-2</v>
      </c>
      <c r="I144">
        <v>54</v>
      </c>
      <c r="J144" s="4" t="str">
        <f>IF(OR(Копия_20206[[#This Row],[Units (in 1000)]]&gt;$R$7,Копия_20206[[#This Row],[Units (in 1000)]]&lt;$R$6),"outlier","not outlier")</f>
        <v>not outlier</v>
      </c>
      <c r="K144" s="4" t="str">
        <f>IF(OR(Копия_20206[[#This Row],[Value (in 1000 rub)]]&gt;$S$7,Копия_20206[[#This Row],[Value (in 1000 rub)]]&lt;$S$6),"outlier","not outlier")</f>
        <v>not outlier</v>
      </c>
      <c r="L144" s="4" t="str">
        <f>IF(OR(Копия_20206[[#This Row],[Volume (in 1000 kg)]]&gt;$T$7,Копия_20206[[#This Row],[Volume (in 1000 kg)]]&lt;$T$6),"outlier","not outlier")</f>
        <v>not outlier</v>
      </c>
      <c r="M144" s="4" t="str">
        <f>IF(OR(Копия_20206[[#This Row],[Number of stores]]&gt;$U$7,Копия_20206[[#This Row],[Number of stores]]&lt;$U$6),"outlier","not outlier")</f>
        <v>not outlier</v>
      </c>
    </row>
    <row r="145" spans="1:13" x14ac:dyDescent="0.25">
      <c r="A145">
        <v>2020</v>
      </c>
      <c r="B145">
        <v>5</v>
      </c>
      <c r="C145" s="1" t="s">
        <v>29</v>
      </c>
      <c r="D145" s="1" t="s">
        <v>30</v>
      </c>
      <c r="E145" s="1" t="s">
        <v>18</v>
      </c>
      <c r="F145" s="5">
        <v>1.4770000000000001</v>
      </c>
      <c r="G145" s="5">
        <v>390.84283699999997</v>
      </c>
      <c r="H145" s="5">
        <v>0.28050000000000003</v>
      </c>
      <c r="I145">
        <v>106</v>
      </c>
      <c r="J145" s="4" t="str">
        <f>IF(OR(Копия_20206[[#This Row],[Units (in 1000)]]&gt;$R$7,Копия_20206[[#This Row],[Units (in 1000)]]&lt;$R$6),"outlier","not outlier")</f>
        <v>not outlier</v>
      </c>
      <c r="K145" s="4" t="str">
        <f>IF(OR(Копия_20206[[#This Row],[Value (in 1000 rub)]]&gt;$S$7,Копия_20206[[#This Row],[Value (in 1000 rub)]]&lt;$S$6),"outlier","not outlier")</f>
        <v>not outlier</v>
      </c>
      <c r="L145" s="4" t="str">
        <f>IF(OR(Копия_20206[[#This Row],[Volume (in 1000 kg)]]&gt;$T$7,Копия_20206[[#This Row],[Volume (in 1000 kg)]]&lt;$T$6),"outlier","not outlier")</f>
        <v>not outlier</v>
      </c>
      <c r="M145" s="4" t="str">
        <f>IF(OR(Копия_20206[[#This Row],[Number of stores]]&gt;$U$7,Копия_20206[[#This Row],[Number of stores]]&lt;$U$6),"outlier","not outlier")</f>
        <v>not outlier</v>
      </c>
    </row>
    <row r="146" spans="1:13" x14ac:dyDescent="0.25">
      <c r="A146">
        <v>2020</v>
      </c>
      <c r="B146">
        <v>5</v>
      </c>
      <c r="C146" s="1" t="s">
        <v>29</v>
      </c>
      <c r="D146" s="1" t="s">
        <v>30</v>
      </c>
      <c r="E146" s="1" t="s">
        <v>11</v>
      </c>
      <c r="F146" s="5">
        <v>2.6700000000000002E-2</v>
      </c>
      <c r="G146" s="5">
        <v>8.9621270000000006</v>
      </c>
      <c r="H146" s="5">
        <v>9.2999999999999992E-3</v>
      </c>
      <c r="I146">
        <v>5</v>
      </c>
      <c r="J146" s="4" t="str">
        <f>IF(OR(Копия_20206[[#This Row],[Units (in 1000)]]&gt;$R$7,Копия_20206[[#This Row],[Units (in 1000)]]&lt;$R$6),"outlier","not outlier")</f>
        <v>not outlier</v>
      </c>
      <c r="K146" s="4" t="str">
        <f>IF(OR(Копия_20206[[#This Row],[Value (in 1000 rub)]]&gt;$S$7,Копия_20206[[#This Row],[Value (in 1000 rub)]]&lt;$S$6),"outlier","not outlier")</f>
        <v>not outlier</v>
      </c>
      <c r="L146" s="4" t="str">
        <f>IF(OR(Копия_20206[[#This Row],[Volume (in 1000 kg)]]&gt;$T$7,Копия_20206[[#This Row],[Volume (in 1000 kg)]]&lt;$T$6),"outlier","not outlier")</f>
        <v>not outlier</v>
      </c>
      <c r="M146" s="4" t="str">
        <f>IF(OR(Копия_20206[[#This Row],[Number of stores]]&gt;$U$7,Копия_20206[[#This Row],[Number of stores]]&lt;$U$6),"outlier","not outlier")</f>
        <v>not outlier</v>
      </c>
    </row>
    <row r="147" spans="1:13" x14ac:dyDescent="0.25">
      <c r="A147">
        <v>2020</v>
      </c>
      <c r="B147">
        <v>5</v>
      </c>
      <c r="C147" s="1" t="s">
        <v>29</v>
      </c>
      <c r="D147" s="1" t="s">
        <v>30</v>
      </c>
      <c r="E147" s="1" t="s">
        <v>12</v>
      </c>
      <c r="F147" s="5">
        <v>7.9000000000000001E-2</v>
      </c>
      <c r="G147" s="5">
        <v>38.584693999999999</v>
      </c>
      <c r="H147" s="5">
        <v>3.95E-2</v>
      </c>
      <c r="I147">
        <v>48</v>
      </c>
      <c r="J147" s="4" t="str">
        <f>IF(OR(Копия_20206[[#This Row],[Units (in 1000)]]&gt;$R$7,Копия_20206[[#This Row],[Units (in 1000)]]&lt;$R$6),"outlier","not outlier")</f>
        <v>not outlier</v>
      </c>
      <c r="K147" s="4" t="str">
        <f>IF(OR(Копия_20206[[#This Row],[Value (in 1000 rub)]]&gt;$S$7,Копия_20206[[#This Row],[Value (in 1000 rub)]]&lt;$S$6),"outlier","not outlier")</f>
        <v>not outlier</v>
      </c>
      <c r="L147" s="4" t="str">
        <f>IF(OR(Копия_20206[[#This Row],[Volume (in 1000 kg)]]&gt;$T$7,Копия_20206[[#This Row],[Volume (in 1000 kg)]]&lt;$T$6),"outlier","not outlier")</f>
        <v>not outlier</v>
      </c>
      <c r="M147" s="4" t="str">
        <f>IF(OR(Копия_20206[[#This Row],[Number of stores]]&gt;$U$7,Копия_20206[[#This Row],[Number of stores]]&lt;$U$6),"outlier","not outlier")</f>
        <v>not outlier</v>
      </c>
    </row>
    <row r="148" spans="1:13" x14ac:dyDescent="0.25">
      <c r="A148">
        <v>2020</v>
      </c>
      <c r="B148">
        <v>6</v>
      </c>
      <c r="C148" s="1" t="s">
        <v>8</v>
      </c>
      <c r="D148" s="1" t="s">
        <v>30</v>
      </c>
      <c r="E148" s="1" t="s">
        <v>18</v>
      </c>
      <c r="F148" s="5">
        <v>1.1305000000000001</v>
      </c>
      <c r="G148" s="5">
        <v>55.474507000000003</v>
      </c>
      <c r="H148" s="5">
        <v>0.21479999999999999</v>
      </c>
      <c r="I148">
        <v>82</v>
      </c>
      <c r="J148" s="4" t="str">
        <f>IF(OR(Копия_20206[[#This Row],[Units (in 1000)]]&gt;$R$7,Копия_20206[[#This Row],[Units (in 1000)]]&lt;$R$6),"outlier","not outlier")</f>
        <v>not outlier</v>
      </c>
      <c r="K148" s="4" t="str">
        <f>IF(OR(Копия_20206[[#This Row],[Value (in 1000 rub)]]&gt;$S$7,Копия_20206[[#This Row],[Value (in 1000 rub)]]&lt;$S$6),"outlier","not outlier")</f>
        <v>not outlier</v>
      </c>
      <c r="L148" s="4" t="str">
        <f>IF(OR(Копия_20206[[#This Row],[Volume (in 1000 kg)]]&gt;$T$7,Копия_20206[[#This Row],[Volume (in 1000 kg)]]&lt;$T$6),"outlier","not outlier")</f>
        <v>not outlier</v>
      </c>
      <c r="M148" s="4" t="str">
        <f>IF(OR(Копия_20206[[#This Row],[Number of stores]]&gt;$U$7,Копия_20206[[#This Row],[Number of stores]]&lt;$U$6),"outlier","not outlier")</f>
        <v>not outlier</v>
      </c>
    </row>
    <row r="149" spans="1:13" x14ac:dyDescent="0.25">
      <c r="A149">
        <v>2020</v>
      </c>
      <c r="B149">
        <v>6</v>
      </c>
      <c r="C149" s="1" t="s">
        <v>8</v>
      </c>
      <c r="D149" s="1" t="s">
        <v>30</v>
      </c>
      <c r="E149" s="1" t="s">
        <v>11</v>
      </c>
      <c r="F149" s="5">
        <v>1.2999999999999999E-3</v>
      </c>
      <c r="G149" s="5">
        <v>0.42528700000000003</v>
      </c>
      <c r="H149" s="5">
        <v>5.0000000000000001E-4</v>
      </c>
      <c r="I149">
        <v>1</v>
      </c>
      <c r="J149" s="4" t="str">
        <f>IF(OR(Копия_20206[[#This Row],[Units (in 1000)]]&gt;$R$7,Копия_20206[[#This Row],[Units (in 1000)]]&lt;$R$6),"outlier","not outlier")</f>
        <v>not outlier</v>
      </c>
      <c r="K149" s="4" t="str">
        <f>IF(OR(Копия_20206[[#This Row],[Value (in 1000 rub)]]&gt;$S$7,Копия_20206[[#This Row],[Value (in 1000 rub)]]&lt;$S$6),"outlier","not outlier")</f>
        <v>not outlier</v>
      </c>
      <c r="L149" s="4" t="str">
        <f>IF(OR(Копия_20206[[#This Row],[Volume (in 1000 kg)]]&gt;$T$7,Копия_20206[[#This Row],[Volume (in 1000 kg)]]&lt;$T$6),"outlier","not outlier")</f>
        <v>not outlier</v>
      </c>
      <c r="M149" s="4" t="str">
        <f>IF(OR(Копия_20206[[#This Row],[Number of stores]]&gt;$U$7,Копия_20206[[#This Row],[Number of stores]]&lt;$U$6),"outlier","not outlier")</f>
        <v>not outlier</v>
      </c>
    </row>
    <row r="150" spans="1:13" x14ac:dyDescent="0.25">
      <c r="A150">
        <v>2020</v>
      </c>
      <c r="B150">
        <v>6</v>
      </c>
      <c r="C150" s="1" t="s">
        <v>29</v>
      </c>
      <c r="D150" s="1" t="s">
        <v>30</v>
      </c>
      <c r="E150" s="1" t="s">
        <v>18</v>
      </c>
      <c r="F150" s="5">
        <v>1.7588999999999999</v>
      </c>
      <c r="G150" s="5">
        <v>476.18338699999998</v>
      </c>
      <c r="H150" s="5">
        <v>0.3342</v>
      </c>
      <c r="I150">
        <v>97</v>
      </c>
      <c r="J150" s="4" t="str">
        <f>IF(OR(Копия_20206[[#This Row],[Units (in 1000)]]&gt;$R$7,Копия_20206[[#This Row],[Units (in 1000)]]&lt;$R$6),"outlier","not outlier")</f>
        <v>not outlier</v>
      </c>
      <c r="K150" s="4" t="str">
        <f>IF(OR(Копия_20206[[#This Row],[Value (in 1000 rub)]]&gt;$S$7,Копия_20206[[#This Row],[Value (in 1000 rub)]]&lt;$S$6),"outlier","not outlier")</f>
        <v>not outlier</v>
      </c>
      <c r="L150" s="4" t="str">
        <f>IF(OR(Копия_20206[[#This Row],[Volume (in 1000 kg)]]&gt;$T$7,Копия_20206[[#This Row],[Volume (in 1000 kg)]]&lt;$T$6),"outlier","not outlier")</f>
        <v>not outlier</v>
      </c>
      <c r="M150" s="4" t="str">
        <f>IF(OR(Копия_20206[[#This Row],[Number of stores]]&gt;$U$7,Копия_20206[[#This Row],[Number of stores]]&lt;$U$6),"outlier","not outlier")</f>
        <v>not outlier</v>
      </c>
    </row>
    <row r="151" spans="1:13" x14ac:dyDescent="0.25">
      <c r="A151">
        <v>2020</v>
      </c>
      <c r="B151">
        <v>6</v>
      </c>
      <c r="C151" s="1" t="s">
        <v>29</v>
      </c>
      <c r="D151" s="1" t="s">
        <v>30</v>
      </c>
      <c r="E151" s="1" t="s">
        <v>11</v>
      </c>
      <c r="F151" s="5">
        <v>2.4500000000000001E-2</v>
      </c>
      <c r="G151" s="5">
        <v>7.8485170000000002</v>
      </c>
      <c r="H151" s="5">
        <v>8.6999999999999994E-3</v>
      </c>
      <c r="I151">
        <v>6</v>
      </c>
      <c r="J151" s="4" t="str">
        <f>IF(OR(Копия_20206[[#This Row],[Units (in 1000)]]&gt;$R$7,Копия_20206[[#This Row],[Units (in 1000)]]&lt;$R$6),"outlier","not outlier")</f>
        <v>not outlier</v>
      </c>
      <c r="K151" s="4" t="str">
        <f>IF(OR(Копия_20206[[#This Row],[Value (in 1000 rub)]]&gt;$S$7,Копия_20206[[#This Row],[Value (in 1000 rub)]]&lt;$S$6),"outlier","not outlier")</f>
        <v>not outlier</v>
      </c>
      <c r="L151" s="4" t="str">
        <f>IF(OR(Копия_20206[[#This Row],[Volume (in 1000 kg)]]&gt;$T$7,Копия_20206[[#This Row],[Volume (in 1000 kg)]]&lt;$T$6),"outlier","not outlier")</f>
        <v>not outlier</v>
      </c>
      <c r="M151" s="4" t="str">
        <f>IF(OR(Копия_20206[[#This Row],[Number of stores]]&gt;$U$7,Копия_20206[[#This Row],[Number of stores]]&lt;$U$6),"outlier","not outlier")</f>
        <v>not outlier</v>
      </c>
    </row>
    <row r="152" spans="1:13" x14ac:dyDescent="0.25">
      <c r="A152">
        <v>2020</v>
      </c>
      <c r="B152">
        <v>6</v>
      </c>
      <c r="C152" s="1" t="s">
        <v>29</v>
      </c>
      <c r="D152" s="1" t="s">
        <v>30</v>
      </c>
      <c r="E152" s="1" t="s">
        <v>12</v>
      </c>
      <c r="F152" s="5">
        <v>5.5800000000000002E-2</v>
      </c>
      <c r="G152" s="5">
        <v>27.373598000000001</v>
      </c>
      <c r="H152" s="5">
        <v>2.7900000000000001E-2</v>
      </c>
      <c r="I152">
        <v>43</v>
      </c>
      <c r="J152" s="4" t="str">
        <f>IF(OR(Копия_20206[[#This Row],[Units (in 1000)]]&gt;$R$7,Копия_20206[[#This Row],[Units (in 1000)]]&lt;$R$6),"outlier","not outlier")</f>
        <v>not outlier</v>
      </c>
      <c r="K152" s="4" t="str">
        <f>IF(OR(Копия_20206[[#This Row],[Value (in 1000 rub)]]&gt;$S$7,Копия_20206[[#This Row],[Value (in 1000 rub)]]&lt;$S$6),"outlier","not outlier")</f>
        <v>not outlier</v>
      </c>
      <c r="L152" s="4" t="str">
        <f>IF(OR(Копия_20206[[#This Row],[Volume (in 1000 kg)]]&gt;$T$7,Копия_20206[[#This Row],[Volume (in 1000 kg)]]&lt;$T$6),"outlier","not outlier")</f>
        <v>not outlier</v>
      </c>
      <c r="M152" s="4" t="str">
        <f>IF(OR(Копия_20206[[#This Row],[Number of stores]]&gt;$U$7,Копия_20206[[#This Row],[Number of stores]]&lt;$U$6),"outlier","not outlier")</f>
        <v>not outlier</v>
      </c>
    </row>
    <row r="153" spans="1:13" x14ac:dyDescent="0.25">
      <c r="A153">
        <v>2020</v>
      </c>
      <c r="B153">
        <v>7</v>
      </c>
      <c r="C153" s="1" t="s">
        <v>29</v>
      </c>
      <c r="D153" s="1" t="s">
        <v>30</v>
      </c>
      <c r="E153" s="1" t="s">
        <v>18</v>
      </c>
      <c r="F153" s="5">
        <v>1.0443</v>
      </c>
      <c r="G153" s="5">
        <v>298.57960200000002</v>
      </c>
      <c r="H153" s="5">
        <v>0.19839999999999999</v>
      </c>
      <c r="I153">
        <v>96</v>
      </c>
      <c r="J153" s="4" t="str">
        <f>IF(OR(Копия_20206[[#This Row],[Units (in 1000)]]&gt;$R$7,Копия_20206[[#This Row],[Units (in 1000)]]&lt;$R$6),"outlier","not outlier")</f>
        <v>not outlier</v>
      </c>
      <c r="K153" s="4" t="str">
        <f>IF(OR(Копия_20206[[#This Row],[Value (in 1000 rub)]]&gt;$S$7,Копия_20206[[#This Row],[Value (in 1000 rub)]]&lt;$S$6),"outlier","not outlier")</f>
        <v>not outlier</v>
      </c>
      <c r="L153" s="4" t="str">
        <f>IF(OR(Копия_20206[[#This Row],[Volume (in 1000 kg)]]&gt;$T$7,Копия_20206[[#This Row],[Volume (in 1000 kg)]]&lt;$T$6),"outlier","not outlier")</f>
        <v>not outlier</v>
      </c>
      <c r="M153" s="4" t="str">
        <f>IF(OR(Копия_20206[[#This Row],[Number of stores]]&gt;$U$7,Копия_20206[[#This Row],[Number of stores]]&lt;$U$6),"outlier","not outlier")</f>
        <v>not outlier</v>
      </c>
    </row>
    <row r="154" spans="1:13" x14ac:dyDescent="0.25">
      <c r="A154">
        <v>2020</v>
      </c>
      <c r="B154">
        <v>7</v>
      </c>
      <c r="C154" s="1" t="s">
        <v>29</v>
      </c>
      <c r="D154" s="1" t="s">
        <v>30</v>
      </c>
      <c r="E154" s="1" t="s">
        <v>11</v>
      </c>
      <c r="F154" s="5">
        <v>4.4999999999999998E-2</v>
      </c>
      <c r="G154" s="5">
        <v>9.6203470000000006</v>
      </c>
      <c r="H154" s="5">
        <v>1.5800000000000002E-2</v>
      </c>
      <c r="I154">
        <v>7</v>
      </c>
      <c r="J154" s="4" t="str">
        <f>IF(OR(Копия_20206[[#This Row],[Units (in 1000)]]&gt;$R$7,Копия_20206[[#This Row],[Units (in 1000)]]&lt;$R$6),"outlier","not outlier")</f>
        <v>not outlier</v>
      </c>
      <c r="K154" s="4" t="str">
        <f>IF(OR(Копия_20206[[#This Row],[Value (in 1000 rub)]]&gt;$S$7,Копия_20206[[#This Row],[Value (in 1000 rub)]]&lt;$S$6),"outlier","not outlier")</f>
        <v>not outlier</v>
      </c>
      <c r="L154" s="4" t="str">
        <f>IF(OR(Копия_20206[[#This Row],[Volume (in 1000 kg)]]&gt;$T$7,Копия_20206[[#This Row],[Volume (in 1000 kg)]]&lt;$T$6),"outlier","not outlier")</f>
        <v>not outlier</v>
      </c>
      <c r="M154" s="4" t="str">
        <f>IF(OR(Копия_20206[[#This Row],[Number of stores]]&gt;$U$7,Копия_20206[[#This Row],[Number of stores]]&lt;$U$6),"outlier","not outlier")</f>
        <v>not outlier</v>
      </c>
    </row>
    <row r="155" spans="1:13" x14ac:dyDescent="0.25">
      <c r="A155">
        <v>2020</v>
      </c>
      <c r="B155">
        <v>7</v>
      </c>
      <c r="C155" s="1" t="s">
        <v>29</v>
      </c>
      <c r="D155" s="1" t="s">
        <v>30</v>
      </c>
      <c r="E155" s="1" t="s">
        <v>12</v>
      </c>
      <c r="F155" s="5">
        <v>4.5199999999999997E-2</v>
      </c>
      <c r="G155" s="5">
        <v>22.065598000000001</v>
      </c>
      <c r="H155" s="5">
        <v>2.2599999999999999E-2</v>
      </c>
      <c r="I155">
        <v>46</v>
      </c>
      <c r="J155" s="4" t="str">
        <f>IF(OR(Копия_20206[[#This Row],[Units (in 1000)]]&gt;$R$7,Копия_20206[[#This Row],[Units (in 1000)]]&lt;$R$6),"outlier","not outlier")</f>
        <v>not outlier</v>
      </c>
      <c r="K155" s="4" t="str">
        <f>IF(OR(Копия_20206[[#This Row],[Value (in 1000 rub)]]&gt;$S$7,Копия_20206[[#This Row],[Value (in 1000 rub)]]&lt;$S$6),"outlier","not outlier")</f>
        <v>not outlier</v>
      </c>
      <c r="L155" s="4" t="str">
        <f>IF(OR(Копия_20206[[#This Row],[Volume (in 1000 kg)]]&gt;$T$7,Копия_20206[[#This Row],[Volume (in 1000 kg)]]&lt;$T$6),"outlier","not outlier")</f>
        <v>not outlier</v>
      </c>
      <c r="M155" s="4" t="str">
        <f>IF(OR(Копия_20206[[#This Row],[Number of stores]]&gt;$U$7,Копия_20206[[#This Row],[Number of stores]]&lt;$U$6),"outlier","not outlier")</f>
        <v>not outlier</v>
      </c>
    </row>
    <row r="156" spans="1:13" x14ac:dyDescent="0.25">
      <c r="A156">
        <v>2020</v>
      </c>
      <c r="B156">
        <v>8</v>
      </c>
      <c r="C156" s="1" t="s">
        <v>29</v>
      </c>
      <c r="D156" s="1" t="s">
        <v>30</v>
      </c>
      <c r="E156" s="1" t="s">
        <v>18</v>
      </c>
      <c r="F156" s="5">
        <v>1.2499</v>
      </c>
      <c r="G156" s="5">
        <v>347.71969200000001</v>
      </c>
      <c r="H156" s="5">
        <v>0.2374</v>
      </c>
      <c r="I156">
        <v>91</v>
      </c>
      <c r="J156" s="4" t="str">
        <f>IF(OR(Копия_20206[[#This Row],[Units (in 1000)]]&gt;$R$7,Копия_20206[[#This Row],[Units (in 1000)]]&lt;$R$6),"outlier","not outlier")</f>
        <v>not outlier</v>
      </c>
      <c r="K156" s="4" t="str">
        <f>IF(OR(Копия_20206[[#This Row],[Value (in 1000 rub)]]&gt;$S$7,Копия_20206[[#This Row],[Value (in 1000 rub)]]&lt;$S$6),"outlier","not outlier")</f>
        <v>not outlier</v>
      </c>
      <c r="L156" s="4" t="str">
        <f>IF(OR(Копия_20206[[#This Row],[Volume (in 1000 kg)]]&gt;$T$7,Копия_20206[[#This Row],[Volume (in 1000 kg)]]&lt;$T$6),"outlier","not outlier")</f>
        <v>not outlier</v>
      </c>
      <c r="M156" s="4" t="str">
        <f>IF(OR(Копия_20206[[#This Row],[Number of stores]]&gt;$U$7,Копия_20206[[#This Row],[Number of stores]]&lt;$U$6),"outlier","not outlier")</f>
        <v>not outlier</v>
      </c>
    </row>
    <row r="157" spans="1:13" x14ac:dyDescent="0.25">
      <c r="A157">
        <v>2020</v>
      </c>
      <c r="B157">
        <v>8</v>
      </c>
      <c r="C157" s="1" t="s">
        <v>29</v>
      </c>
      <c r="D157" s="1" t="s">
        <v>30</v>
      </c>
      <c r="E157" s="1" t="s">
        <v>11</v>
      </c>
      <c r="F157" s="5">
        <v>3.0800000000000001E-2</v>
      </c>
      <c r="G157" s="5">
        <v>9.3602290000000004</v>
      </c>
      <c r="H157" s="5">
        <v>1.09E-2</v>
      </c>
      <c r="I157">
        <v>6</v>
      </c>
      <c r="J157" s="4" t="str">
        <f>IF(OR(Копия_20206[[#This Row],[Units (in 1000)]]&gt;$R$7,Копия_20206[[#This Row],[Units (in 1000)]]&lt;$R$6),"outlier","not outlier")</f>
        <v>not outlier</v>
      </c>
      <c r="K157" s="4" t="str">
        <f>IF(OR(Копия_20206[[#This Row],[Value (in 1000 rub)]]&gt;$S$7,Копия_20206[[#This Row],[Value (in 1000 rub)]]&lt;$S$6),"outlier","not outlier")</f>
        <v>not outlier</v>
      </c>
      <c r="L157" s="4" t="str">
        <f>IF(OR(Копия_20206[[#This Row],[Volume (in 1000 kg)]]&gt;$T$7,Копия_20206[[#This Row],[Volume (in 1000 kg)]]&lt;$T$6),"outlier","not outlier")</f>
        <v>not outlier</v>
      </c>
      <c r="M157" s="4" t="str">
        <f>IF(OR(Копия_20206[[#This Row],[Number of stores]]&gt;$U$7,Копия_20206[[#This Row],[Number of stores]]&lt;$U$6),"outlier","not outlier")</f>
        <v>not outlier</v>
      </c>
    </row>
    <row r="158" spans="1:13" x14ac:dyDescent="0.25">
      <c r="A158">
        <v>2020</v>
      </c>
      <c r="B158">
        <v>8</v>
      </c>
      <c r="C158" s="1" t="s">
        <v>29</v>
      </c>
      <c r="D158" s="1" t="s">
        <v>30</v>
      </c>
      <c r="E158" s="1" t="s">
        <v>12</v>
      </c>
      <c r="F158" s="5">
        <v>5.3999999999999999E-2</v>
      </c>
      <c r="G158" s="5">
        <v>26.511486000000001</v>
      </c>
      <c r="H158" s="5">
        <v>2.7E-2</v>
      </c>
      <c r="I158">
        <v>41</v>
      </c>
      <c r="J158" s="4" t="str">
        <f>IF(OR(Копия_20206[[#This Row],[Units (in 1000)]]&gt;$R$7,Копия_20206[[#This Row],[Units (in 1000)]]&lt;$R$6),"outlier","not outlier")</f>
        <v>not outlier</v>
      </c>
      <c r="K158" s="4" t="str">
        <f>IF(OR(Копия_20206[[#This Row],[Value (in 1000 rub)]]&gt;$S$7,Копия_20206[[#This Row],[Value (in 1000 rub)]]&lt;$S$6),"outlier","not outlier")</f>
        <v>not outlier</v>
      </c>
      <c r="L158" s="4" t="str">
        <f>IF(OR(Копия_20206[[#This Row],[Volume (in 1000 kg)]]&gt;$T$7,Копия_20206[[#This Row],[Volume (in 1000 kg)]]&lt;$T$6),"outlier","not outlier")</f>
        <v>not outlier</v>
      </c>
      <c r="M158" s="4" t="str">
        <f>IF(OR(Копия_20206[[#This Row],[Number of stores]]&gt;$U$7,Копия_20206[[#This Row],[Number of stores]]&lt;$U$6),"outlier","not outlier")</f>
        <v>not outlier</v>
      </c>
    </row>
    <row r="159" spans="1:13" x14ac:dyDescent="0.25">
      <c r="A159">
        <v>2020</v>
      </c>
      <c r="B159">
        <v>9</v>
      </c>
      <c r="C159" s="1" t="s">
        <v>29</v>
      </c>
      <c r="D159" s="1" t="s">
        <v>30</v>
      </c>
      <c r="E159" s="1" t="s">
        <v>18</v>
      </c>
      <c r="F159" s="5">
        <v>1.0918000000000001</v>
      </c>
      <c r="G159" s="5">
        <v>304.05243899999999</v>
      </c>
      <c r="H159" s="5">
        <v>0.20730000000000001</v>
      </c>
      <c r="I159">
        <v>86</v>
      </c>
      <c r="J159" s="4" t="str">
        <f>IF(OR(Копия_20206[[#This Row],[Units (in 1000)]]&gt;$R$7,Копия_20206[[#This Row],[Units (in 1000)]]&lt;$R$6),"outlier","not outlier")</f>
        <v>not outlier</v>
      </c>
      <c r="K159" s="4" t="str">
        <f>IF(OR(Копия_20206[[#This Row],[Value (in 1000 rub)]]&gt;$S$7,Копия_20206[[#This Row],[Value (in 1000 rub)]]&lt;$S$6),"outlier","not outlier")</f>
        <v>not outlier</v>
      </c>
      <c r="L159" s="4" t="str">
        <f>IF(OR(Копия_20206[[#This Row],[Volume (in 1000 kg)]]&gt;$T$7,Копия_20206[[#This Row],[Volume (in 1000 kg)]]&lt;$T$6),"outlier","not outlier")</f>
        <v>not outlier</v>
      </c>
      <c r="M159" s="4" t="str">
        <f>IF(OR(Копия_20206[[#This Row],[Number of stores]]&gt;$U$7,Копия_20206[[#This Row],[Number of stores]]&lt;$U$6),"outlier","not outlier")</f>
        <v>not outlier</v>
      </c>
    </row>
    <row r="160" spans="1:13" x14ac:dyDescent="0.25">
      <c r="A160">
        <v>2020</v>
      </c>
      <c r="B160">
        <v>9</v>
      </c>
      <c r="C160" s="1" t="s">
        <v>29</v>
      </c>
      <c r="D160" s="1" t="s">
        <v>30</v>
      </c>
      <c r="E160" s="1" t="s">
        <v>11</v>
      </c>
      <c r="F160" s="5">
        <v>3.56E-2</v>
      </c>
      <c r="G160" s="5">
        <v>9.5244020000000003</v>
      </c>
      <c r="H160" s="5">
        <v>1.2500000000000001E-2</v>
      </c>
      <c r="I160">
        <v>8</v>
      </c>
      <c r="J160" s="4" t="str">
        <f>IF(OR(Копия_20206[[#This Row],[Units (in 1000)]]&gt;$R$7,Копия_20206[[#This Row],[Units (in 1000)]]&lt;$R$6),"outlier","not outlier")</f>
        <v>not outlier</v>
      </c>
      <c r="K160" s="4" t="str">
        <f>IF(OR(Копия_20206[[#This Row],[Value (in 1000 rub)]]&gt;$S$7,Копия_20206[[#This Row],[Value (in 1000 rub)]]&lt;$S$6),"outlier","not outlier")</f>
        <v>not outlier</v>
      </c>
      <c r="L160" s="4" t="str">
        <f>IF(OR(Копия_20206[[#This Row],[Volume (in 1000 kg)]]&gt;$T$7,Копия_20206[[#This Row],[Volume (in 1000 kg)]]&lt;$T$6),"outlier","not outlier")</f>
        <v>not outlier</v>
      </c>
      <c r="M160" s="4" t="str">
        <f>IF(OR(Копия_20206[[#This Row],[Number of stores]]&gt;$U$7,Копия_20206[[#This Row],[Number of stores]]&lt;$U$6),"outlier","not outlier")</f>
        <v>not outlier</v>
      </c>
    </row>
    <row r="161" spans="1:13" x14ac:dyDescent="0.25">
      <c r="A161">
        <v>2020</v>
      </c>
      <c r="B161">
        <v>9</v>
      </c>
      <c r="C161" s="1" t="s">
        <v>29</v>
      </c>
      <c r="D161" s="1" t="s">
        <v>30</v>
      </c>
      <c r="E161" s="1" t="s">
        <v>12</v>
      </c>
      <c r="F161" s="5">
        <v>6.6000000000000003E-2</v>
      </c>
      <c r="G161" s="5">
        <v>32.461528000000001</v>
      </c>
      <c r="H161" s="5">
        <v>3.3000000000000002E-2</v>
      </c>
      <c r="I161">
        <v>53</v>
      </c>
      <c r="J161" s="4" t="str">
        <f>IF(OR(Копия_20206[[#This Row],[Units (in 1000)]]&gt;$R$7,Копия_20206[[#This Row],[Units (in 1000)]]&lt;$R$6),"outlier","not outlier")</f>
        <v>not outlier</v>
      </c>
      <c r="K161" s="4" t="str">
        <f>IF(OR(Копия_20206[[#This Row],[Value (in 1000 rub)]]&gt;$S$7,Копия_20206[[#This Row],[Value (in 1000 rub)]]&lt;$S$6),"outlier","not outlier")</f>
        <v>not outlier</v>
      </c>
      <c r="L161" s="4" t="str">
        <f>IF(OR(Копия_20206[[#This Row],[Volume (in 1000 kg)]]&gt;$T$7,Копия_20206[[#This Row],[Volume (in 1000 kg)]]&lt;$T$6),"outlier","not outlier")</f>
        <v>not outlier</v>
      </c>
      <c r="M161" s="4" t="str">
        <f>IF(OR(Копия_20206[[#This Row],[Number of stores]]&gt;$U$7,Копия_20206[[#This Row],[Number of stores]]&lt;$U$6),"outlier","not outlier")</f>
        <v>not outlier</v>
      </c>
    </row>
    <row r="162" spans="1:13" x14ac:dyDescent="0.25">
      <c r="A162">
        <v>2020</v>
      </c>
      <c r="B162">
        <v>10</v>
      </c>
      <c r="C162" s="1" t="s">
        <v>29</v>
      </c>
      <c r="D162" s="1" t="s">
        <v>30</v>
      </c>
      <c r="E162" s="1" t="s">
        <v>18</v>
      </c>
      <c r="F162" s="5">
        <v>1.6569</v>
      </c>
      <c r="G162" s="5">
        <v>472.904088</v>
      </c>
      <c r="H162" s="5">
        <v>0.31480000000000002</v>
      </c>
      <c r="I162">
        <v>94</v>
      </c>
      <c r="J162" s="4" t="str">
        <f>IF(OR(Копия_20206[[#This Row],[Units (in 1000)]]&gt;$R$7,Копия_20206[[#This Row],[Units (in 1000)]]&lt;$R$6),"outlier","not outlier")</f>
        <v>not outlier</v>
      </c>
      <c r="K162" s="4" t="str">
        <f>IF(OR(Копия_20206[[#This Row],[Value (in 1000 rub)]]&gt;$S$7,Копия_20206[[#This Row],[Value (in 1000 rub)]]&lt;$S$6),"outlier","not outlier")</f>
        <v>not outlier</v>
      </c>
      <c r="L162" s="4" t="str">
        <f>IF(OR(Копия_20206[[#This Row],[Volume (in 1000 kg)]]&gt;$T$7,Копия_20206[[#This Row],[Volume (in 1000 kg)]]&lt;$T$6),"outlier","not outlier")</f>
        <v>not outlier</v>
      </c>
      <c r="M162" s="4" t="str">
        <f>IF(OR(Копия_20206[[#This Row],[Number of stores]]&gt;$U$7,Копия_20206[[#This Row],[Number of stores]]&lt;$U$6),"outlier","not outlier")</f>
        <v>not outlier</v>
      </c>
    </row>
    <row r="163" spans="1:13" x14ac:dyDescent="0.25">
      <c r="A163">
        <v>2020</v>
      </c>
      <c r="B163">
        <v>10</v>
      </c>
      <c r="C163" s="1" t="s">
        <v>29</v>
      </c>
      <c r="D163" s="1" t="s">
        <v>30</v>
      </c>
      <c r="E163" s="1" t="s">
        <v>11</v>
      </c>
      <c r="F163" s="5">
        <v>1.9300000000000001E-2</v>
      </c>
      <c r="G163" s="5">
        <v>5.6711580000000001</v>
      </c>
      <c r="H163" s="5">
        <v>6.7000000000000002E-3</v>
      </c>
      <c r="I163">
        <v>7</v>
      </c>
      <c r="J163" s="4" t="str">
        <f>IF(OR(Копия_20206[[#This Row],[Units (in 1000)]]&gt;$R$7,Копия_20206[[#This Row],[Units (in 1000)]]&lt;$R$6),"outlier","not outlier")</f>
        <v>not outlier</v>
      </c>
      <c r="K163" s="4" t="str">
        <f>IF(OR(Копия_20206[[#This Row],[Value (in 1000 rub)]]&gt;$S$7,Копия_20206[[#This Row],[Value (in 1000 rub)]]&lt;$S$6),"outlier","not outlier")</f>
        <v>not outlier</v>
      </c>
      <c r="L163" s="4" t="str">
        <f>IF(OR(Копия_20206[[#This Row],[Volume (in 1000 kg)]]&gt;$T$7,Копия_20206[[#This Row],[Volume (in 1000 kg)]]&lt;$T$6),"outlier","not outlier")</f>
        <v>not outlier</v>
      </c>
      <c r="M163" s="4" t="str">
        <f>IF(OR(Копия_20206[[#This Row],[Number of stores]]&gt;$U$7,Копия_20206[[#This Row],[Number of stores]]&lt;$U$6),"outlier","not outlier")</f>
        <v>not outlier</v>
      </c>
    </row>
    <row r="164" spans="1:13" x14ac:dyDescent="0.25">
      <c r="A164">
        <v>2020</v>
      </c>
      <c r="B164">
        <v>10</v>
      </c>
      <c r="C164" s="1" t="s">
        <v>29</v>
      </c>
      <c r="D164" s="1" t="s">
        <v>30</v>
      </c>
      <c r="E164" s="1" t="s">
        <v>12</v>
      </c>
      <c r="F164" s="5">
        <v>5.7099999999999998E-2</v>
      </c>
      <c r="G164" s="5">
        <v>27.713615000000001</v>
      </c>
      <c r="H164" s="5">
        <v>2.86E-2</v>
      </c>
      <c r="I164">
        <v>47</v>
      </c>
      <c r="J164" s="4" t="str">
        <f>IF(OR(Копия_20206[[#This Row],[Units (in 1000)]]&gt;$R$7,Копия_20206[[#This Row],[Units (in 1000)]]&lt;$R$6),"outlier","not outlier")</f>
        <v>not outlier</v>
      </c>
      <c r="K164" s="4" t="str">
        <f>IF(OR(Копия_20206[[#This Row],[Value (in 1000 rub)]]&gt;$S$7,Копия_20206[[#This Row],[Value (in 1000 rub)]]&lt;$S$6),"outlier","not outlier")</f>
        <v>not outlier</v>
      </c>
      <c r="L164" s="4" t="str">
        <f>IF(OR(Копия_20206[[#This Row],[Volume (in 1000 kg)]]&gt;$T$7,Копия_20206[[#This Row],[Volume (in 1000 kg)]]&lt;$T$6),"outlier","not outlier")</f>
        <v>not outlier</v>
      </c>
      <c r="M164" s="4" t="str">
        <f>IF(OR(Копия_20206[[#This Row],[Number of stores]]&gt;$U$7,Копия_20206[[#This Row],[Number of stores]]&lt;$U$6),"outlier","not outlier")</f>
        <v>not outlier</v>
      </c>
    </row>
    <row r="165" spans="1:13" x14ac:dyDescent="0.25">
      <c r="A165">
        <v>2020</v>
      </c>
      <c r="B165">
        <v>11</v>
      </c>
      <c r="C165" s="1" t="s">
        <v>29</v>
      </c>
      <c r="D165" s="1" t="s">
        <v>30</v>
      </c>
      <c r="E165" s="1" t="s">
        <v>18</v>
      </c>
      <c r="F165" s="5">
        <v>1.7462</v>
      </c>
      <c r="G165" s="5">
        <v>471.87442099999998</v>
      </c>
      <c r="H165" s="5">
        <v>0.33169999999999999</v>
      </c>
      <c r="I165">
        <v>99</v>
      </c>
      <c r="J165" s="4" t="str">
        <f>IF(OR(Копия_20206[[#This Row],[Units (in 1000)]]&gt;$R$7,Копия_20206[[#This Row],[Units (in 1000)]]&lt;$R$6),"outlier","not outlier")</f>
        <v>not outlier</v>
      </c>
      <c r="K165" s="4" t="str">
        <f>IF(OR(Копия_20206[[#This Row],[Value (in 1000 rub)]]&gt;$S$7,Копия_20206[[#This Row],[Value (in 1000 rub)]]&lt;$S$6),"outlier","not outlier")</f>
        <v>not outlier</v>
      </c>
      <c r="L165" s="4" t="str">
        <f>IF(OR(Копия_20206[[#This Row],[Volume (in 1000 kg)]]&gt;$T$7,Копия_20206[[#This Row],[Volume (in 1000 kg)]]&lt;$T$6),"outlier","not outlier")</f>
        <v>not outlier</v>
      </c>
      <c r="M165" s="4" t="str">
        <f>IF(OR(Копия_20206[[#This Row],[Number of stores]]&gt;$U$7,Копия_20206[[#This Row],[Number of stores]]&lt;$U$6),"outlier","not outlier")</f>
        <v>not outlier</v>
      </c>
    </row>
    <row r="166" spans="1:13" x14ac:dyDescent="0.25">
      <c r="A166">
        <v>2020</v>
      </c>
      <c r="B166">
        <v>11</v>
      </c>
      <c r="C166" s="1" t="s">
        <v>29</v>
      </c>
      <c r="D166" s="1" t="s">
        <v>30</v>
      </c>
      <c r="E166" s="1" t="s">
        <v>11</v>
      </c>
      <c r="F166" s="5">
        <v>3.3799999999999997E-2</v>
      </c>
      <c r="G166" s="5">
        <v>7.7383160000000002</v>
      </c>
      <c r="H166" s="5">
        <v>1.1900000000000001E-2</v>
      </c>
      <c r="I166">
        <v>8</v>
      </c>
      <c r="J166" s="4" t="str">
        <f>IF(OR(Копия_20206[[#This Row],[Units (in 1000)]]&gt;$R$7,Копия_20206[[#This Row],[Units (in 1000)]]&lt;$R$6),"outlier","not outlier")</f>
        <v>not outlier</v>
      </c>
      <c r="K166" s="4" t="str">
        <f>IF(OR(Копия_20206[[#This Row],[Value (in 1000 rub)]]&gt;$S$7,Копия_20206[[#This Row],[Value (in 1000 rub)]]&lt;$S$6),"outlier","not outlier")</f>
        <v>not outlier</v>
      </c>
      <c r="L166" s="4" t="str">
        <f>IF(OR(Копия_20206[[#This Row],[Volume (in 1000 kg)]]&gt;$T$7,Копия_20206[[#This Row],[Volume (in 1000 kg)]]&lt;$T$6),"outlier","not outlier")</f>
        <v>not outlier</v>
      </c>
      <c r="M166" s="4" t="str">
        <f>IF(OR(Копия_20206[[#This Row],[Number of stores]]&gt;$U$7,Копия_20206[[#This Row],[Number of stores]]&lt;$U$6),"outlier","not outlier")</f>
        <v>not outlier</v>
      </c>
    </row>
    <row r="167" spans="1:13" x14ac:dyDescent="0.25">
      <c r="A167">
        <v>2020</v>
      </c>
      <c r="B167">
        <v>11</v>
      </c>
      <c r="C167" s="1" t="s">
        <v>29</v>
      </c>
      <c r="D167" s="1" t="s">
        <v>30</v>
      </c>
      <c r="E167" s="1" t="s">
        <v>12</v>
      </c>
      <c r="F167" s="5">
        <v>7.1199999999999999E-2</v>
      </c>
      <c r="G167" s="5">
        <v>35.070207000000003</v>
      </c>
      <c r="H167" s="5">
        <v>3.56E-2</v>
      </c>
      <c r="I167">
        <v>50</v>
      </c>
      <c r="J167" s="4" t="str">
        <f>IF(OR(Копия_20206[[#This Row],[Units (in 1000)]]&gt;$R$7,Копия_20206[[#This Row],[Units (in 1000)]]&lt;$R$6),"outlier","not outlier")</f>
        <v>not outlier</v>
      </c>
      <c r="K167" s="4" t="str">
        <f>IF(OR(Копия_20206[[#This Row],[Value (in 1000 rub)]]&gt;$S$7,Копия_20206[[#This Row],[Value (in 1000 rub)]]&lt;$S$6),"outlier","not outlier")</f>
        <v>not outlier</v>
      </c>
      <c r="L167" s="4" t="str">
        <f>IF(OR(Копия_20206[[#This Row],[Volume (in 1000 kg)]]&gt;$T$7,Копия_20206[[#This Row],[Volume (in 1000 kg)]]&lt;$T$6),"outlier","not outlier")</f>
        <v>not outlier</v>
      </c>
      <c r="M167" s="4" t="str">
        <f>IF(OR(Копия_20206[[#This Row],[Number of stores]]&gt;$U$7,Копия_20206[[#This Row],[Number of stores]]&lt;$U$6),"outlier","not outlier")</f>
        <v>not outlier</v>
      </c>
    </row>
    <row r="168" spans="1:13" x14ac:dyDescent="0.25">
      <c r="A168">
        <v>2020</v>
      </c>
      <c r="B168">
        <v>12</v>
      </c>
      <c r="C168" s="1" t="s">
        <v>29</v>
      </c>
      <c r="D168" s="1" t="s">
        <v>30</v>
      </c>
      <c r="E168" s="1" t="s">
        <v>18</v>
      </c>
      <c r="F168" s="5">
        <v>1.2878000000000001</v>
      </c>
      <c r="G168" s="5">
        <v>365.322427</v>
      </c>
      <c r="H168" s="5">
        <v>0.24479999999999999</v>
      </c>
      <c r="I168">
        <v>107</v>
      </c>
      <c r="J168" s="4" t="str">
        <f>IF(OR(Копия_20206[[#This Row],[Units (in 1000)]]&gt;$R$7,Копия_20206[[#This Row],[Units (in 1000)]]&lt;$R$6),"outlier","not outlier")</f>
        <v>not outlier</v>
      </c>
      <c r="K168" s="4" t="str">
        <f>IF(OR(Копия_20206[[#This Row],[Value (in 1000 rub)]]&gt;$S$7,Копия_20206[[#This Row],[Value (in 1000 rub)]]&lt;$S$6),"outlier","not outlier")</f>
        <v>not outlier</v>
      </c>
      <c r="L168" s="4" t="str">
        <f>IF(OR(Копия_20206[[#This Row],[Volume (in 1000 kg)]]&gt;$T$7,Копия_20206[[#This Row],[Volume (in 1000 kg)]]&lt;$T$6),"outlier","not outlier")</f>
        <v>not outlier</v>
      </c>
      <c r="M168" s="4" t="str">
        <f>IF(OR(Копия_20206[[#This Row],[Number of stores]]&gt;$U$7,Копия_20206[[#This Row],[Number of stores]]&lt;$U$6),"outlier","not outlier")</f>
        <v>not outlier</v>
      </c>
    </row>
    <row r="169" spans="1:13" x14ac:dyDescent="0.25">
      <c r="A169">
        <v>2020</v>
      </c>
      <c r="B169">
        <v>12</v>
      </c>
      <c r="C169" s="1" t="s">
        <v>29</v>
      </c>
      <c r="D169" s="1" t="s">
        <v>30</v>
      </c>
      <c r="E169" s="1" t="s">
        <v>11</v>
      </c>
      <c r="F169" s="5">
        <v>2.1499999999999998E-2</v>
      </c>
      <c r="G169" s="5">
        <v>5.8394430000000002</v>
      </c>
      <c r="H169" s="5">
        <v>7.4999999999999997E-3</v>
      </c>
      <c r="I169">
        <v>8</v>
      </c>
      <c r="J169" s="4" t="str">
        <f>IF(OR(Копия_20206[[#This Row],[Units (in 1000)]]&gt;$R$7,Копия_20206[[#This Row],[Units (in 1000)]]&lt;$R$6),"outlier","not outlier")</f>
        <v>not outlier</v>
      </c>
      <c r="K169" s="4" t="str">
        <f>IF(OR(Копия_20206[[#This Row],[Value (in 1000 rub)]]&gt;$S$7,Копия_20206[[#This Row],[Value (in 1000 rub)]]&lt;$S$6),"outlier","not outlier")</f>
        <v>not outlier</v>
      </c>
      <c r="L169" s="4" t="str">
        <f>IF(OR(Копия_20206[[#This Row],[Volume (in 1000 kg)]]&gt;$T$7,Копия_20206[[#This Row],[Volume (in 1000 kg)]]&lt;$T$6),"outlier","not outlier")</f>
        <v>not outlier</v>
      </c>
      <c r="M169" s="4" t="str">
        <f>IF(OR(Копия_20206[[#This Row],[Number of stores]]&gt;$U$7,Копия_20206[[#This Row],[Number of stores]]&lt;$U$6),"outlier","not outlier")</f>
        <v>not outlier</v>
      </c>
    </row>
    <row r="170" spans="1:13" x14ac:dyDescent="0.25">
      <c r="A170">
        <v>2020</v>
      </c>
      <c r="B170">
        <v>12</v>
      </c>
      <c r="C170" s="1" t="s">
        <v>29</v>
      </c>
      <c r="D170" s="1" t="s">
        <v>30</v>
      </c>
      <c r="E170" s="1" t="s">
        <v>12</v>
      </c>
      <c r="F170" s="5">
        <v>8.5599999999999996E-2</v>
      </c>
      <c r="G170" s="5">
        <v>42.079687</v>
      </c>
      <c r="H170" s="5">
        <v>4.2799999999999998E-2</v>
      </c>
      <c r="I170">
        <v>56</v>
      </c>
      <c r="J170" s="4" t="str">
        <f>IF(OR(Копия_20206[[#This Row],[Units (in 1000)]]&gt;$R$7,Копия_20206[[#This Row],[Units (in 1000)]]&lt;$R$6),"outlier","not outlier")</f>
        <v>not outlier</v>
      </c>
      <c r="K170" s="4" t="str">
        <f>IF(OR(Копия_20206[[#This Row],[Value (in 1000 rub)]]&gt;$S$7,Копия_20206[[#This Row],[Value (in 1000 rub)]]&lt;$S$6),"outlier","not outlier")</f>
        <v>not outlier</v>
      </c>
      <c r="L170" s="4" t="str">
        <f>IF(OR(Копия_20206[[#This Row],[Volume (in 1000 kg)]]&gt;$T$7,Копия_20206[[#This Row],[Volume (in 1000 kg)]]&lt;$T$6),"outlier","not outlier")</f>
        <v>not outlier</v>
      </c>
      <c r="M170" s="4" t="str">
        <f>IF(OR(Копия_20206[[#This Row],[Number of stores]]&gt;$U$7,Копия_20206[[#This Row],[Number of stores]]&lt;$U$6),"outlier","not outlier")</f>
        <v>not outlier</v>
      </c>
    </row>
    <row r="171" spans="1:13" x14ac:dyDescent="0.25">
      <c r="A171">
        <v>2020</v>
      </c>
      <c r="B171">
        <v>3</v>
      </c>
      <c r="C171" s="1" t="s">
        <v>25</v>
      </c>
      <c r="D171" s="1" t="s">
        <v>57</v>
      </c>
      <c r="E171" s="1" t="s">
        <v>12</v>
      </c>
      <c r="F171" s="5">
        <v>2.5053000000000001</v>
      </c>
      <c r="G171" s="5">
        <v>321.67500000000001</v>
      </c>
      <c r="H171" s="5">
        <v>1.2526999999999999</v>
      </c>
      <c r="I171">
        <v>976</v>
      </c>
      <c r="J171" s="4" t="str">
        <f>IF(OR(Копия_20206[[#This Row],[Units (in 1000)]]&gt;$R$7,Копия_20206[[#This Row],[Units (in 1000)]]&lt;$R$6),"outlier","not outlier")</f>
        <v>not outlier</v>
      </c>
      <c r="K171" s="4" t="str">
        <f>IF(OR(Копия_20206[[#This Row],[Value (in 1000 rub)]]&gt;$S$7,Копия_20206[[#This Row],[Value (in 1000 rub)]]&lt;$S$6),"outlier","not outlier")</f>
        <v>not outlier</v>
      </c>
      <c r="L171" s="4" t="str">
        <f>IF(OR(Копия_20206[[#This Row],[Volume (in 1000 kg)]]&gt;$T$7,Копия_20206[[#This Row],[Volume (in 1000 kg)]]&lt;$T$6),"outlier","not outlier")</f>
        <v>not outlier</v>
      </c>
      <c r="M171" s="4" t="str">
        <f>IF(OR(Копия_20206[[#This Row],[Number of stores]]&gt;$U$7,Копия_20206[[#This Row],[Number of stores]]&lt;$U$6),"outlier","not outlier")</f>
        <v>not outlier</v>
      </c>
    </row>
    <row r="172" spans="1:13" x14ac:dyDescent="0.25">
      <c r="A172">
        <v>2020</v>
      </c>
      <c r="B172">
        <v>3</v>
      </c>
      <c r="C172" s="1" t="s">
        <v>29</v>
      </c>
      <c r="D172" s="1" t="s">
        <v>57</v>
      </c>
      <c r="E172" s="1" t="s">
        <v>12</v>
      </c>
      <c r="F172" s="5">
        <v>6.3936999999999999</v>
      </c>
      <c r="G172" s="5">
        <v>811.186105</v>
      </c>
      <c r="H172" s="5">
        <v>3.1968999999999999</v>
      </c>
      <c r="I172">
        <v>2485</v>
      </c>
      <c r="J172" s="4" t="str">
        <f>IF(OR(Копия_20206[[#This Row],[Units (in 1000)]]&gt;$R$7,Копия_20206[[#This Row],[Units (in 1000)]]&lt;$R$6),"outlier","not outlier")</f>
        <v>not outlier</v>
      </c>
      <c r="K172" s="4" t="str">
        <f>IF(OR(Копия_20206[[#This Row],[Value (in 1000 rub)]]&gt;$S$7,Копия_20206[[#This Row],[Value (in 1000 rub)]]&lt;$S$6),"outlier","not outlier")</f>
        <v>not outlier</v>
      </c>
      <c r="L172" s="4" t="str">
        <f>IF(OR(Копия_20206[[#This Row],[Volume (in 1000 kg)]]&gt;$T$7,Копия_20206[[#This Row],[Volume (in 1000 kg)]]&lt;$T$6),"outlier","not outlier")</f>
        <v>not outlier</v>
      </c>
      <c r="M172" s="4" t="str">
        <f>IF(OR(Копия_20206[[#This Row],[Number of stores]]&gt;$U$7,Копия_20206[[#This Row],[Number of stores]]&lt;$U$6),"outlier","not outlier")</f>
        <v>not outlier</v>
      </c>
    </row>
    <row r="173" spans="1:13" x14ac:dyDescent="0.25">
      <c r="A173">
        <v>2020</v>
      </c>
      <c r="B173">
        <v>4</v>
      </c>
      <c r="C173" s="1" t="s">
        <v>25</v>
      </c>
      <c r="D173" s="1" t="s">
        <v>57</v>
      </c>
      <c r="E173" s="1" t="s">
        <v>12</v>
      </c>
      <c r="F173" s="5">
        <v>2.3393999999999999</v>
      </c>
      <c r="G173" s="5">
        <v>258.553945</v>
      </c>
      <c r="H173" s="5">
        <v>1.1697</v>
      </c>
      <c r="I173">
        <v>996</v>
      </c>
      <c r="J173" s="4" t="str">
        <f>IF(OR(Копия_20206[[#This Row],[Units (in 1000)]]&gt;$R$7,Копия_20206[[#This Row],[Units (in 1000)]]&lt;$R$6),"outlier","not outlier")</f>
        <v>not outlier</v>
      </c>
      <c r="K173" s="4" t="str">
        <f>IF(OR(Копия_20206[[#This Row],[Value (in 1000 rub)]]&gt;$S$7,Копия_20206[[#This Row],[Value (in 1000 rub)]]&lt;$S$6),"outlier","not outlier")</f>
        <v>not outlier</v>
      </c>
      <c r="L173" s="4" t="str">
        <f>IF(OR(Копия_20206[[#This Row],[Volume (in 1000 kg)]]&gt;$T$7,Копия_20206[[#This Row],[Volume (in 1000 kg)]]&lt;$T$6),"outlier","not outlier")</f>
        <v>not outlier</v>
      </c>
      <c r="M173" s="4" t="str">
        <f>IF(OR(Копия_20206[[#This Row],[Number of stores]]&gt;$U$7,Копия_20206[[#This Row],[Number of stores]]&lt;$U$6),"outlier","not outlier")</f>
        <v>not outlier</v>
      </c>
    </row>
    <row r="174" spans="1:13" x14ac:dyDescent="0.25">
      <c r="A174">
        <v>2020</v>
      </c>
      <c r="B174">
        <v>4</v>
      </c>
      <c r="C174" s="1" t="s">
        <v>29</v>
      </c>
      <c r="D174" s="1" t="s">
        <v>57</v>
      </c>
      <c r="E174" s="1" t="s">
        <v>12</v>
      </c>
      <c r="F174" s="5">
        <v>5.7053000000000003</v>
      </c>
      <c r="G174" s="5">
        <v>649.04098299999998</v>
      </c>
      <c r="H174" s="5">
        <v>2.8527</v>
      </c>
      <c r="I174">
        <v>2566</v>
      </c>
      <c r="J174" s="4" t="str">
        <f>IF(OR(Копия_20206[[#This Row],[Units (in 1000)]]&gt;$R$7,Копия_20206[[#This Row],[Units (in 1000)]]&lt;$R$6),"outlier","not outlier")</f>
        <v>not outlier</v>
      </c>
      <c r="K174" s="4" t="str">
        <f>IF(OR(Копия_20206[[#This Row],[Value (in 1000 rub)]]&gt;$S$7,Копия_20206[[#This Row],[Value (in 1000 rub)]]&lt;$S$6),"outlier","not outlier")</f>
        <v>not outlier</v>
      </c>
      <c r="L174" s="4" t="str">
        <f>IF(OR(Копия_20206[[#This Row],[Volume (in 1000 kg)]]&gt;$T$7,Копия_20206[[#This Row],[Volume (in 1000 kg)]]&lt;$T$6),"outlier","not outlier")</f>
        <v>not outlier</v>
      </c>
      <c r="M174" s="4" t="str">
        <f>IF(OR(Копия_20206[[#This Row],[Number of stores]]&gt;$U$7,Копия_20206[[#This Row],[Number of stores]]&lt;$U$6),"outlier","not outlier")</f>
        <v>not outlier</v>
      </c>
    </row>
    <row r="175" spans="1:13" x14ac:dyDescent="0.25">
      <c r="A175">
        <v>2020</v>
      </c>
      <c r="B175">
        <v>5</v>
      </c>
      <c r="C175" s="1" t="s">
        <v>25</v>
      </c>
      <c r="D175" s="1" t="s">
        <v>57</v>
      </c>
      <c r="E175" s="1" t="s">
        <v>12</v>
      </c>
      <c r="F175" s="5">
        <v>1.2909999999999999</v>
      </c>
      <c r="G175" s="5">
        <v>137.34274099999999</v>
      </c>
      <c r="H175" s="5">
        <v>0.64559999999999995</v>
      </c>
      <c r="I175">
        <v>780</v>
      </c>
      <c r="J175" s="4" t="str">
        <f>IF(OR(Копия_20206[[#This Row],[Units (in 1000)]]&gt;$R$7,Копия_20206[[#This Row],[Units (in 1000)]]&lt;$R$6),"outlier","not outlier")</f>
        <v>not outlier</v>
      </c>
      <c r="K175" s="4" t="str">
        <f>IF(OR(Копия_20206[[#This Row],[Value (in 1000 rub)]]&gt;$S$7,Копия_20206[[#This Row],[Value (in 1000 rub)]]&lt;$S$6),"outlier","not outlier")</f>
        <v>not outlier</v>
      </c>
      <c r="L175" s="4" t="str">
        <f>IF(OR(Копия_20206[[#This Row],[Volume (in 1000 kg)]]&gt;$T$7,Копия_20206[[#This Row],[Volume (in 1000 kg)]]&lt;$T$6),"outlier","not outlier")</f>
        <v>not outlier</v>
      </c>
      <c r="M175" s="4" t="str">
        <f>IF(OR(Копия_20206[[#This Row],[Number of stores]]&gt;$U$7,Копия_20206[[#This Row],[Number of stores]]&lt;$U$6),"outlier","not outlier")</f>
        <v>not outlier</v>
      </c>
    </row>
    <row r="176" spans="1:13" x14ac:dyDescent="0.25">
      <c r="A176">
        <v>2020</v>
      </c>
      <c r="B176">
        <v>5</v>
      </c>
      <c r="C176" s="1" t="s">
        <v>29</v>
      </c>
      <c r="D176" s="1" t="s">
        <v>57</v>
      </c>
      <c r="E176" s="1" t="s">
        <v>12</v>
      </c>
      <c r="F176" s="5">
        <v>3.2629000000000001</v>
      </c>
      <c r="G176" s="5">
        <v>358.536068</v>
      </c>
      <c r="H176" s="5">
        <v>1.6315</v>
      </c>
      <c r="I176">
        <v>1966</v>
      </c>
      <c r="J176" s="4" t="str">
        <f>IF(OR(Копия_20206[[#This Row],[Units (in 1000)]]&gt;$R$7,Копия_20206[[#This Row],[Units (in 1000)]]&lt;$R$6),"outlier","not outlier")</f>
        <v>not outlier</v>
      </c>
      <c r="K176" s="4" t="str">
        <f>IF(OR(Копия_20206[[#This Row],[Value (in 1000 rub)]]&gt;$S$7,Копия_20206[[#This Row],[Value (in 1000 rub)]]&lt;$S$6),"outlier","not outlier")</f>
        <v>not outlier</v>
      </c>
      <c r="L176" s="4" t="str">
        <f>IF(OR(Копия_20206[[#This Row],[Volume (in 1000 kg)]]&gt;$T$7,Копия_20206[[#This Row],[Volume (in 1000 kg)]]&lt;$T$6),"outlier","not outlier")</f>
        <v>not outlier</v>
      </c>
      <c r="M176" s="4" t="str">
        <f>IF(OR(Копия_20206[[#This Row],[Number of stores]]&gt;$U$7,Копия_20206[[#This Row],[Number of stores]]&lt;$U$6),"outlier","not outlier")</f>
        <v>not outlier</v>
      </c>
    </row>
    <row r="177" spans="1:13" x14ac:dyDescent="0.25">
      <c r="A177">
        <v>2020</v>
      </c>
      <c r="B177">
        <v>6</v>
      </c>
      <c r="C177" s="1" t="s">
        <v>25</v>
      </c>
      <c r="D177" s="1" t="s">
        <v>57</v>
      </c>
      <c r="E177" s="1" t="s">
        <v>12</v>
      </c>
      <c r="F177" s="5">
        <v>0.88939999999999997</v>
      </c>
      <c r="G177" s="5">
        <v>92.652782999999999</v>
      </c>
      <c r="H177" s="5">
        <v>0.4446</v>
      </c>
      <c r="I177">
        <v>608</v>
      </c>
      <c r="J177" s="4" t="str">
        <f>IF(OR(Копия_20206[[#This Row],[Units (in 1000)]]&gt;$R$7,Копия_20206[[#This Row],[Units (in 1000)]]&lt;$R$6),"outlier","not outlier")</f>
        <v>not outlier</v>
      </c>
      <c r="K177" s="4" t="str">
        <f>IF(OR(Копия_20206[[#This Row],[Value (in 1000 rub)]]&gt;$S$7,Копия_20206[[#This Row],[Value (in 1000 rub)]]&lt;$S$6),"outlier","not outlier")</f>
        <v>not outlier</v>
      </c>
      <c r="L177" s="4" t="str">
        <f>IF(OR(Копия_20206[[#This Row],[Volume (in 1000 kg)]]&gt;$T$7,Копия_20206[[#This Row],[Volume (in 1000 kg)]]&lt;$T$6),"outlier","not outlier")</f>
        <v>not outlier</v>
      </c>
      <c r="M177" s="4" t="str">
        <f>IF(OR(Копия_20206[[#This Row],[Number of stores]]&gt;$U$7,Копия_20206[[#This Row],[Number of stores]]&lt;$U$6),"outlier","not outlier")</f>
        <v>not outlier</v>
      </c>
    </row>
    <row r="178" spans="1:13" x14ac:dyDescent="0.25">
      <c r="A178">
        <v>2020</v>
      </c>
      <c r="B178">
        <v>6</v>
      </c>
      <c r="C178" s="1" t="s">
        <v>29</v>
      </c>
      <c r="D178" s="1" t="s">
        <v>57</v>
      </c>
      <c r="E178" s="1" t="s">
        <v>12</v>
      </c>
      <c r="F178" s="5">
        <v>2.1193</v>
      </c>
      <c r="G178" s="5">
        <v>223.75804600000001</v>
      </c>
      <c r="H178" s="5">
        <v>1.0596000000000001</v>
      </c>
      <c r="I178">
        <v>1456</v>
      </c>
      <c r="J178" s="4" t="str">
        <f>IF(OR(Копия_20206[[#This Row],[Units (in 1000)]]&gt;$R$7,Копия_20206[[#This Row],[Units (in 1000)]]&lt;$R$6),"outlier","not outlier")</f>
        <v>not outlier</v>
      </c>
      <c r="K178" s="4" t="str">
        <f>IF(OR(Копия_20206[[#This Row],[Value (in 1000 rub)]]&gt;$S$7,Копия_20206[[#This Row],[Value (in 1000 rub)]]&lt;$S$6),"outlier","not outlier")</f>
        <v>not outlier</v>
      </c>
      <c r="L178" s="4" t="str">
        <f>IF(OR(Копия_20206[[#This Row],[Volume (in 1000 kg)]]&gt;$T$7,Копия_20206[[#This Row],[Volume (in 1000 kg)]]&lt;$T$6),"outlier","not outlier")</f>
        <v>not outlier</v>
      </c>
      <c r="M178" s="4" t="str">
        <f>IF(OR(Копия_20206[[#This Row],[Number of stores]]&gt;$U$7,Копия_20206[[#This Row],[Number of stores]]&lt;$U$6),"outlier","not outlier")</f>
        <v>not outlier</v>
      </c>
    </row>
    <row r="179" spans="1:13" x14ac:dyDescent="0.25">
      <c r="A179">
        <v>2020</v>
      </c>
      <c r="B179">
        <v>7</v>
      </c>
      <c r="C179" s="1" t="s">
        <v>25</v>
      </c>
      <c r="D179" s="1" t="s">
        <v>57</v>
      </c>
      <c r="E179" s="1" t="s">
        <v>12</v>
      </c>
      <c r="F179" s="5">
        <v>0.48580000000000001</v>
      </c>
      <c r="G179" s="5">
        <v>51.738093999999997</v>
      </c>
      <c r="H179" s="5">
        <v>0.2429</v>
      </c>
      <c r="I179">
        <v>400</v>
      </c>
      <c r="J179" s="4" t="str">
        <f>IF(OR(Копия_20206[[#This Row],[Units (in 1000)]]&gt;$R$7,Копия_20206[[#This Row],[Units (in 1000)]]&lt;$R$6),"outlier","not outlier")</f>
        <v>not outlier</v>
      </c>
      <c r="K179" s="4" t="str">
        <f>IF(OR(Копия_20206[[#This Row],[Value (in 1000 rub)]]&gt;$S$7,Копия_20206[[#This Row],[Value (in 1000 rub)]]&lt;$S$6),"outlier","not outlier")</f>
        <v>not outlier</v>
      </c>
      <c r="L179" s="4" t="str">
        <f>IF(OR(Копия_20206[[#This Row],[Volume (in 1000 kg)]]&gt;$T$7,Копия_20206[[#This Row],[Volume (in 1000 kg)]]&lt;$T$6),"outlier","not outlier")</f>
        <v>not outlier</v>
      </c>
      <c r="M179" s="4" t="str">
        <f>IF(OR(Копия_20206[[#This Row],[Number of stores]]&gt;$U$7,Копия_20206[[#This Row],[Number of stores]]&lt;$U$6),"outlier","not outlier")</f>
        <v>not outlier</v>
      </c>
    </row>
    <row r="180" spans="1:13" x14ac:dyDescent="0.25">
      <c r="A180">
        <v>2020</v>
      </c>
      <c r="B180">
        <v>1</v>
      </c>
      <c r="C180" s="1" t="s">
        <v>29</v>
      </c>
      <c r="D180" s="1" t="s">
        <v>33</v>
      </c>
      <c r="E180" s="1" t="s">
        <v>11</v>
      </c>
      <c r="F180" s="5">
        <v>5.5399999999999998E-2</v>
      </c>
      <c r="G180" s="5">
        <v>25.307236</v>
      </c>
      <c r="H180" s="5">
        <v>1.9400000000000001E-2</v>
      </c>
      <c r="I180">
        <v>0</v>
      </c>
      <c r="J180" s="4" t="str">
        <f>IF(OR(Копия_20206[[#This Row],[Units (in 1000)]]&gt;$R$7,Копия_20206[[#This Row],[Units (in 1000)]]&lt;$R$6),"outlier","not outlier")</f>
        <v>not outlier</v>
      </c>
      <c r="K180" s="4" t="str">
        <f>IF(OR(Копия_20206[[#This Row],[Value (in 1000 rub)]]&gt;$S$7,Копия_20206[[#This Row],[Value (in 1000 rub)]]&lt;$S$6),"outlier","not outlier")</f>
        <v>not outlier</v>
      </c>
      <c r="L180" s="4" t="str">
        <f>IF(OR(Копия_20206[[#This Row],[Volume (in 1000 kg)]]&gt;$T$7,Копия_20206[[#This Row],[Volume (in 1000 kg)]]&lt;$T$6),"outlier","not outlier")</f>
        <v>not outlier</v>
      </c>
      <c r="M180" s="4" t="str">
        <f>IF(OR(Копия_20206[[#This Row],[Number of stores]]&gt;$U$7,Копия_20206[[#This Row],[Number of stores]]&lt;$U$6),"outlier","not outlier")</f>
        <v>not outlier</v>
      </c>
    </row>
    <row r="181" spans="1:13" x14ac:dyDescent="0.25">
      <c r="A181">
        <v>2020</v>
      </c>
      <c r="B181">
        <v>1</v>
      </c>
      <c r="C181" s="1" t="s">
        <v>29</v>
      </c>
      <c r="D181" s="1" t="s">
        <v>33</v>
      </c>
      <c r="E181" s="1" t="s">
        <v>12</v>
      </c>
      <c r="F181" s="5">
        <v>0.31940000000000002</v>
      </c>
      <c r="G181" s="5">
        <v>174.92429000000001</v>
      </c>
      <c r="H181" s="5">
        <v>0.1341</v>
      </c>
      <c r="I181">
        <v>0</v>
      </c>
      <c r="J181" s="4" t="str">
        <f>IF(OR(Копия_20206[[#This Row],[Units (in 1000)]]&gt;$R$7,Копия_20206[[#This Row],[Units (in 1000)]]&lt;$R$6),"outlier","not outlier")</f>
        <v>not outlier</v>
      </c>
      <c r="K181" s="4" t="str">
        <f>IF(OR(Копия_20206[[#This Row],[Value (in 1000 rub)]]&gt;$S$7,Копия_20206[[#This Row],[Value (in 1000 rub)]]&lt;$S$6),"outlier","not outlier")</f>
        <v>not outlier</v>
      </c>
      <c r="L181" s="4" t="str">
        <f>IF(OR(Копия_20206[[#This Row],[Volume (in 1000 kg)]]&gt;$T$7,Копия_20206[[#This Row],[Volume (in 1000 kg)]]&lt;$T$6),"outlier","not outlier")</f>
        <v>not outlier</v>
      </c>
      <c r="M181" s="4" t="str">
        <f>IF(OR(Копия_20206[[#This Row],[Number of stores]]&gt;$U$7,Копия_20206[[#This Row],[Number of stores]]&lt;$U$6),"outlier","not outlier")</f>
        <v>not outlier</v>
      </c>
    </row>
    <row r="182" spans="1:13" x14ac:dyDescent="0.25">
      <c r="A182">
        <v>2020</v>
      </c>
      <c r="B182">
        <v>2</v>
      </c>
      <c r="C182" s="1" t="s">
        <v>29</v>
      </c>
      <c r="D182" s="1" t="s">
        <v>33</v>
      </c>
      <c r="E182" s="1" t="s">
        <v>11</v>
      </c>
      <c r="F182" s="5">
        <v>5.2600000000000001E-2</v>
      </c>
      <c r="G182" s="5">
        <v>24.106432999999999</v>
      </c>
      <c r="H182" s="5">
        <v>1.84E-2</v>
      </c>
      <c r="I182">
        <v>0</v>
      </c>
      <c r="J182" s="4" t="str">
        <f>IF(OR(Копия_20206[[#This Row],[Units (in 1000)]]&gt;$R$7,Копия_20206[[#This Row],[Units (in 1000)]]&lt;$R$6),"outlier","not outlier")</f>
        <v>not outlier</v>
      </c>
      <c r="K182" s="4" t="str">
        <f>IF(OR(Копия_20206[[#This Row],[Value (in 1000 rub)]]&gt;$S$7,Копия_20206[[#This Row],[Value (in 1000 rub)]]&lt;$S$6),"outlier","not outlier")</f>
        <v>not outlier</v>
      </c>
      <c r="L182" s="4" t="str">
        <f>IF(OR(Копия_20206[[#This Row],[Volume (in 1000 kg)]]&gt;$T$7,Копия_20206[[#This Row],[Volume (in 1000 kg)]]&lt;$T$6),"outlier","not outlier")</f>
        <v>not outlier</v>
      </c>
      <c r="M182" s="4" t="str">
        <f>IF(OR(Копия_20206[[#This Row],[Number of stores]]&gt;$U$7,Копия_20206[[#This Row],[Number of stores]]&lt;$U$6),"outlier","not outlier")</f>
        <v>not outlier</v>
      </c>
    </row>
    <row r="183" spans="1:13" x14ac:dyDescent="0.25">
      <c r="A183">
        <v>2020</v>
      </c>
      <c r="B183">
        <v>2</v>
      </c>
      <c r="C183" s="1" t="s">
        <v>29</v>
      </c>
      <c r="D183" s="1" t="s">
        <v>33</v>
      </c>
      <c r="E183" s="1" t="s">
        <v>12</v>
      </c>
      <c r="F183" s="5">
        <v>0.39760000000000001</v>
      </c>
      <c r="G183" s="5">
        <v>205.54900699999999</v>
      </c>
      <c r="H183" s="5">
        <v>0.16700000000000001</v>
      </c>
      <c r="I183">
        <v>0</v>
      </c>
      <c r="J183" s="4" t="str">
        <f>IF(OR(Копия_20206[[#This Row],[Units (in 1000)]]&gt;$R$7,Копия_20206[[#This Row],[Units (in 1000)]]&lt;$R$6),"outlier","not outlier")</f>
        <v>not outlier</v>
      </c>
      <c r="K183" s="4" t="str">
        <f>IF(OR(Копия_20206[[#This Row],[Value (in 1000 rub)]]&gt;$S$7,Копия_20206[[#This Row],[Value (in 1000 rub)]]&lt;$S$6),"outlier","not outlier")</f>
        <v>not outlier</v>
      </c>
      <c r="L183" s="4" t="str">
        <f>IF(OR(Копия_20206[[#This Row],[Volume (in 1000 kg)]]&gt;$T$7,Копия_20206[[#This Row],[Volume (in 1000 kg)]]&lt;$T$6),"outlier","not outlier")</f>
        <v>not outlier</v>
      </c>
      <c r="M183" s="4" t="str">
        <f>IF(OR(Копия_20206[[#This Row],[Number of stores]]&gt;$U$7,Копия_20206[[#This Row],[Number of stores]]&lt;$U$6),"outlier","not outlier")</f>
        <v>not outlier</v>
      </c>
    </row>
    <row r="184" spans="1:13" x14ac:dyDescent="0.25">
      <c r="A184">
        <v>2020</v>
      </c>
      <c r="B184">
        <v>3</v>
      </c>
      <c r="C184" s="1" t="s">
        <v>29</v>
      </c>
      <c r="D184" s="1" t="s">
        <v>33</v>
      </c>
      <c r="E184" s="1" t="s">
        <v>11</v>
      </c>
      <c r="F184" s="5">
        <v>5.7700000000000001E-2</v>
      </c>
      <c r="G184" s="5">
        <v>25.981501999999999</v>
      </c>
      <c r="H184" s="5">
        <v>2.0199999999999999E-2</v>
      </c>
      <c r="I184">
        <v>0</v>
      </c>
      <c r="J184" s="4" t="str">
        <f>IF(OR(Копия_20206[[#This Row],[Units (in 1000)]]&gt;$R$7,Копия_20206[[#This Row],[Units (in 1000)]]&lt;$R$6),"outlier","not outlier")</f>
        <v>not outlier</v>
      </c>
      <c r="K184" s="4" t="str">
        <f>IF(OR(Копия_20206[[#This Row],[Value (in 1000 rub)]]&gt;$S$7,Копия_20206[[#This Row],[Value (in 1000 rub)]]&lt;$S$6),"outlier","not outlier")</f>
        <v>not outlier</v>
      </c>
      <c r="L184" s="4" t="str">
        <f>IF(OR(Копия_20206[[#This Row],[Volume (in 1000 kg)]]&gt;$T$7,Копия_20206[[#This Row],[Volume (in 1000 kg)]]&lt;$T$6),"outlier","not outlier")</f>
        <v>not outlier</v>
      </c>
      <c r="M184" s="4" t="str">
        <f>IF(OR(Копия_20206[[#This Row],[Number of stores]]&gt;$U$7,Копия_20206[[#This Row],[Number of stores]]&lt;$U$6),"outlier","not outlier")</f>
        <v>not outlier</v>
      </c>
    </row>
    <row r="185" spans="1:13" x14ac:dyDescent="0.25">
      <c r="A185">
        <v>2020</v>
      </c>
      <c r="B185">
        <v>3</v>
      </c>
      <c r="C185" s="1" t="s">
        <v>29</v>
      </c>
      <c r="D185" s="1" t="s">
        <v>33</v>
      </c>
      <c r="E185" s="1" t="s">
        <v>12</v>
      </c>
      <c r="F185" s="5">
        <v>0.54579999999999995</v>
      </c>
      <c r="G185" s="5">
        <v>290.24293999999998</v>
      </c>
      <c r="H185" s="5">
        <v>0.22919999999999999</v>
      </c>
      <c r="I185">
        <v>0</v>
      </c>
      <c r="J185" s="4" t="str">
        <f>IF(OR(Копия_20206[[#This Row],[Units (in 1000)]]&gt;$R$7,Копия_20206[[#This Row],[Units (in 1000)]]&lt;$R$6),"outlier","not outlier")</f>
        <v>not outlier</v>
      </c>
      <c r="K185" s="4" t="str">
        <f>IF(OR(Копия_20206[[#This Row],[Value (in 1000 rub)]]&gt;$S$7,Копия_20206[[#This Row],[Value (in 1000 rub)]]&lt;$S$6),"outlier","not outlier")</f>
        <v>not outlier</v>
      </c>
      <c r="L185" s="4" t="str">
        <f>IF(OR(Копия_20206[[#This Row],[Volume (in 1000 kg)]]&gt;$T$7,Копия_20206[[#This Row],[Volume (in 1000 kg)]]&lt;$T$6),"outlier","not outlier")</f>
        <v>not outlier</v>
      </c>
      <c r="M185" s="4" t="str">
        <f>IF(OR(Копия_20206[[#This Row],[Number of stores]]&gt;$U$7,Копия_20206[[#This Row],[Number of stores]]&lt;$U$6),"outlier","not outlier")</f>
        <v>not outlier</v>
      </c>
    </row>
    <row r="186" spans="1:13" x14ac:dyDescent="0.25">
      <c r="A186">
        <v>2020</v>
      </c>
      <c r="B186">
        <v>4</v>
      </c>
      <c r="C186" s="1" t="s">
        <v>29</v>
      </c>
      <c r="D186" s="1" t="s">
        <v>33</v>
      </c>
      <c r="E186" s="1" t="s">
        <v>11</v>
      </c>
      <c r="F186" s="5">
        <v>5.9700000000000003E-2</v>
      </c>
      <c r="G186" s="5">
        <v>27.194769999999998</v>
      </c>
      <c r="H186" s="5">
        <v>2.0899999999999998E-2</v>
      </c>
      <c r="I186">
        <v>0</v>
      </c>
      <c r="J186" s="4" t="str">
        <f>IF(OR(Копия_20206[[#This Row],[Units (in 1000)]]&gt;$R$7,Копия_20206[[#This Row],[Units (in 1000)]]&lt;$R$6),"outlier","not outlier")</f>
        <v>not outlier</v>
      </c>
      <c r="K186" s="4" t="str">
        <f>IF(OR(Копия_20206[[#This Row],[Value (in 1000 rub)]]&gt;$S$7,Копия_20206[[#This Row],[Value (in 1000 rub)]]&lt;$S$6),"outlier","not outlier")</f>
        <v>not outlier</v>
      </c>
      <c r="L186" s="4" t="str">
        <f>IF(OR(Копия_20206[[#This Row],[Volume (in 1000 kg)]]&gt;$T$7,Копия_20206[[#This Row],[Volume (in 1000 kg)]]&lt;$T$6),"outlier","not outlier")</f>
        <v>not outlier</v>
      </c>
      <c r="M186" s="4" t="str">
        <f>IF(OR(Копия_20206[[#This Row],[Number of stores]]&gt;$U$7,Копия_20206[[#This Row],[Number of stores]]&lt;$U$6),"outlier","not outlier")</f>
        <v>not outlier</v>
      </c>
    </row>
    <row r="187" spans="1:13" x14ac:dyDescent="0.25">
      <c r="A187">
        <v>2020</v>
      </c>
      <c r="B187">
        <v>4</v>
      </c>
      <c r="C187" s="1" t="s">
        <v>29</v>
      </c>
      <c r="D187" s="1" t="s">
        <v>33</v>
      </c>
      <c r="E187" s="1" t="s">
        <v>12</v>
      </c>
      <c r="F187" s="5">
        <v>0.7026</v>
      </c>
      <c r="G187" s="5">
        <v>360.11203</v>
      </c>
      <c r="H187" s="5">
        <v>0.29509999999999997</v>
      </c>
      <c r="I187">
        <v>0</v>
      </c>
      <c r="J187" s="4" t="str">
        <f>IF(OR(Копия_20206[[#This Row],[Units (in 1000)]]&gt;$R$7,Копия_20206[[#This Row],[Units (in 1000)]]&lt;$R$6),"outlier","not outlier")</f>
        <v>not outlier</v>
      </c>
      <c r="K187" s="4" t="str">
        <f>IF(OR(Копия_20206[[#This Row],[Value (in 1000 rub)]]&gt;$S$7,Копия_20206[[#This Row],[Value (in 1000 rub)]]&lt;$S$6),"outlier","not outlier")</f>
        <v>not outlier</v>
      </c>
      <c r="L187" s="4" t="str">
        <f>IF(OR(Копия_20206[[#This Row],[Volume (in 1000 kg)]]&gt;$T$7,Копия_20206[[#This Row],[Volume (in 1000 kg)]]&lt;$T$6),"outlier","not outlier")</f>
        <v>not outlier</v>
      </c>
      <c r="M187" s="4" t="str">
        <f>IF(OR(Копия_20206[[#This Row],[Number of stores]]&gt;$U$7,Копия_20206[[#This Row],[Number of stores]]&lt;$U$6),"outlier","not outlier")</f>
        <v>not outlier</v>
      </c>
    </row>
    <row r="188" spans="1:13" x14ac:dyDescent="0.25">
      <c r="A188">
        <v>2020</v>
      </c>
      <c r="B188">
        <v>5</v>
      </c>
      <c r="C188" s="1" t="s">
        <v>29</v>
      </c>
      <c r="D188" s="1" t="s">
        <v>33</v>
      </c>
      <c r="E188" s="1" t="s">
        <v>11</v>
      </c>
      <c r="F188" s="5">
        <v>6.54E-2</v>
      </c>
      <c r="G188" s="5">
        <v>29.755378</v>
      </c>
      <c r="H188" s="5">
        <v>2.29E-2</v>
      </c>
      <c r="I188">
        <v>0</v>
      </c>
      <c r="J188" s="4" t="str">
        <f>IF(OR(Копия_20206[[#This Row],[Units (in 1000)]]&gt;$R$7,Копия_20206[[#This Row],[Units (in 1000)]]&lt;$R$6),"outlier","not outlier")</f>
        <v>not outlier</v>
      </c>
      <c r="K188" s="4" t="str">
        <f>IF(OR(Копия_20206[[#This Row],[Value (in 1000 rub)]]&gt;$S$7,Копия_20206[[#This Row],[Value (in 1000 rub)]]&lt;$S$6),"outlier","not outlier")</f>
        <v>not outlier</v>
      </c>
      <c r="L188" s="4" t="str">
        <f>IF(OR(Копия_20206[[#This Row],[Volume (in 1000 kg)]]&gt;$T$7,Копия_20206[[#This Row],[Volume (in 1000 kg)]]&lt;$T$6),"outlier","not outlier")</f>
        <v>not outlier</v>
      </c>
      <c r="M188" s="4" t="str">
        <f>IF(OR(Копия_20206[[#This Row],[Number of stores]]&gt;$U$7,Копия_20206[[#This Row],[Number of stores]]&lt;$U$6),"outlier","not outlier")</f>
        <v>not outlier</v>
      </c>
    </row>
    <row r="189" spans="1:13" x14ac:dyDescent="0.25">
      <c r="A189">
        <v>2020</v>
      </c>
      <c r="B189">
        <v>5</v>
      </c>
      <c r="C189" s="1" t="s">
        <v>29</v>
      </c>
      <c r="D189" s="1" t="s">
        <v>33</v>
      </c>
      <c r="E189" s="1" t="s">
        <v>12</v>
      </c>
      <c r="F189" s="5">
        <v>0.313</v>
      </c>
      <c r="G189" s="5">
        <v>173.02641199999999</v>
      </c>
      <c r="H189" s="5">
        <v>0.13139999999999999</v>
      </c>
      <c r="I189">
        <v>0</v>
      </c>
      <c r="J189" s="4" t="str">
        <f>IF(OR(Копия_20206[[#This Row],[Units (in 1000)]]&gt;$R$7,Копия_20206[[#This Row],[Units (in 1000)]]&lt;$R$6),"outlier","not outlier")</f>
        <v>not outlier</v>
      </c>
      <c r="K189" s="4" t="str">
        <f>IF(OR(Копия_20206[[#This Row],[Value (in 1000 rub)]]&gt;$S$7,Копия_20206[[#This Row],[Value (in 1000 rub)]]&lt;$S$6),"outlier","not outlier")</f>
        <v>not outlier</v>
      </c>
      <c r="L189" s="4" t="str">
        <f>IF(OR(Копия_20206[[#This Row],[Volume (in 1000 kg)]]&gt;$T$7,Копия_20206[[#This Row],[Volume (in 1000 kg)]]&lt;$T$6),"outlier","not outlier")</f>
        <v>not outlier</v>
      </c>
      <c r="M189" s="4" t="str">
        <f>IF(OR(Копия_20206[[#This Row],[Number of stores]]&gt;$U$7,Копия_20206[[#This Row],[Number of stores]]&lt;$U$6),"outlier","not outlier")</f>
        <v>not outlier</v>
      </c>
    </row>
    <row r="190" spans="1:13" x14ac:dyDescent="0.25">
      <c r="A190">
        <v>2020</v>
      </c>
      <c r="B190">
        <v>7</v>
      </c>
      <c r="C190" s="1" t="s">
        <v>29</v>
      </c>
      <c r="D190" s="1" t="s">
        <v>33</v>
      </c>
      <c r="E190" s="1" t="s">
        <v>18</v>
      </c>
      <c r="F190" s="5">
        <v>8.9999999999999998E-4</v>
      </c>
      <c r="G190" s="5">
        <v>0.42455799999999999</v>
      </c>
      <c r="H190" s="5">
        <v>1E-4</v>
      </c>
      <c r="I190">
        <v>0</v>
      </c>
      <c r="J190" s="4" t="str">
        <f>IF(OR(Копия_20206[[#This Row],[Units (in 1000)]]&gt;$R$7,Копия_20206[[#This Row],[Units (in 1000)]]&lt;$R$6),"outlier","not outlier")</f>
        <v>not outlier</v>
      </c>
      <c r="K190" s="4" t="str">
        <f>IF(OR(Копия_20206[[#This Row],[Value (in 1000 rub)]]&gt;$S$7,Копия_20206[[#This Row],[Value (in 1000 rub)]]&lt;$S$6),"outlier","not outlier")</f>
        <v>not outlier</v>
      </c>
      <c r="L190" s="4" t="str">
        <f>IF(OR(Копия_20206[[#This Row],[Volume (in 1000 kg)]]&gt;$T$7,Копия_20206[[#This Row],[Volume (in 1000 kg)]]&lt;$T$6),"outlier","not outlier")</f>
        <v>not outlier</v>
      </c>
      <c r="M190" s="4" t="str">
        <f>IF(OR(Копия_20206[[#This Row],[Number of stores]]&gt;$U$7,Копия_20206[[#This Row],[Number of stores]]&lt;$U$6),"outlier","not outlier")</f>
        <v>not outlier</v>
      </c>
    </row>
    <row r="191" spans="1:13" x14ac:dyDescent="0.25">
      <c r="A191">
        <v>2020</v>
      </c>
      <c r="B191">
        <v>7</v>
      </c>
      <c r="C191" s="1" t="s">
        <v>29</v>
      </c>
      <c r="D191" s="1" t="s">
        <v>33</v>
      </c>
      <c r="E191" s="1" t="s">
        <v>11</v>
      </c>
      <c r="F191" s="5">
        <v>4.58E-2</v>
      </c>
      <c r="G191" s="5">
        <v>20.850142000000002</v>
      </c>
      <c r="H191" s="5">
        <v>1.6E-2</v>
      </c>
      <c r="I191">
        <v>0</v>
      </c>
      <c r="J191" s="4" t="str">
        <f>IF(OR(Копия_20206[[#This Row],[Units (in 1000)]]&gt;$R$7,Копия_20206[[#This Row],[Units (in 1000)]]&lt;$R$6),"outlier","not outlier")</f>
        <v>not outlier</v>
      </c>
      <c r="K191" s="4" t="str">
        <f>IF(OR(Копия_20206[[#This Row],[Value (in 1000 rub)]]&gt;$S$7,Копия_20206[[#This Row],[Value (in 1000 rub)]]&lt;$S$6),"outlier","not outlier")</f>
        <v>not outlier</v>
      </c>
      <c r="L191" s="4" t="str">
        <f>IF(OR(Копия_20206[[#This Row],[Volume (in 1000 kg)]]&gt;$T$7,Копия_20206[[#This Row],[Volume (in 1000 kg)]]&lt;$T$6),"outlier","not outlier")</f>
        <v>not outlier</v>
      </c>
      <c r="M191" s="4" t="str">
        <f>IF(OR(Копия_20206[[#This Row],[Number of stores]]&gt;$U$7,Копия_20206[[#This Row],[Number of stores]]&lt;$U$6),"outlier","not outlier")</f>
        <v>not outlier</v>
      </c>
    </row>
    <row r="192" spans="1:13" x14ac:dyDescent="0.25">
      <c r="A192">
        <v>2020</v>
      </c>
      <c r="B192">
        <v>7</v>
      </c>
      <c r="C192" s="1" t="s">
        <v>29</v>
      </c>
      <c r="D192" s="1" t="s">
        <v>33</v>
      </c>
      <c r="E192" s="1" t="s">
        <v>12</v>
      </c>
      <c r="F192" s="5">
        <v>0.26910000000000001</v>
      </c>
      <c r="G192" s="5">
        <v>140.824207</v>
      </c>
      <c r="H192" s="5">
        <v>0.11310000000000001</v>
      </c>
      <c r="I192">
        <v>0</v>
      </c>
      <c r="J192" s="4" t="str">
        <f>IF(OR(Копия_20206[[#This Row],[Units (in 1000)]]&gt;$R$7,Копия_20206[[#This Row],[Units (in 1000)]]&lt;$R$6),"outlier","not outlier")</f>
        <v>not outlier</v>
      </c>
      <c r="K192" s="4" t="str">
        <f>IF(OR(Копия_20206[[#This Row],[Value (in 1000 rub)]]&gt;$S$7,Копия_20206[[#This Row],[Value (in 1000 rub)]]&lt;$S$6),"outlier","not outlier")</f>
        <v>not outlier</v>
      </c>
      <c r="L192" s="4" t="str">
        <f>IF(OR(Копия_20206[[#This Row],[Volume (in 1000 kg)]]&gt;$T$7,Копия_20206[[#This Row],[Volume (in 1000 kg)]]&lt;$T$6),"outlier","not outlier")</f>
        <v>not outlier</v>
      </c>
      <c r="M192" s="4" t="str">
        <f>IF(OR(Копия_20206[[#This Row],[Number of stores]]&gt;$U$7,Копия_20206[[#This Row],[Number of stores]]&lt;$U$6),"outlier","not outlier")</f>
        <v>not outlier</v>
      </c>
    </row>
    <row r="193" spans="1:13" x14ac:dyDescent="0.25">
      <c r="A193">
        <v>2020</v>
      </c>
      <c r="B193">
        <v>8</v>
      </c>
      <c r="C193" s="1" t="s">
        <v>29</v>
      </c>
      <c r="D193" s="1" t="s">
        <v>33</v>
      </c>
      <c r="E193" s="1" t="s">
        <v>18</v>
      </c>
      <c r="F193" s="5">
        <v>5.0000000000000001E-4</v>
      </c>
      <c r="G193" s="5">
        <v>0.23585100000000001</v>
      </c>
      <c r="H193" s="5">
        <v>1E-4</v>
      </c>
      <c r="I193">
        <v>0</v>
      </c>
      <c r="J193" s="4" t="str">
        <f>IF(OR(Копия_20206[[#This Row],[Units (in 1000)]]&gt;$R$7,Копия_20206[[#This Row],[Units (in 1000)]]&lt;$R$6),"outlier","not outlier")</f>
        <v>not outlier</v>
      </c>
      <c r="K193" s="4" t="str">
        <f>IF(OR(Копия_20206[[#This Row],[Value (in 1000 rub)]]&gt;$S$7,Копия_20206[[#This Row],[Value (in 1000 rub)]]&lt;$S$6),"outlier","not outlier")</f>
        <v>not outlier</v>
      </c>
      <c r="L193" s="4" t="str">
        <f>IF(OR(Копия_20206[[#This Row],[Volume (in 1000 kg)]]&gt;$T$7,Копия_20206[[#This Row],[Volume (in 1000 kg)]]&lt;$T$6),"outlier","not outlier")</f>
        <v>not outlier</v>
      </c>
      <c r="M193" s="4" t="str">
        <f>IF(OR(Копия_20206[[#This Row],[Number of stores]]&gt;$U$7,Копия_20206[[#This Row],[Number of stores]]&lt;$U$6),"outlier","not outlier")</f>
        <v>not outlier</v>
      </c>
    </row>
    <row r="194" spans="1:13" x14ac:dyDescent="0.25">
      <c r="A194">
        <v>2020</v>
      </c>
      <c r="B194">
        <v>8</v>
      </c>
      <c r="C194" s="1" t="s">
        <v>29</v>
      </c>
      <c r="D194" s="1" t="s">
        <v>33</v>
      </c>
      <c r="E194" s="1" t="s">
        <v>11</v>
      </c>
      <c r="F194" s="5">
        <v>4.9099999999999998E-2</v>
      </c>
      <c r="G194" s="5">
        <v>21.178290000000001</v>
      </c>
      <c r="H194" s="5">
        <v>1.72E-2</v>
      </c>
      <c r="I194">
        <v>0</v>
      </c>
      <c r="J194" s="4" t="str">
        <f>IF(OR(Копия_20206[[#This Row],[Units (in 1000)]]&gt;$R$7,Копия_20206[[#This Row],[Units (in 1000)]]&lt;$R$6),"outlier","not outlier")</f>
        <v>not outlier</v>
      </c>
      <c r="K194" s="4" t="str">
        <f>IF(OR(Копия_20206[[#This Row],[Value (in 1000 rub)]]&gt;$S$7,Копия_20206[[#This Row],[Value (in 1000 rub)]]&lt;$S$6),"outlier","not outlier")</f>
        <v>not outlier</v>
      </c>
      <c r="L194" s="4" t="str">
        <f>IF(OR(Копия_20206[[#This Row],[Volume (in 1000 kg)]]&gt;$T$7,Копия_20206[[#This Row],[Volume (in 1000 kg)]]&lt;$T$6),"outlier","not outlier")</f>
        <v>not outlier</v>
      </c>
      <c r="M194" s="4" t="str">
        <f>IF(OR(Копия_20206[[#This Row],[Number of stores]]&gt;$U$7,Копия_20206[[#This Row],[Number of stores]]&lt;$U$6),"outlier","not outlier")</f>
        <v>not outlier</v>
      </c>
    </row>
    <row r="195" spans="1:13" x14ac:dyDescent="0.25">
      <c r="A195">
        <v>2020</v>
      </c>
      <c r="B195">
        <v>8</v>
      </c>
      <c r="C195" s="1" t="s">
        <v>29</v>
      </c>
      <c r="D195" s="1" t="s">
        <v>33</v>
      </c>
      <c r="E195" s="1" t="s">
        <v>12</v>
      </c>
      <c r="F195" s="5">
        <v>0.3095</v>
      </c>
      <c r="G195" s="5">
        <v>161.393145</v>
      </c>
      <c r="H195" s="5">
        <v>0.13</v>
      </c>
      <c r="I195">
        <v>0</v>
      </c>
      <c r="J195" s="4" t="str">
        <f>IF(OR(Копия_20206[[#This Row],[Units (in 1000)]]&gt;$R$7,Копия_20206[[#This Row],[Units (in 1000)]]&lt;$R$6),"outlier","not outlier")</f>
        <v>not outlier</v>
      </c>
      <c r="K195" s="4" t="str">
        <f>IF(OR(Копия_20206[[#This Row],[Value (in 1000 rub)]]&gt;$S$7,Копия_20206[[#This Row],[Value (in 1000 rub)]]&lt;$S$6),"outlier","not outlier")</f>
        <v>not outlier</v>
      </c>
      <c r="L195" s="4" t="str">
        <f>IF(OR(Копия_20206[[#This Row],[Volume (in 1000 kg)]]&gt;$T$7,Копия_20206[[#This Row],[Volume (in 1000 kg)]]&lt;$T$6),"outlier","not outlier")</f>
        <v>not outlier</v>
      </c>
      <c r="M195" s="4" t="str">
        <f>IF(OR(Копия_20206[[#This Row],[Number of stores]]&gt;$U$7,Копия_20206[[#This Row],[Number of stores]]&lt;$U$6),"outlier","not outlier")</f>
        <v>not outlier</v>
      </c>
    </row>
    <row r="196" spans="1:13" x14ac:dyDescent="0.25">
      <c r="A196">
        <v>2020</v>
      </c>
      <c r="B196">
        <v>9</v>
      </c>
      <c r="C196" s="1" t="s">
        <v>29</v>
      </c>
      <c r="D196" s="1" t="s">
        <v>33</v>
      </c>
      <c r="E196" s="1" t="s">
        <v>18</v>
      </c>
      <c r="F196" s="5">
        <v>6.9999999999999999E-4</v>
      </c>
      <c r="G196" s="5">
        <v>0.330204</v>
      </c>
      <c r="H196" s="5">
        <v>1E-4</v>
      </c>
      <c r="I196">
        <v>0</v>
      </c>
      <c r="J196" s="4" t="str">
        <f>IF(OR(Копия_20206[[#This Row],[Units (in 1000)]]&gt;$R$7,Копия_20206[[#This Row],[Units (in 1000)]]&lt;$R$6),"outlier","not outlier")</f>
        <v>not outlier</v>
      </c>
      <c r="K196" s="4" t="str">
        <f>IF(OR(Копия_20206[[#This Row],[Value (in 1000 rub)]]&gt;$S$7,Копия_20206[[#This Row],[Value (in 1000 rub)]]&lt;$S$6),"outlier","not outlier")</f>
        <v>not outlier</v>
      </c>
      <c r="L196" s="4" t="str">
        <f>IF(OR(Копия_20206[[#This Row],[Volume (in 1000 kg)]]&gt;$T$7,Копия_20206[[#This Row],[Volume (in 1000 kg)]]&lt;$T$6),"outlier","not outlier")</f>
        <v>not outlier</v>
      </c>
      <c r="M196" s="4" t="str">
        <f>IF(OR(Копия_20206[[#This Row],[Number of stores]]&gt;$U$7,Копия_20206[[#This Row],[Number of stores]]&lt;$U$6),"outlier","not outlier")</f>
        <v>not outlier</v>
      </c>
    </row>
    <row r="197" spans="1:13" x14ac:dyDescent="0.25">
      <c r="A197">
        <v>2020</v>
      </c>
      <c r="B197">
        <v>9</v>
      </c>
      <c r="C197" s="1" t="s">
        <v>29</v>
      </c>
      <c r="D197" s="1" t="s">
        <v>33</v>
      </c>
      <c r="E197" s="1" t="s">
        <v>11</v>
      </c>
      <c r="F197" s="5">
        <v>6.1899999999999997E-2</v>
      </c>
      <c r="G197" s="5">
        <v>28.234317000000001</v>
      </c>
      <c r="H197" s="5">
        <v>2.1600000000000001E-2</v>
      </c>
      <c r="I197">
        <v>0</v>
      </c>
      <c r="J197" s="4" t="str">
        <f>IF(OR(Копия_20206[[#This Row],[Units (in 1000)]]&gt;$R$7,Копия_20206[[#This Row],[Units (in 1000)]]&lt;$R$6),"outlier","not outlier")</f>
        <v>not outlier</v>
      </c>
      <c r="K197" s="4" t="str">
        <f>IF(OR(Копия_20206[[#This Row],[Value (in 1000 rub)]]&gt;$S$7,Копия_20206[[#This Row],[Value (in 1000 rub)]]&lt;$S$6),"outlier","not outlier")</f>
        <v>not outlier</v>
      </c>
      <c r="L197" s="4" t="str">
        <f>IF(OR(Копия_20206[[#This Row],[Volume (in 1000 kg)]]&gt;$T$7,Копия_20206[[#This Row],[Volume (in 1000 kg)]]&lt;$T$6),"outlier","not outlier")</f>
        <v>not outlier</v>
      </c>
      <c r="M197" s="4" t="str">
        <f>IF(OR(Копия_20206[[#This Row],[Number of stores]]&gt;$U$7,Копия_20206[[#This Row],[Number of stores]]&lt;$U$6),"outlier","not outlier")</f>
        <v>not outlier</v>
      </c>
    </row>
    <row r="198" spans="1:13" x14ac:dyDescent="0.25">
      <c r="A198">
        <v>2020</v>
      </c>
      <c r="B198">
        <v>9</v>
      </c>
      <c r="C198" s="1" t="s">
        <v>29</v>
      </c>
      <c r="D198" s="1" t="s">
        <v>33</v>
      </c>
      <c r="E198" s="1" t="s">
        <v>12</v>
      </c>
      <c r="F198" s="5">
        <v>0.28860000000000002</v>
      </c>
      <c r="G198" s="5">
        <v>156.94971000000001</v>
      </c>
      <c r="H198" s="5">
        <v>0.12130000000000001</v>
      </c>
      <c r="I198">
        <v>0</v>
      </c>
      <c r="J198" s="4" t="str">
        <f>IF(OR(Копия_20206[[#This Row],[Units (in 1000)]]&gt;$R$7,Копия_20206[[#This Row],[Units (in 1000)]]&lt;$R$6),"outlier","not outlier")</f>
        <v>not outlier</v>
      </c>
      <c r="K198" s="4" t="str">
        <f>IF(OR(Копия_20206[[#This Row],[Value (in 1000 rub)]]&gt;$S$7,Копия_20206[[#This Row],[Value (in 1000 rub)]]&lt;$S$6),"outlier","not outlier")</f>
        <v>not outlier</v>
      </c>
      <c r="L198" s="4" t="str">
        <f>IF(OR(Копия_20206[[#This Row],[Volume (in 1000 kg)]]&gt;$T$7,Копия_20206[[#This Row],[Volume (in 1000 kg)]]&lt;$T$6),"outlier","not outlier")</f>
        <v>not outlier</v>
      </c>
      <c r="M198" s="4" t="str">
        <f>IF(OR(Копия_20206[[#This Row],[Number of stores]]&gt;$U$7,Копия_20206[[#This Row],[Number of stores]]&lt;$U$6),"outlier","not outlier")</f>
        <v>not outlier</v>
      </c>
    </row>
    <row r="199" spans="1:13" x14ac:dyDescent="0.25">
      <c r="A199">
        <v>2020</v>
      </c>
      <c r="B199">
        <v>10</v>
      </c>
      <c r="C199" s="1" t="s">
        <v>29</v>
      </c>
      <c r="D199" s="1" t="s">
        <v>33</v>
      </c>
      <c r="E199" s="1" t="s">
        <v>11</v>
      </c>
      <c r="F199" s="5">
        <v>6.7400000000000002E-2</v>
      </c>
      <c r="G199" s="5">
        <v>31.004518000000001</v>
      </c>
      <c r="H199" s="5">
        <v>2.35E-2</v>
      </c>
      <c r="I199">
        <v>0</v>
      </c>
      <c r="J199" s="4" t="str">
        <f>IF(OR(Копия_20206[[#This Row],[Units (in 1000)]]&gt;$R$7,Копия_20206[[#This Row],[Units (in 1000)]]&lt;$R$6),"outlier","not outlier")</f>
        <v>not outlier</v>
      </c>
      <c r="K199" s="4" t="str">
        <f>IF(OR(Копия_20206[[#This Row],[Value (in 1000 rub)]]&gt;$S$7,Копия_20206[[#This Row],[Value (in 1000 rub)]]&lt;$S$6),"outlier","not outlier")</f>
        <v>not outlier</v>
      </c>
      <c r="L199" s="4" t="str">
        <f>IF(OR(Копия_20206[[#This Row],[Volume (in 1000 kg)]]&gt;$T$7,Копия_20206[[#This Row],[Volume (in 1000 kg)]]&lt;$T$6),"outlier","not outlier")</f>
        <v>not outlier</v>
      </c>
      <c r="M199" s="4" t="str">
        <f>IF(OR(Копия_20206[[#This Row],[Number of stores]]&gt;$U$7,Копия_20206[[#This Row],[Number of stores]]&lt;$U$6),"outlier","not outlier")</f>
        <v>not outlier</v>
      </c>
    </row>
    <row r="200" spans="1:13" x14ac:dyDescent="0.25">
      <c r="A200">
        <v>2020</v>
      </c>
      <c r="B200">
        <v>10</v>
      </c>
      <c r="C200" s="1" t="s">
        <v>29</v>
      </c>
      <c r="D200" s="1" t="s">
        <v>33</v>
      </c>
      <c r="E200" s="1" t="s">
        <v>12</v>
      </c>
      <c r="F200" s="5">
        <v>0.33910000000000001</v>
      </c>
      <c r="G200" s="5">
        <v>184.796269</v>
      </c>
      <c r="H200" s="5">
        <v>0.1424</v>
      </c>
      <c r="I200">
        <v>0</v>
      </c>
      <c r="J200" s="4" t="str">
        <f>IF(OR(Копия_20206[[#This Row],[Units (in 1000)]]&gt;$R$7,Копия_20206[[#This Row],[Units (in 1000)]]&lt;$R$6),"outlier","not outlier")</f>
        <v>not outlier</v>
      </c>
      <c r="K200" s="4" t="str">
        <f>IF(OR(Копия_20206[[#This Row],[Value (in 1000 rub)]]&gt;$S$7,Копия_20206[[#This Row],[Value (in 1000 rub)]]&lt;$S$6),"outlier","not outlier")</f>
        <v>not outlier</v>
      </c>
      <c r="L200" s="4" t="str">
        <f>IF(OR(Копия_20206[[#This Row],[Volume (in 1000 kg)]]&gt;$T$7,Копия_20206[[#This Row],[Volume (in 1000 kg)]]&lt;$T$6),"outlier","not outlier")</f>
        <v>not outlier</v>
      </c>
      <c r="M200" s="4" t="str">
        <f>IF(OR(Копия_20206[[#This Row],[Number of stores]]&gt;$U$7,Копия_20206[[#This Row],[Number of stores]]&lt;$U$6),"outlier","not outlier")</f>
        <v>not outlier</v>
      </c>
    </row>
    <row r="201" spans="1:13" x14ac:dyDescent="0.25">
      <c r="A201">
        <v>2020</v>
      </c>
      <c r="B201">
        <v>11</v>
      </c>
      <c r="C201" s="1" t="s">
        <v>29</v>
      </c>
      <c r="D201" s="1" t="s">
        <v>33</v>
      </c>
      <c r="E201" s="1" t="s">
        <v>18</v>
      </c>
      <c r="F201" s="5">
        <v>2.5000000000000001E-3</v>
      </c>
      <c r="G201" s="5">
        <v>1.2264630000000001</v>
      </c>
      <c r="H201" s="5">
        <v>5.0000000000000001E-4</v>
      </c>
      <c r="I201">
        <v>0</v>
      </c>
      <c r="J201" s="4" t="str">
        <f>IF(OR(Копия_20206[[#This Row],[Units (in 1000)]]&gt;$R$7,Копия_20206[[#This Row],[Units (in 1000)]]&lt;$R$6),"outlier","not outlier")</f>
        <v>not outlier</v>
      </c>
      <c r="K201" s="4" t="str">
        <f>IF(OR(Копия_20206[[#This Row],[Value (in 1000 rub)]]&gt;$S$7,Копия_20206[[#This Row],[Value (in 1000 rub)]]&lt;$S$6),"outlier","not outlier")</f>
        <v>not outlier</v>
      </c>
      <c r="L201" s="4" t="str">
        <f>IF(OR(Копия_20206[[#This Row],[Volume (in 1000 kg)]]&gt;$T$7,Копия_20206[[#This Row],[Volume (in 1000 kg)]]&lt;$T$6),"outlier","not outlier")</f>
        <v>not outlier</v>
      </c>
      <c r="M201" s="4" t="str">
        <f>IF(OR(Копия_20206[[#This Row],[Number of stores]]&gt;$U$7,Копия_20206[[#This Row],[Number of stores]]&lt;$U$6),"outlier","not outlier")</f>
        <v>not outlier</v>
      </c>
    </row>
    <row r="202" spans="1:13" x14ac:dyDescent="0.25">
      <c r="A202">
        <v>2020</v>
      </c>
      <c r="B202">
        <v>11</v>
      </c>
      <c r="C202" s="1" t="s">
        <v>29</v>
      </c>
      <c r="D202" s="1" t="s">
        <v>33</v>
      </c>
      <c r="E202" s="1" t="s">
        <v>11</v>
      </c>
      <c r="F202" s="5">
        <v>7.1099999999999997E-2</v>
      </c>
      <c r="G202" s="5">
        <v>30.765021000000001</v>
      </c>
      <c r="H202" s="5">
        <v>2.4899999999999999E-2</v>
      </c>
      <c r="I202">
        <v>0</v>
      </c>
      <c r="J202" s="4" t="str">
        <f>IF(OR(Копия_20206[[#This Row],[Units (in 1000)]]&gt;$R$7,Копия_20206[[#This Row],[Units (in 1000)]]&lt;$R$6),"outlier","not outlier")</f>
        <v>not outlier</v>
      </c>
      <c r="K202" s="4" t="str">
        <f>IF(OR(Копия_20206[[#This Row],[Value (in 1000 rub)]]&gt;$S$7,Копия_20206[[#This Row],[Value (in 1000 rub)]]&lt;$S$6),"outlier","not outlier")</f>
        <v>not outlier</v>
      </c>
      <c r="L202" s="4" t="str">
        <f>IF(OR(Копия_20206[[#This Row],[Volume (in 1000 kg)]]&gt;$T$7,Копия_20206[[#This Row],[Volume (in 1000 kg)]]&lt;$T$6),"outlier","not outlier")</f>
        <v>not outlier</v>
      </c>
      <c r="M202" s="4" t="str">
        <f>IF(OR(Копия_20206[[#This Row],[Number of stores]]&gt;$U$7,Копия_20206[[#This Row],[Number of stores]]&lt;$U$6),"outlier","not outlier")</f>
        <v>not outlier</v>
      </c>
    </row>
    <row r="203" spans="1:13" x14ac:dyDescent="0.25">
      <c r="A203">
        <v>2020</v>
      </c>
      <c r="B203">
        <v>11</v>
      </c>
      <c r="C203" s="1" t="s">
        <v>29</v>
      </c>
      <c r="D203" s="1" t="s">
        <v>33</v>
      </c>
      <c r="E203" s="1" t="s">
        <v>12</v>
      </c>
      <c r="F203" s="5">
        <v>0.35859999999999997</v>
      </c>
      <c r="G203" s="5">
        <v>194.894285</v>
      </c>
      <c r="H203" s="5">
        <v>0.15060000000000001</v>
      </c>
      <c r="I203">
        <v>0</v>
      </c>
      <c r="J203" s="4" t="str">
        <f>IF(OR(Копия_20206[[#This Row],[Units (in 1000)]]&gt;$R$7,Копия_20206[[#This Row],[Units (in 1000)]]&lt;$R$6),"outlier","not outlier")</f>
        <v>not outlier</v>
      </c>
      <c r="K203" s="4" t="str">
        <f>IF(OR(Копия_20206[[#This Row],[Value (in 1000 rub)]]&gt;$S$7,Копия_20206[[#This Row],[Value (in 1000 rub)]]&lt;$S$6),"outlier","not outlier")</f>
        <v>not outlier</v>
      </c>
      <c r="L203" s="4" t="str">
        <f>IF(OR(Копия_20206[[#This Row],[Volume (in 1000 kg)]]&gt;$T$7,Копия_20206[[#This Row],[Volume (in 1000 kg)]]&lt;$T$6),"outlier","not outlier")</f>
        <v>not outlier</v>
      </c>
      <c r="M203" s="4" t="str">
        <f>IF(OR(Копия_20206[[#This Row],[Number of stores]]&gt;$U$7,Копия_20206[[#This Row],[Number of stores]]&lt;$U$6),"outlier","not outlier")</f>
        <v>not outlier</v>
      </c>
    </row>
    <row r="204" spans="1:13" x14ac:dyDescent="0.25">
      <c r="A204">
        <v>2020</v>
      </c>
      <c r="B204">
        <v>12</v>
      </c>
      <c r="C204" s="1" t="s">
        <v>29</v>
      </c>
      <c r="D204" s="1" t="s">
        <v>33</v>
      </c>
      <c r="E204" s="1" t="s">
        <v>18</v>
      </c>
      <c r="F204" s="5">
        <v>2.0000000000000001E-4</v>
      </c>
      <c r="G204" s="5">
        <v>9.4353999999999993E-2</v>
      </c>
      <c r="H204" s="5">
        <v>1E-4</v>
      </c>
      <c r="I204">
        <v>0</v>
      </c>
      <c r="J204" s="4" t="str">
        <f>IF(OR(Копия_20206[[#This Row],[Units (in 1000)]]&gt;$R$7,Копия_20206[[#This Row],[Units (in 1000)]]&lt;$R$6),"outlier","not outlier")</f>
        <v>not outlier</v>
      </c>
      <c r="K204" s="4" t="str">
        <f>IF(OR(Копия_20206[[#This Row],[Value (in 1000 rub)]]&gt;$S$7,Копия_20206[[#This Row],[Value (in 1000 rub)]]&lt;$S$6),"outlier","not outlier")</f>
        <v>not outlier</v>
      </c>
      <c r="L204" s="4" t="str">
        <f>IF(OR(Копия_20206[[#This Row],[Volume (in 1000 kg)]]&gt;$T$7,Копия_20206[[#This Row],[Volume (in 1000 kg)]]&lt;$T$6),"outlier","not outlier")</f>
        <v>not outlier</v>
      </c>
      <c r="M204" s="4" t="str">
        <f>IF(OR(Копия_20206[[#This Row],[Number of stores]]&gt;$U$7,Копия_20206[[#This Row],[Number of stores]]&lt;$U$6),"outlier","not outlier")</f>
        <v>not outlier</v>
      </c>
    </row>
    <row r="205" spans="1:13" x14ac:dyDescent="0.25">
      <c r="A205">
        <v>2020</v>
      </c>
      <c r="B205">
        <v>12</v>
      </c>
      <c r="C205" s="1" t="s">
        <v>29</v>
      </c>
      <c r="D205" s="1" t="s">
        <v>33</v>
      </c>
      <c r="E205" s="1" t="s">
        <v>11</v>
      </c>
      <c r="F205" s="5">
        <v>8.4000000000000005E-2</v>
      </c>
      <c r="G205" s="5">
        <v>33.376418999999999</v>
      </c>
      <c r="H205" s="5">
        <v>2.9399999999999999E-2</v>
      </c>
      <c r="I205">
        <v>0</v>
      </c>
      <c r="J205" s="4" t="str">
        <f>IF(OR(Копия_20206[[#This Row],[Units (in 1000)]]&gt;$R$7,Копия_20206[[#This Row],[Units (in 1000)]]&lt;$R$6),"outlier","not outlier")</f>
        <v>not outlier</v>
      </c>
      <c r="K205" s="4" t="str">
        <f>IF(OR(Копия_20206[[#This Row],[Value (in 1000 rub)]]&gt;$S$7,Копия_20206[[#This Row],[Value (in 1000 rub)]]&lt;$S$6),"outlier","not outlier")</f>
        <v>not outlier</v>
      </c>
      <c r="L205" s="4" t="str">
        <f>IF(OR(Копия_20206[[#This Row],[Volume (in 1000 kg)]]&gt;$T$7,Копия_20206[[#This Row],[Volume (in 1000 kg)]]&lt;$T$6),"outlier","not outlier")</f>
        <v>not outlier</v>
      </c>
      <c r="M205" s="4" t="str">
        <f>IF(OR(Копия_20206[[#This Row],[Number of stores]]&gt;$U$7,Копия_20206[[#This Row],[Number of stores]]&lt;$U$6),"outlier","not outlier")</f>
        <v>not outlier</v>
      </c>
    </row>
    <row r="206" spans="1:13" x14ac:dyDescent="0.25">
      <c r="A206">
        <v>2020</v>
      </c>
      <c r="B206">
        <v>12</v>
      </c>
      <c r="C206" s="1" t="s">
        <v>29</v>
      </c>
      <c r="D206" s="1" t="s">
        <v>33</v>
      </c>
      <c r="E206" s="1" t="s">
        <v>12</v>
      </c>
      <c r="F206" s="5">
        <v>0.4299</v>
      </c>
      <c r="G206" s="5">
        <v>232.87771599999999</v>
      </c>
      <c r="H206" s="5">
        <v>0.18049999999999999</v>
      </c>
      <c r="I206">
        <v>0</v>
      </c>
      <c r="J206" s="4" t="str">
        <f>IF(OR(Копия_20206[[#This Row],[Units (in 1000)]]&gt;$R$7,Копия_20206[[#This Row],[Units (in 1000)]]&lt;$R$6),"outlier","not outlier")</f>
        <v>not outlier</v>
      </c>
      <c r="K206" s="4" t="str">
        <f>IF(OR(Копия_20206[[#This Row],[Value (in 1000 rub)]]&gt;$S$7,Копия_20206[[#This Row],[Value (in 1000 rub)]]&lt;$S$6),"outlier","not outlier")</f>
        <v>not outlier</v>
      </c>
      <c r="L206" s="4" t="str">
        <f>IF(OR(Копия_20206[[#This Row],[Volume (in 1000 kg)]]&gt;$T$7,Копия_20206[[#This Row],[Volume (in 1000 kg)]]&lt;$T$6),"outlier","not outlier")</f>
        <v>not outlier</v>
      </c>
      <c r="M206" s="4" t="str">
        <f>IF(OR(Копия_20206[[#This Row],[Number of stores]]&gt;$U$7,Копия_20206[[#This Row],[Number of stores]]&lt;$U$6),"outlier","not outlier")</f>
        <v>not outlier</v>
      </c>
    </row>
    <row r="207" spans="1:13" x14ac:dyDescent="0.25">
      <c r="A207">
        <v>2020</v>
      </c>
      <c r="B207">
        <v>2</v>
      </c>
      <c r="C207" s="1" t="s">
        <v>29</v>
      </c>
      <c r="D207" s="1" t="s">
        <v>56</v>
      </c>
      <c r="E207" s="1" t="s">
        <v>35</v>
      </c>
      <c r="F207" s="5">
        <v>0.1842</v>
      </c>
      <c r="G207" s="5">
        <v>34.832101999999999</v>
      </c>
      <c r="H207" s="5">
        <v>6.08E-2</v>
      </c>
      <c r="I207">
        <v>0</v>
      </c>
      <c r="J207" s="4" t="str">
        <f>IF(OR(Копия_20206[[#This Row],[Units (in 1000)]]&gt;$R$7,Копия_20206[[#This Row],[Units (in 1000)]]&lt;$R$6),"outlier","not outlier")</f>
        <v>not outlier</v>
      </c>
      <c r="K207" s="4" t="str">
        <f>IF(OR(Копия_20206[[#This Row],[Value (in 1000 rub)]]&gt;$S$7,Копия_20206[[#This Row],[Value (in 1000 rub)]]&lt;$S$6),"outlier","not outlier")</f>
        <v>not outlier</v>
      </c>
      <c r="L207" s="4" t="str">
        <f>IF(OR(Копия_20206[[#This Row],[Volume (in 1000 kg)]]&gt;$T$7,Копия_20206[[#This Row],[Volume (in 1000 kg)]]&lt;$T$6),"outlier","not outlier")</f>
        <v>not outlier</v>
      </c>
      <c r="M207" s="4" t="str">
        <f>IF(OR(Копия_20206[[#This Row],[Number of stores]]&gt;$U$7,Копия_20206[[#This Row],[Number of stores]]&lt;$U$6),"outlier","not outlier")</f>
        <v>not outlier</v>
      </c>
    </row>
    <row r="208" spans="1:13" x14ac:dyDescent="0.25">
      <c r="A208">
        <v>2020</v>
      </c>
      <c r="B208">
        <v>2</v>
      </c>
      <c r="C208" s="1" t="s">
        <v>29</v>
      </c>
      <c r="D208" s="1" t="s">
        <v>56</v>
      </c>
      <c r="E208" s="1" t="s">
        <v>12</v>
      </c>
      <c r="F208" s="5">
        <v>0.31929999999999997</v>
      </c>
      <c r="G208" s="5">
        <v>146.807534</v>
      </c>
      <c r="H208" s="5">
        <v>0.15970000000000001</v>
      </c>
      <c r="I208">
        <v>0</v>
      </c>
      <c r="J208" s="4" t="str">
        <f>IF(OR(Копия_20206[[#This Row],[Units (in 1000)]]&gt;$R$7,Копия_20206[[#This Row],[Units (in 1000)]]&lt;$R$6),"outlier","not outlier")</f>
        <v>not outlier</v>
      </c>
      <c r="K208" s="4" t="str">
        <f>IF(OR(Копия_20206[[#This Row],[Value (in 1000 rub)]]&gt;$S$7,Копия_20206[[#This Row],[Value (in 1000 rub)]]&lt;$S$6),"outlier","not outlier")</f>
        <v>not outlier</v>
      </c>
      <c r="L208" s="4" t="str">
        <f>IF(OR(Копия_20206[[#This Row],[Volume (in 1000 kg)]]&gt;$T$7,Копия_20206[[#This Row],[Volume (in 1000 kg)]]&lt;$T$6),"outlier","not outlier")</f>
        <v>not outlier</v>
      </c>
      <c r="M208" s="4" t="str">
        <f>IF(OR(Копия_20206[[#This Row],[Number of stores]]&gt;$U$7,Копия_20206[[#This Row],[Number of stores]]&lt;$U$6),"outlier","not outlier")</f>
        <v>not outlier</v>
      </c>
    </row>
    <row r="209" spans="1:13" x14ac:dyDescent="0.25">
      <c r="A209">
        <v>2020</v>
      </c>
      <c r="B209">
        <v>5</v>
      </c>
      <c r="C209" s="1" t="s">
        <v>29</v>
      </c>
      <c r="D209" s="1" t="s">
        <v>56</v>
      </c>
      <c r="E209" s="1" t="s">
        <v>35</v>
      </c>
      <c r="F209" s="5">
        <v>0.24979999999999999</v>
      </c>
      <c r="G209" s="5">
        <v>46.870564999999999</v>
      </c>
      <c r="H209" s="5">
        <v>8.2500000000000004E-2</v>
      </c>
      <c r="I209">
        <v>0</v>
      </c>
      <c r="J209" s="4" t="str">
        <f>IF(OR(Копия_20206[[#This Row],[Units (in 1000)]]&gt;$R$7,Копия_20206[[#This Row],[Units (in 1000)]]&lt;$R$6),"outlier","not outlier")</f>
        <v>not outlier</v>
      </c>
      <c r="K209" s="4" t="str">
        <f>IF(OR(Копия_20206[[#This Row],[Value (in 1000 rub)]]&gt;$S$7,Копия_20206[[#This Row],[Value (in 1000 rub)]]&lt;$S$6),"outlier","not outlier")</f>
        <v>not outlier</v>
      </c>
      <c r="L209" s="4" t="str">
        <f>IF(OR(Копия_20206[[#This Row],[Volume (in 1000 kg)]]&gt;$T$7,Копия_20206[[#This Row],[Volume (in 1000 kg)]]&lt;$T$6),"outlier","not outlier")</f>
        <v>not outlier</v>
      </c>
      <c r="M209" s="4" t="str">
        <f>IF(OR(Копия_20206[[#This Row],[Number of stores]]&gt;$U$7,Копия_20206[[#This Row],[Number of stores]]&lt;$U$6),"outlier","not outlier")</f>
        <v>not outlier</v>
      </c>
    </row>
    <row r="210" spans="1:13" x14ac:dyDescent="0.25">
      <c r="A210">
        <v>2020</v>
      </c>
      <c r="B210">
        <v>5</v>
      </c>
      <c r="C210" s="1" t="s">
        <v>29</v>
      </c>
      <c r="D210" s="1" t="s">
        <v>56</v>
      </c>
      <c r="E210" s="1" t="s">
        <v>12</v>
      </c>
      <c r="F210" s="5">
        <v>0.48520000000000002</v>
      </c>
      <c r="G210" s="5">
        <v>215.20880700000001</v>
      </c>
      <c r="H210" s="5">
        <v>0.24260000000000001</v>
      </c>
      <c r="I210">
        <v>0</v>
      </c>
      <c r="J210" s="4" t="str">
        <f>IF(OR(Копия_20206[[#This Row],[Units (in 1000)]]&gt;$R$7,Копия_20206[[#This Row],[Units (in 1000)]]&lt;$R$6),"outlier","not outlier")</f>
        <v>not outlier</v>
      </c>
      <c r="K210" s="4" t="str">
        <f>IF(OR(Копия_20206[[#This Row],[Value (in 1000 rub)]]&gt;$S$7,Копия_20206[[#This Row],[Value (in 1000 rub)]]&lt;$S$6),"outlier","not outlier")</f>
        <v>not outlier</v>
      </c>
      <c r="L210" s="4" t="str">
        <f>IF(OR(Копия_20206[[#This Row],[Volume (in 1000 kg)]]&gt;$T$7,Копия_20206[[#This Row],[Volume (in 1000 kg)]]&lt;$T$6),"outlier","not outlier")</f>
        <v>not outlier</v>
      </c>
      <c r="M210" s="4" t="str">
        <f>IF(OR(Копия_20206[[#This Row],[Number of stores]]&gt;$U$7,Копия_20206[[#This Row],[Number of stores]]&lt;$U$6),"outlier","not outlier")</f>
        <v>not outlier</v>
      </c>
    </row>
    <row r="211" spans="1:13" x14ac:dyDescent="0.25">
      <c r="A211">
        <v>2020</v>
      </c>
      <c r="B211">
        <v>6</v>
      </c>
      <c r="C211" s="1" t="s">
        <v>29</v>
      </c>
      <c r="D211" s="1" t="s">
        <v>56</v>
      </c>
      <c r="E211" s="1" t="s">
        <v>35</v>
      </c>
      <c r="F211" s="5">
        <v>0.12820000000000001</v>
      </c>
      <c r="G211" s="5">
        <v>24.489549</v>
      </c>
      <c r="H211" s="5">
        <v>4.2299999999999997E-2</v>
      </c>
      <c r="I211">
        <v>0</v>
      </c>
      <c r="J211" s="4" t="str">
        <f>IF(OR(Копия_20206[[#This Row],[Units (in 1000)]]&gt;$R$7,Копия_20206[[#This Row],[Units (in 1000)]]&lt;$R$6),"outlier","not outlier")</f>
        <v>not outlier</v>
      </c>
      <c r="K211" s="4" t="str">
        <f>IF(OR(Копия_20206[[#This Row],[Value (in 1000 rub)]]&gt;$S$7,Копия_20206[[#This Row],[Value (in 1000 rub)]]&lt;$S$6),"outlier","not outlier")</f>
        <v>not outlier</v>
      </c>
      <c r="L211" s="4" t="str">
        <f>IF(OR(Копия_20206[[#This Row],[Volume (in 1000 kg)]]&gt;$T$7,Копия_20206[[#This Row],[Volume (in 1000 kg)]]&lt;$T$6),"outlier","not outlier")</f>
        <v>not outlier</v>
      </c>
      <c r="M211" s="4" t="str">
        <f>IF(OR(Копия_20206[[#This Row],[Number of stores]]&gt;$U$7,Копия_20206[[#This Row],[Number of stores]]&lt;$U$6),"outlier","not outlier")</f>
        <v>not outlier</v>
      </c>
    </row>
    <row r="212" spans="1:13" x14ac:dyDescent="0.25">
      <c r="A212">
        <v>2020</v>
      </c>
      <c r="B212">
        <v>6</v>
      </c>
      <c r="C212" s="1" t="s">
        <v>29</v>
      </c>
      <c r="D212" s="1" t="s">
        <v>56</v>
      </c>
      <c r="E212" s="1" t="s">
        <v>12</v>
      </c>
      <c r="F212" s="5">
        <v>0.33360000000000001</v>
      </c>
      <c r="G212" s="5">
        <v>149.10901799999999</v>
      </c>
      <c r="H212" s="5">
        <v>0.16669999999999999</v>
      </c>
      <c r="I212">
        <v>0</v>
      </c>
      <c r="J212" s="4" t="str">
        <f>IF(OR(Копия_20206[[#This Row],[Units (in 1000)]]&gt;$R$7,Копия_20206[[#This Row],[Units (in 1000)]]&lt;$R$6),"outlier","not outlier")</f>
        <v>not outlier</v>
      </c>
      <c r="K212" s="4" t="str">
        <f>IF(OR(Копия_20206[[#This Row],[Value (in 1000 rub)]]&gt;$S$7,Копия_20206[[#This Row],[Value (in 1000 rub)]]&lt;$S$6),"outlier","not outlier")</f>
        <v>not outlier</v>
      </c>
      <c r="L212" s="4" t="str">
        <f>IF(OR(Копия_20206[[#This Row],[Volume (in 1000 kg)]]&gt;$T$7,Копия_20206[[#This Row],[Volume (in 1000 kg)]]&lt;$T$6),"outlier","not outlier")</f>
        <v>not outlier</v>
      </c>
      <c r="M212" s="4" t="str">
        <f>IF(OR(Копия_20206[[#This Row],[Number of stores]]&gt;$U$7,Копия_20206[[#This Row],[Number of stores]]&lt;$U$6),"outlier","not outlier")</f>
        <v>not outlier</v>
      </c>
    </row>
    <row r="213" spans="1:13" x14ac:dyDescent="0.25">
      <c r="A213">
        <v>2020</v>
      </c>
      <c r="B213">
        <v>8</v>
      </c>
      <c r="C213" s="1" t="s">
        <v>25</v>
      </c>
      <c r="D213" s="1" t="s">
        <v>26</v>
      </c>
      <c r="E213" s="1" t="s">
        <v>11</v>
      </c>
      <c r="F213" s="5">
        <v>1.589</v>
      </c>
      <c r="G213" s="5">
        <v>84.815140999999997</v>
      </c>
      <c r="H213" s="5">
        <v>0.55620000000000003</v>
      </c>
      <c r="I213">
        <v>243</v>
      </c>
      <c r="J213" s="4" t="str">
        <f>IF(OR(Копия_20206[[#This Row],[Units (in 1000)]]&gt;$R$7,Копия_20206[[#This Row],[Units (in 1000)]]&lt;$R$6),"outlier","not outlier")</f>
        <v>not outlier</v>
      </c>
      <c r="K213" s="4" t="str">
        <f>IF(OR(Копия_20206[[#This Row],[Value (in 1000 rub)]]&gt;$S$7,Копия_20206[[#This Row],[Value (in 1000 rub)]]&lt;$S$6),"outlier","not outlier")</f>
        <v>not outlier</v>
      </c>
      <c r="L213" s="4" t="str">
        <f>IF(OR(Копия_20206[[#This Row],[Volume (in 1000 kg)]]&gt;$T$7,Копия_20206[[#This Row],[Volume (in 1000 kg)]]&lt;$T$6),"outlier","not outlier")</f>
        <v>not outlier</v>
      </c>
      <c r="M213" s="4" t="str">
        <f>IF(OR(Копия_20206[[#This Row],[Number of stores]]&gt;$U$7,Копия_20206[[#This Row],[Number of stores]]&lt;$U$6),"outlier","not outlier")</f>
        <v>not outlier</v>
      </c>
    </row>
    <row r="214" spans="1:13" x14ac:dyDescent="0.25">
      <c r="A214">
        <v>2020</v>
      </c>
      <c r="B214">
        <v>10</v>
      </c>
      <c r="C214" s="1" t="s">
        <v>25</v>
      </c>
      <c r="D214" s="1" t="s">
        <v>26</v>
      </c>
      <c r="E214" s="1" t="s">
        <v>11</v>
      </c>
      <c r="F214" s="5">
        <v>2.9653999999999998</v>
      </c>
      <c r="G214" s="5">
        <v>165.08208300000001</v>
      </c>
      <c r="H214" s="5">
        <v>1.0379</v>
      </c>
      <c r="I214">
        <v>249</v>
      </c>
      <c r="J214" s="4" t="str">
        <f>IF(OR(Копия_20206[[#This Row],[Units (in 1000)]]&gt;$R$7,Копия_20206[[#This Row],[Units (in 1000)]]&lt;$R$6),"outlier","not outlier")</f>
        <v>not outlier</v>
      </c>
      <c r="K214" s="4" t="str">
        <f>IF(OR(Копия_20206[[#This Row],[Value (in 1000 rub)]]&gt;$S$7,Копия_20206[[#This Row],[Value (in 1000 rub)]]&lt;$S$6),"outlier","not outlier")</f>
        <v>not outlier</v>
      </c>
      <c r="L214" s="4" t="str">
        <f>IF(OR(Копия_20206[[#This Row],[Volume (in 1000 kg)]]&gt;$T$7,Копия_20206[[#This Row],[Volume (in 1000 kg)]]&lt;$T$6),"outlier","not outlier")</f>
        <v>not outlier</v>
      </c>
      <c r="M214" s="4" t="str">
        <f>IF(OR(Копия_20206[[#This Row],[Number of stores]]&gt;$U$7,Копия_20206[[#This Row],[Number of stores]]&lt;$U$6),"outlier","not outlier")</f>
        <v>not outlier</v>
      </c>
    </row>
    <row r="215" spans="1:13" x14ac:dyDescent="0.25">
      <c r="A215">
        <v>2020</v>
      </c>
      <c r="B215">
        <v>11</v>
      </c>
      <c r="C215" s="1" t="s">
        <v>25</v>
      </c>
      <c r="D215" s="1" t="s">
        <v>26</v>
      </c>
      <c r="E215" s="1" t="s">
        <v>11</v>
      </c>
      <c r="F215" s="5">
        <v>1.5108999999999999</v>
      </c>
      <c r="G215" s="5">
        <v>96.602635000000006</v>
      </c>
      <c r="H215" s="5">
        <v>0.52880000000000005</v>
      </c>
      <c r="I215">
        <v>245</v>
      </c>
      <c r="J215" s="4" t="str">
        <f>IF(OR(Копия_20206[[#This Row],[Units (in 1000)]]&gt;$R$7,Копия_20206[[#This Row],[Units (in 1000)]]&lt;$R$6),"outlier","not outlier")</f>
        <v>not outlier</v>
      </c>
      <c r="K215" s="4" t="str">
        <f>IF(OR(Копия_20206[[#This Row],[Value (in 1000 rub)]]&gt;$S$7,Копия_20206[[#This Row],[Value (in 1000 rub)]]&lt;$S$6),"outlier","not outlier")</f>
        <v>not outlier</v>
      </c>
      <c r="L215" s="4" t="str">
        <f>IF(OR(Копия_20206[[#This Row],[Volume (in 1000 kg)]]&gt;$T$7,Копия_20206[[#This Row],[Volume (in 1000 kg)]]&lt;$T$6),"outlier","not outlier")</f>
        <v>not outlier</v>
      </c>
      <c r="M215" s="4" t="str">
        <f>IF(OR(Копия_20206[[#This Row],[Number of stores]]&gt;$U$7,Копия_20206[[#This Row],[Number of stores]]&lt;$U$6),"outlier","not outlier")</f>
        <v>not outlier</v>
      </c>
    </row>
    <row r="216" spans="1:13" x14ac:dyDescent="0.25">
      <c r="A216">
        <v>2020</v>
      </c>
      <c r="B216">
        <v>12</v>
      </c>
      <c r="C216" s="1" t="s">
        <v>25</v>
      </c>
      <c r="D216" s="1" t="s">
        <v>26</v>
      </c>
      <c r="E216" s="1" t="s">
        <v>11</v>
      </c>
      <c r="F216" s="5">
        <v>0.68120000000000003</v>
      </c>
      <c r="G216" s="5">
        <v>60.933020999999997</v>
      </c>
      <c r="H216" s="5">
        <v>0.2384</v>
      </c>
      <c r="I216">
        <v>223</v>
      </c>
      <c r="J216" s="4" t="str">
        <f>IF(OR(Копия_20206[[#This Row],[Units (in 1000)]]&gt;$R$7,Копия_20206[[#This Row],[Units (in 1000)]]&lt;$R$6),"outlier","not outlier")</f>
        <v>not outlier</v>
      </c>
      <c r="K216" s="4" t="str">
        <f>IF(OR(Копия_20206[[#This Row],[Value (in 1000 rub)]]&gt;$S$7,Копия_20206[[#This Row],[Value (in 1000 rub)]]&lt;$S$6),"outlier","not outlier")</f>
        <v>not outlier</v>
      </c>
      <c r="L216" s="4" t="str">
        <f>IF(OR(Копия_20206[[#This Row],[Volume (in 1000 kg)]]&gt;$T$7,Копия_20206[[#This Row],[Volume (in 1000 kg)]]&lt;$T$6),"outlier","not outlier")</f>
        <v>not outlier</v>
      </c>
      <c r="M216" s="4" t="str">
        <f>IF(OR(Копия_20206[[#This Row],[Number of stores]]&gt;$U$7,Копия_20206[[#This Row],[Number of stores]]&lt;$U$6),"outlier","not outlier")</f>
        <v>not outlier</v>
      </c>
    </row>
    <row r="217" spans="1:13" x14ac:dyDescent="0.25">
      <c r="A217">
        <v>2020</v>
      </c>
      <c r="B217">
        <v>1</v>
      </c>
      <c r="C217" s="1" t="s">
        <v>8</v>
      </c>
      <c r="D217" s="1" t="s">
        <v>9</v>
      </c>
      <c r="E217" s="1" t="s">
        <v>10</v>
      </c>
      <c r="F217" s="5">
        <v>16.3202</v>
      </c>
      <c r="G217" s="5">
        <v>936.80341299999998</v>
      </c>
      <c r="H217" s="5">
        <v>3.4272</v>
      </c>
      <c r="I217">
        <v>477</v>
      </c>
      <c r="J217" s="4" t="str">
        <f>IF(OR(Копия_20206[[#This Row],[Units (in 1000)]]&gt;$R$7,Копия_20206[[#This Row],[Units (in 1000)]]&lt;$R$6),"outlier","not outlier")</f>
        <v>not outlier</v>
      </c>
      <c r="K217" s="4" t="str">
        <f>IF(OR(Копия_20206[[#This Row],[Value (in 1000 rub)]]&gt;$S$7,Копия_20206[[#This Row],[Value (in 1000 rub)]]&lt;$S$6),"outlier","not outlier")</f>
        <v>not outlier</v>
      </c>
      <c r="L217" s="4" t="str">
        <f>IF(OR(Копия_20206[[#This Row],[Volume (in 1000 kg)]]&gt;$T$7,Копия_20206[[#This Row],[Volume (in 1000 kg)]]&lt;$T$6),"outlier","not outlier")</f>
        <v>not outlier</v>
      </c>
      <c r="M217" s="4" t="str">
        <f>IF(OR(Копия_20206[[#This Row],[Number of stores]]&gt;$U$7,Копия_20206[[#This Row],[Number of stores]]&lt;$U$6),"outlier","not outlier")</f>
        <v>not outlier</v>
      </c>
    </row>
    <row r="218" spans="1:13" x14ac:dyDescent="0.25">
      <c r="A218">
        <v>2020</v>
      </c>
      <c r="B218">
        <v>1</v>
      </c>
      <c r="C218" s="1" t="s">
        <v>8</v>
      </c>
      <c r="D218" s="1" t="s">
        <v>9</v>
      </c>
      <c r="E218" s="1" t="s">
        <v>11</v>
      </c>
      <c r="F218" s="5">
        <v>87.863399999999999</v>
      </c>
      <c r="G218" s="5">
        <v>7019.1165080000001</v>
      </c>
      <c r="H218" s="5">
        <v>30.752199999999998</v>
      </c>
      <c r="I218">
        <v>754</v>
      </c>
      <c r="J218" s="4" t="str">
        <f>IF(OR(Копия_20206[[#This Row],[Units (in 1000)]]&gt;$R$7,Копия_20206[[#This Row],[Units (in 1000)]]&lt;$R$6),"outlier","not outlier")</f>
        <v>outlier</v>
      </c>
      <c r="K218" s="4" t="str">
        <f>IF(OR(Копия_20206[[#This Row],[Value (in 1000 rub)]]&gt;$S$7,Копия_20206[[#This Row],[Value (in 1000 rub)]]&lt;$S$6),"outlier","not outlier")</f>
        <v>outlier</v>
      </c>
      <c r="L218" s="4" t="str">
        <f>IF(OR(Копия_20206[[#This Row],[Volume (in 1000 kg)]]&gt;$T$7,Копия_20206[[#This Row],[Volume (in 1000 kg)]]&lt;$T$6),"outlier","not outlier")</f>
        <v>outlier</v>
      </c>
      <c r="M218" s="4" t="str">
        <f>IF(OR(Копия_20206[[#This Row],[Number of stores]]&gt;$U$7,Копия_20206[[#This Row],[Number of stores]]&lt;$U$6),"outlier","not outlier")</f>
        <v>not outlier</v>
      </c>
    </row>
    <row r="219" spans="1:13" x14ac:dyDescent="0.25">
      <c r="A219">
        <v>2020</v>
      </c>
      <c r="B219">
        <v>1</v>
      </c>
      <c r="C219" s="1" t="s">
        <v>8</v>
      </c>
      <c r="D219" s="1" t="s">
        <v>9</v>
      </c>
      <c r="E219" s="1" t="s">
        <v>12</v>
      </c>
      <c r="F219" s="5">
        <v>35.718200000000003</v>
      </c>
      <c r="G219" s="5">
        <v>4166.4537879999998</v>
      </c>
      <c r="H219" s="5">
        <v>17.859200000000001</v>
      </c>
      <c r="I219">
        <v>629</v>
      </c>
      <c r="J219" s="4" t="str">
        <f>IF(OR(Копия_20206[[#This Row],[Units (in 1000)]]&gt;$R$7,Копия_20206[[#This Row],[Units (in 1000)]]&lt;$R$6),"outlier","not outlier")</f>
        <v>outlier</v>
      </c>
      <c r="K219" s="4" t="str">
        <f>IF(OR(Копия_20206[[#This Row],[Value (in 1000 rub)]]&gt;$S$7,Копия_20206[[#This Row],[Value (in 1000 rub)]]&lt;$S$6),"outlier","not outlier")</f>
        <v>outlier</v>
      </c>
      <c r="L219" s="4" t="str">
        <f>IF(OR(Копия_20206[[#This Row],[Volume (in 1000 kg)]]&gt;$T$7,Копия_20206[[#This Row],[Volume (in 1000 kg)]]&lt;$T$6),"outlier","not outlier")</f>
        <v>outlier</v>
      </c>
      <c r="M219" s="4" t="str">
        <f>IF(OR(Копия_20206[[#This Row],[Number of stores]]&gt;$U$7,Копия_20206[[#This Row],[Number of stores]]&lt;$U$6),"outlier","not outlier")</f>
        <v>not outlier</v>
      </c>
    </row>
    <row r="220" spans="1:13" x14ac:dyDescent="0.25">
      <c r="A220">
        <v>2020</v>
      </c>
      <c r="B220">
        <v>1</v>
      </c>
      <c r="C220" s="1" t="s">
        <v>8</v>
      </c>
      <c r="D220" s="1" t="s">
        <v>9</v>
      </c>
      <c r="E220" s="1" t="s">
        <v>13</v>
      </c>
      <c r="F220" s="5">
        <v>0.35799999999999998</v>
      </c>
      <c r="G220" s="5">
        <v>66.387690000000006</v>
      </c>
      <c r="H220" s="5">
        <v>0.26850000000000002</v>
      </c>
      <c r="I220">
        <v>29</v>
      </c>
      <c r="J220" s="4" t="str">
        <f>IF(OR(Копия_20206[[#This Row],[Units (in 1000)]]&gt;$R$7,Копия_20206[[#This Row],[Units (in 1000)]]&lt;$R$6),"outlier","not outlier")</f>
        <v>not outlier</v>
      </c>
      <c r="K220" s="4" t="str">
        <f>IF(OR(Копия_20206[[#This Row],[Value (in 1000 rub)]]&gt;$S$7,Копия_20206[[#This Row],[Value (in 1000 rub)]]&lt;$S$6),"outlier","not outlier")</f>
        <v>not outlier</v>
      </c>
      <c r="L220" s="4" t="str">
        <f>IF(OR(Копия_20206[[#This Row],[Volume (in 1000 kg)]]&gt;$T$7,Копия_20206[[#This Row],[Volume (in 1000 kg)]]&lt;$T$6),"outlier","not outlier")</f>
        <v>not outlier</v>
      </c>
      <c r="M220" s="4" t="str">
        <f>IF(OR(Копия_20206[[#This Row],[Number of stores]]&gt;$U$7,Копия_20206[[#This Row],[Number of stores]]&lt;$U$6),"outlier","not outlier")</f>
        <v>not outlier</v>
      </c>
    </row>
    <row r="221" spans="1:13" x14ac:dyDescent="0.25">
      <c r="A221">
        <v>2020</v>
      </c>
      <c r="B221">
        <v>1</v>
      </c>
      <c r="C221" s="1" t="s">
        <v>25</v>
      </c>
      <c r="D221" s="1" t="s">
        <v>9</v>
      </c>
      <c r="E221" s="1" t="s">
        <v>10</v>
      </c>
      <c r="F221" s="5">
        <v>66.722499999999997</v>
      </c>
      <c r="G221" s="5">
        <v>4050.03638</v>
      </c>
      <c r="H221" s="5">
        <v>14.011699999999999</v>
      </c>
      <c r="I221">
        <v>7561</v>
      </c>
      <c r="J221" s="4" t="str">
        <f>IF(OR(Копия_20206[[#This Row],[Units (in 1000)]]&gt;$R$7,Копия_20206[[#This Row],[Units (in 1000)]]&lt;$R$6),"outlier","not outlier")</f>
        <v>outlier</v>
      </c>
      <c r="K221" s="4" t="str">
        <f>IF(OR(Копия_20206[[#This Row],[Value (in 1000 rub)]]&gt;$S$7,Копия_20206[[#This Row],[Value (in 1000 rub)]]&lt;$S$6),"outlier","not outlier")</f>
        <v>outlier</v>
      </c>
      <c r="L221" s="4" t="str">
        <f>IF(OR(Копия_20206[[#This Row],[Volume (in 1000 kg)]]&gt;$T$7,Копия_20206[[#This Row],[Volume (in 1000 kg)]]&lt;$T$6),"outlier","not outlier")</f>
        <v>outlier</v>
      </c>
      <c r="M221" s="4" t="str">
        <f>IF(OR(Копия_20206[[#This Row],[Number of stores]]&gt;$U$7,Копия_20206[[#This Row],[Number of stores]]&lt;$U$6),"outlier","not outlier")</f>
        <v>outlier</v>
      </c>
    </row>
    <row r="222" spans="1:13" x14ac:dyDescent="0.25">
      <c r="A222">
        <v>2020</v>
      </c>
      <c r="B222">
        <v>1</v>
      </c>
      <c r="C222" s="1" t="s">
        <v>25</v>
      </c>
      <c r="D222" s="1" t="s">
        <v>9</v>
      </c>
      <c r="E222" s="1" t="s">
        <v>35</v>
      </c>
      <c r="F222" s="5">
        <v>1.2999999999999999E-3</v>
      </c>
      <c r="G222" s="5">
        <v>0.13499900000000001</v>
      </c>
      <c r="H222" s="5">
        <v>4.0000000000000002E-4</v>
      </c>
      <c r="I222">
        <v>1</v>
      </c>
      <c r="J222" s="4" t="str">
        <f>IF(OR(Копия_20206[[#This Row],[Units (in 1000)]]&gt;$R$7,Копия_20206[[#This Row],[Units (in 1000)]]&lt;$R$6),"outlier","not outlier")</f>
        <v>not outlier</v>
      </c>
      <c r="K222" s="4" t="str">
        <f>IF(OR(Копия_20206[[#This Row],[Value (in 1000 rub)]]&gt;$S$7,Копия_20206[[#This Row],[Value (in 1000 rub)]]&lt;$S$6),"outlier","not outlier")</f>
        <v>not outlier</v>
      </c>
      <c r="L222" s="4" t="str">
        <f>IF(OR(Копия_20206[[#This Row],[Volume (in 1000 kg)]]&gt;$T$7,Копия_20206[[#This Row],[Volume (in 1000 kg)]]&lt;$T$6),"outlier","not outlier")</f>
        <v>not outlier</v>
      </c>
      <c r="M222" s="4" t="str">
        <f>IF(OR(Копия_20206[[#This Row],[Number of stores]]&gt;$U$7,Копия_20206[[#This Row],[Number of stores]]&lt;$U$6),"outlier","not outlier")</f>
        <v>not outlier</v>
      </c>
    </row>
    <row r="223" spans="1:13" x14ac:dyDescent="0.25">
      <c r="A223">
        <v>2020</v>
      </c>
      <c r="B223">
        <v>1</v>
      </c>
      <c r="C223" s="1" t="s">
        <v>25</v>
      </c>
      <c r="D223" s="1" t="s">
        <v>9</v>
      </c>
      <c r="E223" s="1" t="s">
        <v>11</v>
      </c>
      <c r="F223" s="5">
        <v>77.969800000000006</v>
      </c>
      <c r="G223" s="5">
        <v>7036.2551679999997</v>
      </c>
      <c r="H223" s="5">
        <v>27.289400000000001</v>
      </c>
      <c r="I223">
        <v>8754</v>
      </c>
      <c r="J223" s="4" t="str">
        <f>IF(OR(Копия_20206[[#This Row],[Units (in 1000)]]&gt;$R$7,Копия_20206[[#This Row],[Units (in 1000)]]&lt;$R$6),"outlier","not outlier")</f>
        <v>outlier</v>
      </c>
      <c r="K223" s="4" t="str">
        <f>IF(OR(Копия_20206[[#This Row],[Value (in 1000 rub)]]&gt;$S$7,Копия_20206[[#This Row],[Value (in 1000 rub)]]&lt;$S$6),"outlier","not outlier")</f>
        <v>outlier</v>
      </c>
      <c r="L223" s="4" t="str">
        <f>IF(OR(Копия_20206[[#This Row],[Volume (in 1000 kg)]]&gt;$T$7,Копия_20206[[#This Row],[Volume (in 1000 kg)]]&lt;$T$6),"outlier","not outlier")</f>
        <v>outlier</v>
      </c>
      <c r="M223" s="4" t="str">
        <f>IF(OR(Копия_20206[[#This Row],[Number of stores]]&gt;$U$7,Копия_20206[[#This Row],[Number of stores]]&lt;$U$6),"outlier","not outlier")</f>
        <v>outlier</v>
      </c>
    </row>
    <row r="224" spans="1:13" x14ac:dyDescent="0.25">
      <c r="A224">
        <v>2020</v>
      </c>
      <c r="B224">
        <v>1</v>
      </c>
      <c r="C224" s="1" t="s">
        <v>25</v>
      </c>
      <c r="D224" s="1" t="s">
        <v>9</v>
      </c>
      <c r="E224" s="1" t="s">
        <v>12</v>
      </c>
      <c r="F224" s="5">
        <v>7.8609999999999998</v>
      </c>
      <c r="G224" s="5">
        <v>1087.9695099999999</v>
      </c>
      <c r="H224" s="5">
        <v>3.9304000000000001</v>
      </c>
      <c r="I224">
        <v>1426</v>
      </c>
      <c r="J224" s="4" t="str">
        <f>IF(OR(Копия_20206[[#This Row],[Units (in 1000)]]&gt;$R$7,Копия_20206[[#This Row],[Units (in 1000)]]&lt;$R$6),"outlier","not outlier")</f>
        <v>not outlier</v>
      </c>
      <c r="K224" s="4" t="str">
        <f>IF(OR(Копия_20206[[#This Row],[Value (in 1000 rub)]]&gt;$S$7,Копия_20206[[#This Row],[Value (in 1000 rub)]]&lt;$S$6),"outlier","not outlier")</f>
        <v>not outlier</v>
      </c>
      <c r="L224" s="4" t="str">
        <f>IF(OR(Копия_20206[[#This Row],[Volume (in 1000 kg)]]&gt;$T$7,Копия_20206[[#This Row],[Volume (in 1000 kg)]]&lt;$T$6),"outlier","not outlier")</f>
        <v>not outlier</v>
      </c>
      <c r="M224" s="4" t="str">
        <f>IF(OR(Копия_20206[[#This Row],[Number of stores]]&gt;$U$7,Копия_20206[[#This Row],[Number of stores]]&lt;$U$6),"outlier","not outlier")</f>
        <v>not outlier</v>
      </c>
    </row>
    <row r="225" spans="1:13" x14ac:dyDescent="0.25">
      <c r="A225">
        <v>2020</v>
      </c>
      <c r="B225">
        <v>1</v>
      </c>
      <c r="C225" s="1" t="s">
        <v>25</v>
      </c>
      <c r="D225" s="1" t="s">
        <v>9</v>
      </c>
      <c r="E225" s="1" t="s">
        <v>13</v>
      </c>
      <c r="F225" s="5">
        <v>0.60250000000000004</v>
      </c>
      <c r="G225" s="5">
        <v>109.493529</v>
      </c>
      <c r="H225" s="5">
        <v>0.45179999999999998</v>
      </c>
      <c r="I225">
        <v>277</v>
      </c>
      <c r="J225" s="4" t="str">
        <f>IF(OR(Копия_20206[[#This Row],[Units (in 1000)]]&gt;$R$7,Копия_20206[[#This Row],[Units (in 1000)]]&lt;$R$6),"outlier","not outlier")</f>
        <v>not outlier</v>
      </c>
      <c r="K225" s="4" t="str">
        <f>IF(OR(Копия_20206[[#This Row],[Value (in 1000 rub)]]&gt;$S$7,Копия_20206[[#This Row],[Value (in 1000 rub)]]&lt;$S$6),"outlier","not outlier")</f>
        <v>not outlier</v>
      </c>
      <c r="L225" s="4" t="str">
        <f>IF(OR(Копия_20206[[#This Row],[Volume (in 1000 kg)]]&gt;$T$7,Копия_20206[[#This Row],[Volume (in 1000 kg)]]&lt;$T$6),"outlier","not outlier")</f>
        <v>not outlier</v>
      </c>
      <c r="M225" s="4" t="str">
        <f>IF(OR(Копия_20206[[#This Row],[Number of stores]]&gt;$U$7,Копия_20206[[#This Row],[Number of stores]]&lt;$U$6),"outlier","not outlier")</f>
        <v>not outlier</v>
      </c>
    </row>
    <row r="226" spans="1:13" x14ac:dyDescent="0.25">
      <c r="A226">
        <v>2020</v>
      </c>
      <c r="B226">
        <v>1</v>
      </c>
      <c r="C226" s="1" t="s">
        <v>29</v>
      </c>
      <c r="D226" s="1" t="s">
        <v>9</v>
      </c>
      <c r="E226" s="1" t="s">
        <v>10</v>
      </c>
      <c r="F226" s="5">
        <v>173.1694</v>
      </c>
      <c r="G226" s="5">
        <v>8930.8731939999998</v>
      </c>
      <c r="H226" s="5">
        <v>36.365499999999997</v>
      </c>
      <c r="I226">
        <v>10568</v>
      </c>
      <c r="J226" s="4" t="str">
        <f>IF(OR(Копия_20206[[#This Row],[Units (in 1000)]]&gt;$R$7,Копия_20206[[#This Row],[Units (in 1000)]]&lt;$R$6),"outlier","not outlier")</f>
        <v>outlier</v>
      </c>
      <c r="K226" s="4" t="str">
        <f>IF(OR(Копия_20206[[#This Row],[Value (in 1000 rub)]]&gt;$S$7,Копия_20206[[#This Row],[Value (in 1000 rub)]]&lt;$S$6),"outlier","not outlier")</f>
        <v>outlier</v>
      </c>
      <c r="L226" s="4" t="str">
        <f>IF(OR(Копия_20206[[#This Row],[Volume (in 1000 kg)]]&gt;$T$7,Копия_20206[[#This Row],[Volume (in 1000 kg)]]&lt;$T$6),"outlier","not outlier")</f>
        <v>outlier</v>
      </c>
      <c r="M226" s="4" t="str">
        <f>IF(OR(Копия_20206[[#This Row],[Number of stores]]&gt;$U$7,Копия_20206[[#This Row],[Number of stores]]&lt;$U$6),"outlier","not outlier")</f>
        <v>outlier</v>
      </c>
    </row>
    <row r="227" spans="1:13" x14ac:dyDescent="0.25">
      <c r="A227">
        <v>2020</v>
      </c>
      <c r="B227">
        <v>1</v>
      </c>
      <c r="C227" s="1" t="s">
        <v>29</v>
      </c>
      <c r="D227" s="1" t="s">
        <v>9</v>
      </c>
      <c r="E227" s="1" t="s">
        <v>11</v>
      </c>
      <c r="F227" s="5">
        <v>109.4041</v>
      </c>
      <c r="G227" s="5">
        <v>9457.3964120000001</v>
      </c>
      <c r="H227" s="5">
        <v>38.291400000000003</v>
      </c>
      <c r="I227">
        <v>8553</v>
      </c>
      <c r="J227" s="4" t="str">
        <f>IF(OR(Копия_20206[[#This Row],[Units (in 1000)]]&gt;$R$7,Копия_20206[[#This Row],[Units (in 1000)]]&lt;$R$6),"outlier","not outlier")</f>
        <v>outlier</v>
      </c>
      <c r="K227" s="4" t="str">
        <f>IF(OR(Копия_20206[[#This Row],[Value (in 1000 rub)]]&gt;$S$7,Копия_20206[[#This Row],[Value (in 1000 rub)]]&lt;$S$6),"outlier","not outlier")</f>
        <v>outlier</v>
      </c>
      <c r="L227" s="4" t="str">
        <f>IF(OR(Копия_20206[[#This Row],[Volume (in 1000 kg)]]&gt;$T$7,Копия_20206[[#This Row],[Volume (in 1000 kg)]]&lt;$T$6),"outlier","not outlier")</f>
        <v>outlier</v>
      </c>
      <c r="M227" s="4" t="str">
        <f>IF(OR(Копия_20206[[#This Row],[Number of stores]]&gt;$U$7,Копия_20206[[#This Row],[Number of stores]]&lt;$U$6),"outlier","not outlier")</f>
        <v>outlier</v>
      </c>
    </row>
    <row r="228" spans="1:13" x14ac:dyDescent="0.25">
      <c r="A228">
        <v>2020</v>
      </c>
      <c r="B228">
        <v>1</v>
      </c>
      <c r="C228" s="1" t="s">
        <v>29</v>
      </c>
      <c r="D228" s="1" t="s">
        <v>9</v>
      </c>
      <c r="E228" s="1" t="s">
        <v>12</v>
      </c>
      <c r="F228" s="5">
        <v>41.831800000000001</v>
      </c>
      <c r="G228" s="5">
        <v>4901.0809179999997</v>
      </c>
      <c r="H228" s="5">
        <v>20.916</v>
      </c>
      <c r="I228">
        <v>2638</v>
      </c>
      <c r="J228" s="4" t="str">
        <f>IF(OR(Копия_20206[[#This Row],[Units (in 1000)]]&gt;$R$7,Копия_20206[[#This Row],[Units (in 1000)]]&lt;$R$6),"outlier","not outlier")</f>
        <v>outlier</v>
      </c>
      <c r="K228" s="4" t="str">
        <f>IF(OR(Копия_20206[[#This Row],[Value (in 1000 rub)]]&gt;$S$7,Копия_20206[[#This Row],[Value (in 1000 rub)]]&lt;$S$6),"outlier","not outlier")</f>
        <v>outlier</v>
      </c>
      <c r="L228" s="4" t="str">
        <f>IF(OR(Копия_20206[[#This Row],[Volume (in 1000 kg)]]&gt;$T$7,Копия_20206[[#This Row],[Volume (in 1000 kg)]]&lt;$T$6),"outlier","not outlier")</f>
        <v>outlier</v>
      </c>
      <c r="M228" s="4" t="str">
        <f>IF(OR(Копия_20206[[#This Row],[Number of stores]]&gt;$U$7,Копия_20206[[#This Row],[Number of stores]]&lt;$U$6),"outlier","not outlier")</f>
        <v>not outlier</v>
      </c>
    </row>
    <row r="229" spans="1:13" x14ac:dyDescent="0.25">
      <c r="A229">
        <v>2020</v>
      </c>
      <c r="B229">
        <v>1</v>
      </c>
      <c r="C229" s="1" t="s">
        <v>29</v>
      </c>
      <c r="D229" s="1" t="s">
        <v>9</v>
      </c>
      <c r="E229" s="1" t="s">
        <v>13</v>
      </c>
      <c r="F229" s="5">
        <v>8.0699999999999994E-2</v>
      </c>
      <c r="G229" s="5">
        <v>15.311662</v>
      </c>
      <c r="H229" s="5">
        <v>6.0499999999999998E-2</v>
      </c>
      <c r="I229">
        <v>53</v>
      </c>
      <c r="J229" s="4" t="str">
        <f>IF(OR(Копия_20206[[#This Row],[Units (in 1000)]]&gt;$R$7,Копия_20206[[#This Row],[Units (in 1000)]]&lt;$R$6),"outlier","not outlier")</f>
        <v>not outlier</v>
      </c>
      <c r="K229" s="4" t="str">
        <f>IF(OR(Копия_20206[[#This Row],[Value (in 1000 rub)]]&gt;$S$7,Копия_20206[[#This Row],[Value (in 1000 rub)]]&lt;$S$6),"outlier","not outlier")</f>
        <v>not outlier</v>
      </c>
      <c r="L229" s="4" t="str">
        <f>IF(OR(Копия_20206[[#This Row],[Volume (in 1000 kg)]]&gt;$T$7,Копия_20206[[#This Row],[Volume (in 1000 kg)]]&lt;$T$6),"outlier","not outlier")</f>
        <v>not outlier</v>
      </c>
      <c r="M229" s="4" t="str">
        <f>IF(OR(Копия_20206[[#This Row],[Number of stores]]&gt;$U$7,Копия_20206[[#This Row],[Number of stores]]&lt;$U$6),"outlier","not outlier")</f>
        <v>not outlier</v>
      </c>
    </row>
    <row r="230" spans="1:13" x14ac:dyDescent="0.25">
      <c r="A230">
        <v>2020</v>
      </c>
      <c r="B230">
        <v>2</v>
      </c>
      <c r="C230" s="1" t="s">
        <v>8</v>
      </c>
      <c r="D230" s="1" t="s">
        <v>9</v>
      </c>
      <c r="E230" s="1" t="s">
        <v>10</v>
      </c>
      <c r="F230" s="5">
        <v>15.4443</v>
      </c>
      <c r="G230" s="5">
        <v>902.02130599999998</v>
      </c>
      <c r="H230" s="5">
        <v>3.2433000000000001</v>
      </c>
      <c r="I230">
        <v>479</v>
      </c>
      <c r="J230" s="4" t="str">
        <f>IF(OR(Копия_20206[[#This Row],[Units (in 1000)]]&gt;$R$7,Копия_20206[[#This Row],[Units (in 1000)]]&lt;$R$6),"outlier","not outlier")</f>
        <v>not outlier</v>
      </c>
      <c r="K230" s="4" t="str">
        <f>IF(OR(Копия_20206[[#This Row],[Value (in 1000 rub)]]&gt;$S$7,Копия_20206[[#This Row],[Value (in 1000 rub)]]&lt;$S$6),"outlier","not outlier")</f>
        <v>not outlier</v>
      </c>
      <c r="L230" s="4" t="str">
        <f>IF(OR(Копия_20206[[#This Row],[Volume (in 1000 kg)]]&gt;$T$7,Копия_20206[[#This Row],[Volume (in 1000 kg)]]&lt;$T$6),"outlier","not outlier")</f>
        <v>not outlier</v>
      </c>
      <c r="M230" s="4" t="str">
        <f>IF(OR(Копия_20206[[#This Row],[Number of stores]]&gt;$U$7,Копия_20206[[#This Row],[Number of stores]]&lt;$U$6),"outlier","not outlier")</f>
        <v>not outlier</v>
      </c>
    </row>
    <row r="231" spans="1:13" x14ac:dyDescent="0.25">
      <c r="A231">
        <v>2020</v>
      </c>
      <c r="B231">
        <v>2</v>
      </c>
      <c r="C231" s="1" t="s">
        <v>8</v>
      </c>
      <c r="D231" s="1" t="s">
        <v>9</v>
      </c>
      <c r="E231" s="1" t="s">
        <v>11</v>
      </c>
      <c r="F231" s="5">
        <v>61.994500000000002</v>
      </c>
      <c r="G231" s="5">
        <v>5267.6876940000002</v>
      </c>
      <c r="H231" s="5">
        <v>21.6982</v>
      </c>
      <c r="I231">
        <v>771</v>
      </c>
      <c r="J231" s="4" t="str">
        <f>IF(OR(Копия_20206[[#This Row],[Units (in 1000)]]&gt;$R$7,Копия_20206[[#This Row],[Units (in 1000)]]&lt;$R$6),"outlier","not outlier")</f>
        <v>outlier</v>
      </c>
      <c r="K231" s="4" t="str">
        <f>IF(OR(Копия_20206[[#This Row],[Value (in 1000 rub)]]&gt;$S$7,Копия_20206[[#This Row],[Value (in 1000 rub)]]&lt;$S$6),"outlier","not outlier")</f>
        <v>outlier</v>
      </c>
      <c r="L231" s="4" t="str">
        <f>IF(OR(Копия_20206[[#This Row],[Volume (in 1000 kg)]]&gt;$T$7,Копия_20206[[#This Row],[Volume (in 1000 kg)]]&lt;$T$6),"outlier","not outlier")</f>
        <v>outlier</v>
      </c>
      <c r="M231" s="4" t="str">
        <f>IF(OR(Копия_20206[[#This Row],[Number of stores]]&gt;$U$7,Копия_20206[[#This Row],[Number of stores]]&lt;$U$6),"outlier","not outlier")</f>
        <v>not outlier</v>
      </c>
    </row>
    <row r="232" spans="1:13" x14ac:dyDescent="0.25">
      <c r="A232">
        <v>2020</v>
      </c>
      <c r="B232">
        <v>2</v>
      </c>
      <c r="C232" s="1" t="s">
        <v>8</v>
      </c>
      <c r="D232" s="1" t="s">
        <v>9</v>
      </c>
      <c r="E232" s="1" t="s">
        <v>12</v>
      </c>
      <c r="F232" s="5">
        <v>52.065300000000001</v>
      </c>
      <c r="G232" s="5">
        <v>5737.7989699999998</v>
      </c>
      <c r="H232" s="5">
        <v>26.032800000000002</v>
      </c>
      <c r="I232">
        <v>648</v>
      </c>
      <c r="J232" s="4" t="str">
        <f>IF(OR(Копия_20206[[#This Row],[Units (in 1000)]]&gt;$R$7,Копия_20206[[#This Row],[Units (in 1000)]]&lt;$R$6),"outlier","not outlier")</f>
        <v>outlier</v>
      </c>
      <c r="K232" s="4" t="str">
        <f>IF(OR(Копия_20206[[#This Row],[Value (in 1000 rub)]]&gt;$S$7,Копия_20206[[#This Row],[Value (in 1000 rub)]]&lt;$S$6),"outlier","not outlier")</f>
        <v>outlier</v>
      </c>
      <c r="L232" s="4" t="str">
        <f>IF(OR(Копия_20206[[#This Row],[Volume (in 1000 kg)]]&gt;$T$7,Копия_20206[[#This Row],[Volume (in 1000 kg)]]&lt;$T$6),"outlier","not outlier")</f>
        <v>outlier</v>
      </c>
      <c r="M232" s="4" t="str">
        <f>IF(OR(Копия_20206[[#This Row],[Number of stores]]&gt;$U$7,Копия_20206[[#This Row],[Number of stores]]&lt;$U$6),"outlier","not outlier")</f>
        <v>not outlier</v>
      </c>
    </row>
    <row r="233" spans="1:13" x14ac:dyDescent="0.25">
      <c r="A233">
        <v>2020</v>
      </c>
      <c r="B233">
        <v>2</v>
      </c>
      <c r="C233" s="1" t="s">
        <v>8</v>
      </c>
      <c r="D233" s="1" t="s">
        <v>9</v>
      </c>
      <c r="E233" s="1" t="s">
        <v>13</v>
      </c>
      <c r="F233" s="5">
        <v>0.32700000000000001</v>
      </c>
      <c r="G233" s="5">
        <v>61.337885999999997</v>
      </c>
      <c r="H233" s="5">
        <v>0.24529999999999999</v>
      </c>
      <c r="I233">
        <v>23</v>
      </c>
      <c r="J233" s="4" t="str">
        <f>IF(OR(Копия_20206[[#This Row],[Units (in 1000)]]&gt;$R$7,Копия_20206[[#This Row],[Units (in 1000)]]&lt;$R$6),"outlier","not outlier")</f>
        <v>not outlier</v>
      </c>
      <c r="K233" s="4" t="str">
        <f>IF(OR(Копия_20206[[#This Row],[Value (in 1000 rub)]]&gt;$S$7,Копия_20206[[#This Row],[Value (in 1000 rub)]]&lt;$S$6),"outlier","not outlier")</f>
        <v>not outlier</v>
      </c>
      <c r="L233" s="4" t="str">
        <f>IF(OR(Копия_20206[[#This Row],[Volume (in 1000 kg)]]&gt;$T$7,Копия_20206[[#This Row],[Volume (in 1000 kg)]]&lt;$T$6),"outlier","not outlier")</f>
        <v>not outlier</v>
      </c>
      <c r="M233" s="4" t="str">
        <f>IF(OR(Копия_20206[[#This Row],[Number of stores]]&gt;$U$7,Копия_20206[[#This Row],[Number of stores]]&lt;$U$6),"outlier","not outlier")</f>
        <v>not outlier</v>
      </c>
    </row>
    <row r="234" spans="1:13" x14ac:dyDescent="0.25">
      <c r="A234">
        <v>2020</v>
      </c>
      <c r="B234">
        <v>2</v>
      </c>
      <c r="C234" s="1" t="s">
        <v>25</v>
      </c>
      <c r="D234" s="1" t="s">
        <v>9</v>
      </c>
      <c r="E234" s="1" t="s">
        <v>10</v>
      </c>
      <c r="F234" s="5">
        <v>67.519499999999994</v>
      </c>
      <c r="G234" s="5">
        <v>3973.2431459999998</v>
      </c>
      <c r="H234" s="5">
        <v>14.1791</v>
      </c>
      <c r="I234">
        <v>8031</v>
      </c>
      <c r="J234" s="4" t="str">
        <f>IF(OR(Копия_20206[[#This Row],[Units (in 1000)]]&gt;$R$7,Копия_20206[[#This Row],[Units (in 1000)]]&lt;$R$6),"outlier","not outlier")</f>
        <v>outlier</v>
      </c>
      <c r="K234" s="4" t="str">
        <f>IF(OR(Копия_20206[[#This Row],[Value (in 1000 rub)]]&gt;$S$7,Копия_20206[[#This Row],[Value (in 1000 rub)]]&lt;$S$6),"outlier","not outlier")</f>
        <v>outlier</v>
      </c>
      <c r="L234" s="4" t="str">
        <f>IF(OR(Копия_20206[[#This Row],[Volume (in 1000 kg)]]&gt;$T$7,Копия_20206[[#This Row],[Volume (in 1000 kg)]]&lt;$T$6),"outlier","not outlier")</f>
        <v>outlier</v>
      </c>
      <c r="M234" s="4" t="str">
        <f>IF(OR(Копия_20206[[#This Row],[Number of stores]]&gt;$U$7,Копия_20206[[#This Row],[Number of stores]]&lt;$U$6),"outlier","not outlier")</f>
        <v>outlier</v>
      </c>
    </row>
    <row r="235" spans="1:13" x14ac:dyDescent="0.25">
      <c r="A235">
        <v>2020</v>
      </c>
      <c r="B235">
        <v>2</v>
      </c>
      <c r="C235" s="1" t="s">
        <v>25</v>
      </c>
      <c r="D235" s="1" t="s">
        <v>9</v>
      </c>
      <c r="E235" s="1" t="s">
        <v>35</v>
      </c>
      <c r="F235" s="5">
        <v>3.2599999999999997E-2</v>
      </c>
      <c r="G235" s="5">
        <v>2.7249140000000001</v>
      </c>
      <c r="H235" s="5">
        <v>1.04E-2</v>
      </c>
      <c r="I235">
        <v>16</v>
      </c>
      <c r="J235" s="4" t="str">
        <f>IF(OR(Копия_20206[[#This Row],[Units (in 1000)]]&gt;$R$7,Копия_20206[[#This Row],[Units (in 1000)]]&lt;$R$6),"outlier","not outlier")</f>
        <v>not outlier</v>
      </c>
      <c r="K235" s="4" t="str">
        <f>IF(OR(Копия_20206[[#This Row],[Value (in 1000 rub)]]&gt;$S$7,Копия_20206[[#This Row],[Value (in 1000 rub)]]&lt;$S$6),"outlier","not outlier")</f>
        <v>not outlier</v>
      </c>
      <c r="L235" s="4" t="str">
        <f>IF(OR(Копия_20206[[#This Row],[Volume (in 1000 kg)]]&gt;$T$7,Копия_20206[[#This Row],[Volume (in 1000 kg)]]&lt;$T$6),"outlier","not outlier")</f>
        <v>not outlier</v>
      </c>
      <c r="M235" s="4" t="str">
        <f>IF(OR(Копия_20206[[#This Row],[Number of stores]]&gt;$U$7,Копия_20206[[#This Row],[Number of stores]]&lt;$U$6),"outlier","not outlier")</f>
        <v>not outlier</v>
      </c>
    </row>
    <row r="236" spans="1:13" x14ac:dyDescent="0.25">
      <c r="A236">
        <v>2020</v>
      </c>
      <c r="B236">
        <v>2</v>
      </c>
      <c r="C236" s="1" t="s">
        <v>25</v>
      </c>
      <c r="D236" s="1" t="s">
        <v>9</v>
      </c>
      <c r="E236" s="1" t="s">
        <v>11</v>
      </c>
      <c r="F236" s="5">
        <v>74.313699999999997</v>
      </c>
      <c r="G236" s="5">
        <v>6994.827867</v>
      </c>
      <c r="H236" s="5">
        <v>26.009699999999999</v>
      </c>
      <c r="I236">
        <v>9400</v>
      </c>
      <c r="J236" s="4" t="str">
        <f>IF(OR(Копия_20206[[#This Row],[Units (in 1000)]]&gt;$R$7,Копия_20206[[#This Row],[Units (in 1000)]]&lt;$R$6),"outlier","not outlier")</f>
        <v>outlier</v>
      </c>
      <c r="K236" s="4" t="str">
        <f>IF(OR(Копия_20206[[#This Row],[Value (in 1000 rub)]]&gt;$S$7,Копия_20206[[#This Row],[Value (in 1000 rub)]]&lt;$S$6),"outlier","not outlier")</f>
        <v>outlier</v>
      </c>
      <c r="L236" s="4" t="str">
        <f>IF(OR(Копия_20206[[#This Row],[Volume (in 1000 kg)]]&gt;$T$7,Копия_20206[[#This Row],[Volume (in 1000 kg)]]&lt;$T$6),"outlier","not outlier")</f>
        <v>outlier</v>
      </c>
      <c r="M236" s="4" t="str">
        <f>IF(OR(Копия_20206[[#This Row],[Number of stores]]&gt;$U$7,Копия_20206[[#This Row],[Number of stores]]&lt;$U$6),"outlier","not outlier")</f>
        <v>outlier</v>
      </c>
    </row>
    <row r="237" spans="1:13" x14ac:dyDescent="0.25">
      <c r="A237">
        <v>2020</v>
      </c>
      <c r="B237">
        <v>2</v>
      </c>
      <c r="C237" s="1" t="s">
        <v>25</v>
      </c>
      <c r="D237" s="1" t="s">
        <v>9</v>
      </c>
      <c r="E237" s="1" t="s">
        <v>12</v>
      </c>
      <c r="F237" s="5">
        <v>6.0307000000000004</v>
      </c>
      <c r="G237" s="5">
        <v>839.26486799999998</v>
      </c>
      <c r="H237" s="5">
        <v>3.0152999999999999</v>
      </c>
      <c r="I237">
        <v>1291</v>
      </c>
      <c r="J237" s="4" t="str">
        <f>IF(OR(Копия_20206[[#This Row],[Units (in 1000)]]&gt;$R$7,Копия_20206[[#This Row],[Units (in 1000)]]&lt;$R$6),"outlier","not outlier")</f>
        <v>not outlier</v>
      </c>
      <c r="K237" s="4" t="str">
        <f>IF(OR(Копия_20206[[#This Row],[Value (in 1000 rub)]]&gt;$S$7,Копия_20206[[#This Row],[Value (in 1000 rub)]]&lt;$S$6),"outlier","not outlier")</f>
        <v>not outlier</v>
      </c>
      <c r="L237" s="4" t="str">
        <f>IF(OR(Копия_20206[[#This Row],[Volume (in 1000 kg)]]&gt;$T$7,Копия_20206[[#This Row],[Volume (in 1000 kg)]]&lt;$T$6),"outlier","not outlier")</f>
        <v>not outlier</v>
      </c>
      <c r="M237" s="4" t="str">
        <f>IF(OR(Копия_20206[[#This Row],[Number of stores]]&gt;$U$7,Копия_20206[[#This Row],[Number of stores]]&lt;$U$6),"outlier","not outlier")</f>
        <v>not outlier</v>
      </c>
    </row>
    <row r="238" spans="1:13" x14ac:dyDescent="0.25">
      <c r="A238">
        <v>2020</v>
      </c>
      <c r="B238">
        <v>2</v>
      </c>
      <c r="C238" s="1" t="s">
        <v>25</v>
      </c>
      <c r="D238" s="1" t="s">
        <v>9</v>
      </c>
      <c r="E238" s="1" t="s">
        <v>13</v>
      </c>
      <c r="F238" s="5">
        <v>0.43280000000000002</v>
      </c>
      <c r="G238" s="5">
        <v>79.266847999999996</v>
      </c>
      <c r="H238" s="5">
        <v>0.3246</v>
      </c>
      <c r="I238">
        <v>279</v>
      </c>
      <c r="J238" s="4" t="str">
        <f>IF(OR(Копия_20206[[#This Row],[Units (in 1000)]]&gt;$R$7,Копия_20206[[#This Row],[Units (in 1000)]]&lt;$R$6),"outlier","not outlier")</f>
        <v>not outlier</v>
      </c>
      <c r="K238" s="4" t="str">
        <f>IF(OR(Копия_20206[[#This Row],[Value (in 1000 rub)]]&gt;$S$7,Копия_20206[[#This Row],[Value (in 1000 rub)]]&lt;$S$6),"outlier","not outlier")</f>
        <v>not outlier</v>
      </c>
      <c r="L238" s="4" t="str">
        <f>IF(OR(Копия_20206[[#This Row],[Volume (in 1000 kg)]]&gt;$T$7,Копия_20206[[#This Row],[Volume (in 1000 kg)]]&lt;$T$6),"outlier","not outlier")</f>
        <v>not outlier</v>
      </c>
      <c r="M238" s="4" t="str">
        <f>IF(OR(Копия_20206[[#This Row],[Number of stores]]&gt;$U$7,Копия_20206[[#This Row],[Number of stores]]&lt;$U$6),"outlier","not outlier")</f>
        <v>not outlier</v>
      </c>
    </row>
    <row r="239" spans="1:13" x14ac:dyDescent="0.25">
      <c r="A239">
        <v>2020</v>
      </c>
      <c r="B239">
        <v>2</v>
      </c>
      <c r="C239" s="1" t="s">
        <v>29</v>
      </c>
      <c r="D239" s="1" t="s">
        <v>9</v>
      </c>
      <c r="E239" s="1" t="s">
        <v>10</v>
      </c>
      <c r="F239" s="5">
        <v>124.2706</v>
      </c>
      <c r="G239" s="5">
        <v>6261.8328600000004</v>
      </c>
      <c r="H239" s="5">
        <v>26.096900000000002</v>
      </c>
      <c r="I239">
        <v>9957</v>
      </c>
      <c r="J239" s="4" t="str">
        <f>IF(OR(Копия_20206[[#This Row],[Units (in 1000)]]&gt;$R$7,Копия_20206[[#This Row],[Units (in 1000)]]&lt;$R$6),"outlier","not outlier")</f>
        <v>outlier</v>
      </c>
      <c r="K239" s="4" t="str">
        <f>IF(OR(Копия_20206[[#This Row],[Value (in 1000 rub)]]&gt;$S$7,Копия_20206[[#This Row],[Value (in 1000 rub)]]&lt;$S$6),"outlier","not outlier")</f>
        <v>outlier</v>
      </c>
      <c r="L239" s="4" t="str">
        <f>IF(OR(Копия_20206[[#This Row],[Volume (in 1000 kg)]]&gt;$T$7,Копия_20206[[#This Row],[Volume (in 1000 kg)]]&lt;$T$6),"outlier","not outlier")</f>
        <v>outlier</v>
      </c>
      <c r="M239" s="4" t="str">
        <f>IF(OR(Копия_20206[[#This Row],[Number of stores]]&gt;$U$7,Копия_20206[[#This Row],[Number of stores]]&lt;$U$6),"outlier","not outlier")</f>
        <v>outlier</v>
      </c>
    </row>
    <row r="240" spans="1:13" x14ac:dyDescent="0.25">
      <c r="A240">
        <v>2020</v>
      </c>
      <c r="B240">
        <v>2</v>
      </c>
      <c r="C240" s="1" t="s">
        <v>29</v>
      </c>
      <c r="D240" s="1" t="s">
        <v>9</v>
      </c>
      <c r="E240" s="1" t="s">
        <v>11</v>
      </c>
      <c r="F240" s="5">
        <v>112.8185</v>
      </c>
      <c r="G240" s="5">
        <v>10193.829322</v>
      </c>
      <c r="H240" s="5">
        <v>39.486499999999999</v>
      </c>
      <c r="I240">
        <v>8768</v>
      </c>
      <c r="J240" s="4" t="str">
        <f>IF(OR(Копия_20206[[#This Row],[Units (in 1000)]]&gt;$R$7,Копия_20206[[#This Row],[Units (in 1000)]]&lt;$R$6),"outlier","not outlier")</f>
        <v>outlier</v>
      </c>
      <c r="K240" s="4" t="str">
        <f>IF(OR(Копия_20206[[#This Row],[Value (in 1000 rub)]]&gt;$S$7,Копия_20206[[#This Row],[Value (in 1000 rub)]]&lt;$S$6),"outlier","not outlier")</f>
        <v>outlier</v>
      </c>
      <c r="L240" s="4" t="str">
        <f>IF(OR(Копия_20206[[#This Row],[Volume (in 1000 kg)]]&gt;$T$7,Копия_20206[[#This Row],[Volume (in 1000 kg)]]&lt;$T$6),"outlier","not outlier")</f>
        <v>outlier</v>
      </c>
      <c r="M240" s="4" t="str">
        <f>IF(OR(Копия_20206[[#This Row],[Number of stores]]&gt;$U$7,Копия_20206[[#This Row],[Number of stores]]&lt;$U$6),"outlier","not outlier")</f>
        <v>outlier</v>
      </c>
    </row>
    <row r="241" spans="1:13" x14ac:dyDescent="0.25">
      <c r="A241">
        <v>2020</v>
      </c>
      <c r="B241">
        <v>2</v>
      </c>
      <c r="C241" s="1" t="s">
        <v>29</v>
      </c>
      <c r="D241" s="1" t="s">
        <v>9</v>
      </c>
      <c r="E241" s="1" t="s">
        <v>12</v>
      </c>
      <c r="F241" s="5">
        <v>25.190799999999999</v>
      </c>
      <c r="G241" s="5">
        <v>3303.8635730000001</v>
      </c>
      <c r="H241" s="5">
        <v>12.5954</v>
      </c>
      <c r="I241">
        <v>2630</v>
      </c>
      <c r="J241" s="4" t="str">
        <f>IF(OR(Копия_20206[[#This Row],[Units (in 1000)]]&gt;$R$7,Копия_20206[[#This Row],[Units (in 1000)]]&lt;$R$6),"outlier","not outlier")</f>
        <v>outlier</v>
      </c>
      <c r="K241" s="4" t="str">
        <f>IF(OR(Копия_20206[[#This Row],[Value (in 1000 rub)]]&gt;$S$7,Копия_20206[[#This Row],[Value (in 1000 rub)]]&lt;$S$6),"outlier","not outlier")</f>
        <v>outlier</v>
      </c>
      <c r="L241" s="4" t="str">
        <f>IF(OR(Копия_20206[[#This Row],[Volume (in 1000 kg)]]&gt;$T$7,Копия_20206[[#This Row],[Volume (in 1000 kg)]]&lt;$T$6),"outlier","not outlier")</f>
        <v>outlier</v>
      </c>
      <c r="M241" s="4" t="str">
        <f>IF(OR(Копия_20206[[#This Row],[Number of stores]]&gt;$U$7,Копия_20206[[#This Row],[Number of stores]]&lt;$U$6),"outlier","not outlier")</f>
        <v>not outlier</v>
      </c>
    </row>
    <row r="242" spans="1:13" x14ac:dyDescent="0.25">
      <c r="A242">
        <v>2020</v>
      </c>
      <c r="B242">
        <v>2</v>
      </c>
      <c r="C242" s="1" t="s">
        <v>29</v>
      </c>
      <c r="D242" s="1" t="s">
        <v>9</v>
      </c>
      <c r="E242" s="1" t="s">
        <v>13</v>
      </c>
      <c r="F242" s="5">
        <v>8.43E-2</v>
      </c>
      <c r="G242" s="5">
        <v>16.051770999999999</v>
      </c>
      <c r="H242" s="5">
        <v>6.3299999999999995E-2</v>
      </c>
      <c r="I242">
        <v>53</v>
      </c>
      <c r="J242" s="4" t="str">
        <f>IF(OR(Копия_20206[[#This Row],[Units (in 1000)]]&gt;$R$7,Копия_20206[[#This Row],[Units (in 1000)]]&lt;$R$6),"outlier","not outlier")</f>
        <v>not outlier</v>
      </c>
      <c r="K242" s="4" t="str">
        <f>IF(OR(Копия_20206[[#This Row],[Value (in 1000 rub)]]&gt;$S$7,Копия_20206[[#This Row],[Value (in 1000 rub)]]&lt;$S$6),"outlier","not outlier")</f>
        <v>not outlier</v>
      </c>
      <c r="L242" s="4" t="str">
        <f>IF(OR(Копия_20206[[#This Row],[Volume (in 1000 kg)]]&gt;$T$7,Копия_20206[[#This Row],[Volume (in 1000 kg)]]&lt;$T$6),"outlier","not outlier")</f>
        <v>not outlier</v>
      </c>
      <c r="M242" s="4" t="str">
        <f>IF(OR(Копия_20206[[#This Row],[Number of stores]]&gt;$U$7,Копия_20206[[#This Row],[Number of stores]]&lt;$U$6),"outlier","not outlier")</f>
        <v>not outlier</v>
      </c>
    </row>
    <row r="243" spans="1:13" x14ac:dyDescent="0.25">
      <c r="A243">
        <v>2020</v>
      </c>
      <c r="B243">
        <v>3</v>
      </c>
      <c r="C243" s="1" t="s">
        <v>8</v>
      </c>
      <c r="D243" s="1" t="s">
        <v>9</v>
      </c>
      <c r="E243" s="1" t="s">
        <v>10</v>
      </c>
      <c r="F243" s="5">
        <v>15.7516</v>
      </c>
      <c r="G243" s="5">
        <v>928.92665</v>
      </c>
      <c r="H243" s="5">
        <v>3.3079000000000001</v>
      </c>
      <c r="I243">
        <v>480</v>
      </c>
      <c r="J243" s="4" t="str">
        <f>IF(OR(Копия_20206[[#This Row],[Units (in 1000)]]&gt;$R$7,Копия_20206[[#This Row],[Units (in 1000)]]&lt;$R$6),"outlier","not outlier")</f>
        <v>not outlier</v>
      </c>
      <c r="K243" s="4" t="str">
        <f>IF(OR(Копия_20206[[#This Row],[Value (in 1000 rub)]]&gt;$S$7,Копия_20206[[#This Row],[Value (in 1000 rub)]]&lt;$S$6),"outlier","not outlier")</f>
        <v>not outlier</v>
      </c>
      <c r="L243" s="4" t="str">
        <f>IF(OR(Копия_20206[[#This Row],[Volume (in 1000 kg)]]&gt;$T$7,Копия_20206[[#This Row],[Volume (in 1000 kg)]]&lt;$T$6),"outlier","not outlier")</f>
        <v>not outlier</v>
      </c>
      <c r="M243" s="4" t="str">
        <f>IF(OR(Копия_20206[[#This Row],[Number of stores]]&gt;$U$7,Копия_20206[[#This Row],[Number of stores]]&lt;$U$6),"outlier","not outlier")</f>
        <v>not outlier</v>
      </c>
    </row>
    <row r="244" spans="1:13" x14ac:dyDescent="0.25">
      <c r="A244">
        <v>2020</v>
      </c>
      <c r="B244">
        <v>3</v>
      </c>
      <c r="C244" s="1" t="s">
        <v>8</v>
      </c>
      <c r="D244" s="1" t="s">
        <v>9</v>
      </c>
      <c r="E244" s="1" t="s">
        <v>11</v>
      </c>
      <c r="F244" s="5">
        <v>116.75060000000001</v>
      </c>
      <c r="G244" s="5">
        <v>9105.2074269999994</v>
      </c>
      <c r="H244" s="5">
        <v>40.8628</v>
      </c>
      <c r="I244">
        <v>776</v>
      </c>
      <c r="J244" s="4" t="str">
        <f>IF(OR(Копия_20206[[#This Row],[Units (in 1000)]]&gt;$R$7,Копия_20206[[#This Row],[Units (in 1000)]]&lt;$R$6),"outlier","not outlier")</f>
        <v>outlier</v>
      </c>
      <c r="K244" s="4" t="str">
        <f>IF(OR(Копия_20206[[#This Row],[Value (in 1000 rub)]]&gt;$S$7,Копия_20206[[#This Row],[Value (in 1000 rub)]]&lt;$S$6),"outlier","not outlier")</f>
        <v>outlier</v>
      </c>
      <c r="L244" s="4" t="str">
        <f>IF(OR(Копия_20206[[#This Row],[Volume (in 1000 kg)]]&gt;$T$7,Копия_20206[[#This Row],[Volume (in 1000 kg)]]&lt;$T$6),"outlier","not outlier")</f>
        <v>outlier</v>
      </c>
      <c r="M244" s="4" t="str">
        <f>IF(OR(Копия_20206[[#This Row],[Number of stores]]&gt;$U$7,Копия_20206[[#This Row],[Number of stores]]&lt;$U$6),"outlier","not outlier")</f>
        <v>not outlier</v>
      </c>
    </row>
    <row r="245" spans="1:13" x14ac:dyDescent="0.25">
      <c r="A245">
        <v>2020</v>
      </c>
      <c r="B245">
        <v>3</v>
      </c>
      <c r="C245" s="1" t="s">
        <v>8</v>
      </c>
      <c r="D245" s="1" t="s">
        <v>9</v>
      </c>
      <c r="E245" s="1" t="s">
        <v>12</v>
      </c>
      <c r="F245" s="5">
        <v>44.650199999999998</v>
      </c>
      <c r="G245" s="5">
        <v>5049.8208759999998</v>
      </c>
      <c r="H245" s="5">
        <v>22.325099999999999</v>
      </c>
      <c r="I245">
        <v>664</v>
      </c>
      <c r="J245" s="4" t="str">
        <f>IF(OR(Копия_20206[[#This Row],[Units (in 1000)]]&gt;$R$7,Копия_20206[[#This Row],[Units (in 1000)]]&lt;$R$6),"outlier","not outlier")</f>
        <v>outlier</v>
      </c>
      <c r="K245" s="4" t="str">
        <f>IF(OR(Копия_20206[[#This Row],[Value (in 1000 rub)]]&gt;$S$7,Копия_20206[[#This Row],[Value (in 1000 rub)]]&lt;$S$6),"outlier","not outlier")</f>
        <v>outlier</v>
      </c>
      <c r="L245" s="4" t="str">
        <f>IF(OR(Копия_20206[[#This Row],[Volume (in 1000 kg)]]&gt;$T$7,Копия_20206[[#This Row],[Volume (in 1000 kg)]]&lt;$T$6),"outlier","not outlier")</f>
        <v>outlier</v>
      </c>
      <c r="M245" s="4" t="str">
        <f>IF(OR(Копия_20206[[#This Row],[Number of stores]]&gt;$U$7,Копия_20206[[#This Row],[Number of stores]]&lt;$U$6),"outlier","not outlier")</f>
        <v>not outlier</v>
      </c>
    </row>
    <row r="246" spans="1:13" x14ac:dyDescent="0.25">
      <c r="A246">
        <v>2020</v>
      </c>
      <c r="B246">
        <v>3</v>
      </c>
      <c r="C246" s="1" t="s">
        <v>8</v>
      </c>
      <c r="D246" s="1" t="s">
        <v>9</v>
      </c>
      <c r="E246" s="1" t="s">
        <v>13</v>
      </c>
      <c r="F246" s="5">
        <v>0.30759999999999998</v>
      </c>
      <c r="G246" s="5">
        <v>58.307366999999999</v>
      </c>
      <c r="H246" s="5">
        <v>0.23069999999999999</v>
      </c>
      <c r="I246">
        <v>23</v>
      </c>
      <c r="J246" s="4" t="str">
        <f>IF(OR(Копия_20206[[#This Row],[Units (in 1000)]]&gt;$R$7,Копия_20206[[#This Row],[Units (in 1000)]]&lt;$R$6),"outlier","not outlier")</f>
        <v>not outlier</v>
      </c>
      <c r="K246" s="4" t="str">
        <f>IF(OR(Копия_20206[[#This Row],[Value (in 1000 rub)]]&gt;$S$7,Копия_20206[[#This Row],[Value (in 1000 rub)]]&lt;$S$6),"outlier","not outlier")</f>
        <v>not outlier</v>
      </c>
      <c r="L246" s="4" t="str">
        <f>IF(OR(Копия_20206[[#This Row],[Volume (in 1000 kg)]]&gt;$T$7,Копия_20206[[#This Row],[Volume (in 1000 kg)]]&lt;$T$6),"outlier","not outlier")</f>
        <v>not outlier</v>
      </c>
      <c r="M246" s="4" t="str">
        <f>IF(OR(Копия_20206[[#This Row],[Number of stores]]&gt;$U$7,Копия_20206[[#This Row],[Number of stores]]&lt;$U$6),"outlier","not outlier")</f>
        <v>not outlier</v>
      </c>
    </row>
    <row r="247" spans="1:13" x14ac:dyDescent="0.25">
      <c r="A247">
        <v>2020</v>
      </c>
      <c r="B247">
        <v>3</v>
      </c>
      <c r="C247" s="1" t="s">
        <v>25</v>
      </c>
      <c r="D247" s="1" t="s">
        <v>9</v>
      </c>
      <c r="E247" s="1" t="s">
        <v>10</v>
      </c>
      <c r="F247" s="5">
        <v>59.918100000000003</v>
      </c>
      <c r="G247" s="5">
        <v>3925.894315</v>
      </c>
      <c r="H247" s="5">
        <v>12.582800000000001</v>
      </c>
      <c r="I247">
        <v>7797</v>
      </c>
      <c r="J247" s="4" t="str">
        <f>IF(OR(Копия_20206[[#This Row],[Units (in 1000)]]&gt;$R$7,Копия_20206[[#This Row],[Units (in 1000)]]&lt;$R$6),"outlier","not outlier")</f>
        <v>outlier</v>
      </c>
      <c r="K247" s="4" t="str">
        <f>IF(OR(Копия_20206[[#This Row],[Value (in 1000 rub)]]&gt;$S$7,Копия_20206[[#This Row],[Value (in 1000 rub)]]&lt;$S$6),"outlier","not outlier")</f>
        <v>outlier</v>
      </c>
      <c r="L247" s="4" t="str">
        <f>IF(OR(Копия_20206[[#This Row],[Volume (in 1000 kg)]]&gt;$T$7,Копия_20206[[#This Row],[Volume (in 1000 kg)]]&lt;$T$6),"outlier","not outlier")</f>
        <v>outlier</v>
      </c>
      <c r="M247" s="4" t="str">
        <f>IF(OR(Копия_20206[[#This Row],[Number of stores]]&gt;$U$7,Копия_20206[[#This Row],[Number of stores]]&lt;$U$6),"outlier","not outlier")</f>
        <v>outlier</v>
      </c>
    </row>
    <row r="248" spans="1:13" x14ac:dyDescent="0.25">
      <c r="A248">
        <v>2020</v>
      </c>
      <c r="B248">
        <v>3</v>
      </c>
      <c r="C248" s="1" t="s">
        <v>25</v>
      </c>
      <c r="D248" s="1" t="s">
        <v>9</v>
      </c>
      <c r="E248" s="1" t="s">
        <v>35</v>
      </c>
      <c r="F248" s="5">
        <v>2.5000000000000001E-3</v>
      </c>
      <c r="G248" s="5">
        <v>0.239033</v>
      </c>
      <c r="H248" s="5">
        <v>8.0000000000000004E-4</v>
      </c>
      <c r="I248">
        <v>3</v>
      </c>
      <c r="J248" s="4" t="str">
        <f>IF(OR(Копия_20206[[#This Row],[Units (in 1000)]]&gt;$R$7,Копия_20206[[#This Row],[Units (in 1000)]]&lt;$R$6),"outlier","not outlier")</f>
        <v>not outlier</v>
      </c>
      <c r="K248" s="4" t="str">
        <f>IF(OR(Копия_20206[[#This Row],[Value (in 1000 rub)]]&gt;$S$7,Копия_20206[[#This Row],[Value (in 1000 rub)]]&lt;$S$6),"outlier","not outlier")</f>
        <v>not outlier</v>
      </c>
      <c r="L248" s="4" t="str">
        <f>IF(OR(Копия_20206[[#This Row],[Volume (in 1000 kg)]]&gt;$T$7,Копия_20206[[#This Row],[Volume (in 1000 kg)]]&lt;$T$6),"outlier","not outlier")</f>
        <v>not outlier</v>
      </c>
      <c r="M248" s="4" t="str">
        <f>IF(OR(Копия_20206[[#This Row],[Number of stores]]&gt;$U$7,Копия_20206[[#This Row],[Number of stores]]&lt;$U$6),"outlier","not outlier")</f>
        <v>not outlier</v>
      </c>
    </row>
    <row r="249" spans="1:13" x14ac:dyDescent="0.25">
      <c r="A249">
        <v>2020</v>
      </c>
      <c r="B249">
        <v>3</v>
      </c>
      <c r="C249" s="1" t="s">
        <v>25</v>
      </c>
      <c r="D249" s="1" t="s">
        <v>9</v>
      </c>
      <c r="E249" s="1" t="s">
        <v>11</v>
      </c>
      <c r="F249" s="5">
        <v>69.861099999999993</v>
      </c>
      <c r="G249" s="5">
        <v>6958.6258809999999</v>
      </c>
      <c r="H249" s="5">
        <v>24.4513</v>
      </c>
      <c r="I249">
        <v>8564</v>
      </c>
      <c r="J249" s="4" t="str">
        <f>IF(OR(Копия_20206[[#This Row],[Units (in 1000)]]&gt;$R$7,Копия_20206[[#This Row],[Units (in 1000)]]&lt;$R$6),"outlier","not outlier")</f>
        <v>outlier</v>
      </c>
      <c r="K249" s="4" t="str">
        <f>IF(OR(Копия_20206[[#This Row],[Value (in 1000 rub)]]&gt;$S$7,Копия_20206[[#This Row],[Value (in 1000 rub)]]&lt;$S$6),"outlier","not outlier")</f>
        <v>outlier</v>
      </c>
      <c r="L249" s="4" t="str">
        <f>IF(OR(Копия_20206[[#This Row],[Volume (in 1000 kg)]]&gt;$T$7,Копия_20206[[#This Row],[Volume (in 1000 kg)]]&lt;$T$6),"outlier","not outlier")</f>
        <v>outlier</v>
      </c>
      <c r="M249" s="4" t="str">
        <f>IF(OR(Копия_20206[[#This Row],[Number of stores]]&gt;$U$7,Копия_20206[[#This Row],[Number of stores]]&lt;$U$6),"outlier","not outlier")</f>
        <v>outlier</v>
      </c>
    </row>
    <row r="250" spans="1:13" x14ac:dyDescent="0.25">
      <c r="A250">
        <v>2020</v>
      </c>
      <c r="B250">
        <v>3</v>
      </c>
      <c r="C250" s="1" t="s">
        <v>25</v>
      </c>
      <c r="D250" s="1" t="s">
        <v>9</v>
      </c>
      <c r="E250" s="1" t="s">
        <v>12</v>
      </c>
      <c r="F250" s="5">
        <v>8.2565000000000008</v>
      </c>
      <c r="G250" s="5">
        <v>1088.4688610000001</v>
      </c>
      <c r="H250" s="5">
        <v>4.1283000000000003</v>
      </c>
      <c r="I250">
        <v>1297</v>
      </c>
      <c r="J250" s="4" t="str">
        <f>IF(OR(Копия_20206[[#This Row],[Units (in 1000)]]&gt;$R$7,Копия_20206[[#This Row],[Units (in 1000)]]&lt;$R$6),"outlier","not outlier")</f>
        <v>not outlier</v>
      </c>
      <c r="K250" s="4" t="str">
        <f>IF(OR(Копия_20206[[#This Row],[Value (in 1000 rub)]]&gt;$S$7,Копия_20206[[#This Row],[Value (in 1000 rub)]]&lt;$S$6),"outlier","not outlier")</f>
        <v>not outlier</v>
      </c>
      <c r="L250" s="4" t="str">
        <f>IF(OR(Копия_20206[[#This Row],[Volume (in 1000 kg)]]&gt;$T$7,Копия_20206[[#This Row],[Volume (in 1000 kg)]]&lt;$T$6),"outlier","not outlier")</f>
        <v>not outlier</v>
      </c>
      <c r="M250" s="4" t="str">
        <f>IF(OR(Копия_20206[[#This Row],[Number of stores]]&gt;$U$7,Копия_20206[[#This Row],[Number of stores]]&lt;$U$6),"outlier","not outlier")</f>
        <v>not outlier</v>
      </c>
    </row>
    <row r="251" spans="1:13" x14ac:dyDescent="0.25">
      <c r="A251">
        <v>2020</v>
      </c>
      <c r="B251">
        <v>3</v>
      </c>
      <c r="C251" s="1" t="s">
        <v>25</v>
      </c>
      <c r="D251" s="1" t="s">
        <v>9</v>
      </c>
      <c r="E251" s="1" t="s">
        <v>13</v>
      </c>
      <c r="F251" s="5">
        <v>0.36559999999999998</v>
      </c>
      <c r="G251" s="5">
        <v>62.655918</v>
      </c>
      <c r="H251" s="5">
        <v>0.2742</v>
      </c>
      <c r="I251">
        <v>283</v>
      </c>
      <c r="J251" s="4" t="str">
        <f>IF(OR(Копия_20206[[#This Row],[Units (in 1000)]]&gt;$R$7,Копия_20206[[#This Row],[Units (in 1000)]]&lt;$R$6),"outlier","not outlier")</f>
        <v>not outlier</v>
      </c>
      <c r="K251" s="4" t="str">
        <f>IF(OR(Копия_20206[[#This Row],[Value (in 1000 rub)]]&gt;$S$7,Копия_20206[[#This Row],[Value (in 1000 rub)]]&lt;$S$6),"outlier","not outlier")</f>
        <v>not outlier</v>
      </c>
      <c r="L251" s="4" t="str">
        <f>IF(OR(Копия_20206[[#This Row],[Volume (in 1000 kg)]]&gt;$T$7,Копия_20206[[#This Row],[Volume (in 1000 kg)]]&lt;$T$6),"outlier","not outlier")</f>
        <v>not outlier</v>
      </c>
      <c r="M251" s="4" t="str">
        <f>IF(OR(Копия_20206[[#This Row],[Number of stores]]&gt;$U$7,Копия_20206[[#This Row],[Number of stores]]&lt;$U$6),"outlier","not outlier")</f>
        <v>not outlier</v>
      </c>
    </row>
    <row r="252" spans="1:13" x14ac:dyDescent="0.25">
      <c r="A252">
        <v>2020</v>
      </c>
      <c r="B252">
        <v>3</v>
      </c>
      <c r="C252" s="1" t="s">
        <v>29</v>
      </c>
      <c r="D252" s="1" t="s">
        <v>9</v>
      </c>
      <c r="E252" s="1" t="s">
        <v>10</v>
      </c>
      <c r="F252" s="5">
        <v>80.834900000000005</v>
      </c>
      <c r="G252" s="5">
        <v>4860.2618430000002</v>
      </c>
      <c r="H252" s="5">
        <v>16.975300000000001</v>
      </c>
      <c r="I252">
        <v>10268</v>
      </c>
      <c r="J252" s="4" t="str">
        <f>IF(OR(Копия_20206[[#This Row],[Units (in 1000)]]&gt;$R$7,Копия_20206[[#This Row],[Units (in 1000)]]&lt;$R$6),"outlier","not outlier")</f>
        <v>outlier</v>
      </c>
      <c r="K252" s="4" t="str">
        <f>IF(OR(Копия_20206[[#This Row],[Value (in 1000 rub)]]&gt;$S$7,Копия_20206[[#This Row],[Value (in 1000 rub)]]&lt;$S$6),"outlier","not outlier")</f>
        <v>outlier</v>
      </c>
      <c r="L252" s="4" t="str">
        <f>IF(OR(Копия_20206[[#This Row],[Volume (in 1000 kg)]]&gt;$T$7,Копия_20206[[#This Row],[Volume (in 1000 kg)]]&lt;$T$6),"outlier","not outlier")</f>
        <v>outlier</v>
      </c>
      <c r="M252" s="4" t="str">
        <f>IF(OR(Копия_20206[[#This Row],[Number of stores]]&gt;$U$7,Копия_20206[[#This Row],[Number of stores]]&lt;$U$6),"outlier","not outlier")</f>
        <v>outlier</v>
      </c>
    </row>
    <row r="253" spans="1:13" x14ac:dyDescent="0.25">
      <c r="A253">
        <v>2020</v>
      </c>
      <c r="B253">
        <v>3</v>
      </c>
      <c r="C253" s="1" t="s">
        <v>29</v>
      </c>
      <c r="D253" s="1" t="s">
        <v>9</v>
      </c>
      <c r="E253" s="1" t="s">
        <v>11</v>
      </c>
      <c r="F253" s="5">
        <v>98.055300000000003</v>
      </c>
      <c r="G253" s="5">
        <v>9525.2732039999992</v>
      </c>
      <c r="H253" s="5">
        <v>34.319400000000002</v>
      </c>
      <c r="I253">
        <v>8169</v>
      </c>
      <c r="J253" s="4" t="str">
        <f>IF(OR(Копия_20206[[#This Row],[Units (in 1000)]]&gt;$R$7,Копия_20206[[#This Row],[Units (in 1000)]]&lt;$R$6),"outlier","not outlier")</f>
        <v>outlier</v>
      </c>
      <c r="K253" s="4" t="str">
        <f>IF(OR(Копия_20206[[#This Row],[Value (in 1000 rub)]]&gt;$S$7,Копия_20206[[#This Row],[Value (in 1000 rub)]]&lt;$S$6),"outlier","not outlier")</f>
        <v>outlier</v>
      </c>
      <c r="L253" s="4" t="str">
        <f>IF(OR(Копия_20206[[#This Row],[Volume (in 1000 kg)]]&gt;$T$7,Копия_20206[[#This Row],[Volume (in 1000 kg)]]&lt;$T$6),"outlier","not outlier")</f>
        <v>outlier</v>
      </c>
      <c r="M253" s="4" t="str">
        <f>IF(OR(Копия_20206[[#This Row],[Number of stores]]&gt;$U$7,Копия_20206[[#This Row],[Number of stores]]&lt;$U$6),"outlier","not outlier")</f>
        <v>outlier</v>
      </c>
    </row>
    <row r="254" spans="1:13" x14ac:dyDescent="0.25">
      <c r="A254">
        <v>2020</v>
      </c>
      <c r="B254">
        <v>3</v>
      </c>
      <c r="C254" s="1" t="s">
        <v>29</v>
      </c>
      <c r="D254" s="1" t="s">
        <v>9</v>
      </c>
      <c r="E254" s="1" t="s">
        <v>12</v>
      </c>
      <c r="F254" s="5">
        <v>41.277500000000003</v>
      </c>
      <c r="G254" s="5">
        <v>5053.812038</v>
      </c>
      <c r="H254" s="5">
        <v>20.6387</v>
      </c>
      <c r="I254">
        <v>2632</v>
      </c>
      <c r="J254" s="4" t="str">
        <f>IF(OR(Копия_20206[[#This Row],[Units (in 1000)]]&gt;$R$7,Копия_20206[[#This Row],[Units (in 1000)]]&lt;$R$6),"outlier","not outlier")</f>
        <v>outlier</v>
      </c>
      <c r="K254" s="4" t="str">
        <f>IF(OR(Копия_20206[[#This Row],[Value (in 1000 rub)]]&gt;$S$7,Копия_20206[[#This Row],[Value (in 1000 rub)]]&lt;$S$6),"outlier","not outlier")</f>
        <v>outlier</v>
      </c>
      <c r="L254" s="4" t="str">
        <f>IF(OR(Копия_20206[[#This Row],[Volume (in 1000 kg)]]&gt;$T$7,Копия_20206[[#This Row],[Volume (in 1000 kg)]]&lt;$T$6),"outlier","not outlier")</f>
        <v>outlier</v>
      </c>
      <c r="M254" s="4" t="str">
        <f>IF(OR(Копия_20206[[#This Row],[Number of stores]]&gt;$U$7,Копия_20206[[#This Row],[Number of stores]]&lt;$U$6),"outlier","not outlier")</f>
        <v>not outlier</v>
      </c>
    </row>
    <row r="255" spans="1:13" x14ac:dyDescent="0.25">
      <c r="A255">
        <v>2020</v>
      </c>
      <c r="B255">
        <v>3</v>
      </c>
      <c r="C255" s="1" t="s">
        <v>29</v>
      </c>
      <c r="D255" s="1" t="s">
        <v>9</v>
      </c>
      <c r="E255" s="1" t="s">
        <v>13</v>
      </c>
      <c r="F255" s="5">
        <v>8.4400000000000003E-2</v>
      </c>
      <c r="G255" s="5">
        <v>13.352451</v>
      </c>
      <c r="H255" s="5">
        <v>6.3299999999999995E-2</v>
      </c>
      <c r="I255">
        <v>65</v>
      </c>
      <c r="J255" s="4" t="str">
        <f>IF(OR(Копия_20206[[#This Row],[Units (in 1000)]]&gt;$R$7,Копия_20206[[#This Row],[Units (in 1000)]]&lt;$R$6),"outlier","not outlier")</f>
        <v>not outlier</v>
      </c>
      <c r="K255" s="4" t="str">
        <f>IF(OR(Копия_20206[[#This Row],[Value (in 1000 rub)]]&gt;$S$7,Копия_20206[[#This Row],[Value (in 1000 rub)]]&lt;$S$6),"outlier","not outlier")</f>
        <v>not outlier</v>
      </c>
      <c r="L255" s="4" t="str">
        <f>IF(OR(Копия_20206[[#This Row],[Volume (in 1000 kg)]]&gt;$T$7,Копия_20206[[#This Row],[Volume (in 1000 kg)]]&lt;$T$6),"outlier","not outlier")</f>
        <v>not outlier</v>
      </c>
      <c r="M255" s="4" t="str">
        <f>IF(OR(Копия_20206[[#This Row],[Number of stores]]&gt;$U$7,Копия_20206[[#This Row],[Number of stores]]&lt;$U$6),"outlier","not outlier")</f>
        <v>not outlier</v>
      </c>
    </row>
    <row r="256" spans="1:13" x14ac:dyDescent="0.25">
      <c r="A256">
        <v>2020</v>
      </c>
      <c r="B256">
        <v>4</v>
      </c>
      <c r="C256" s="1" t="s">
        <v>8</v>
      </c>
      <c r="D256" s="1" t="s">
        <v>9</v>
      </c>
      <c r="E256" s="1" t="s">
        <v>10</v>
      </c>
      <c r="F256" s="5">
        <v>13.180899999999999</v>
      </c>
      <c r="G256" s="5">
        <v>819.69867699999998</v>
      </c>
      <c r="H256" s="5">
        <v>2.7679999999999998</v>
      </c>
      <c r="I256">
        <v>478</v>
      </c>
      <c r="J256" s="4" t="str">
        <f>IF(OR(Копия_20206[[#This Row],[Units (in 1000)]]&gt;$R$7,Копия_20206[[#This Row],[Units (in 1000)]]&lt;$R$6),"outlier","not outlier")</f>
        <v>not outlier</v>
      </c>
      <c r="K256" s="4" t="str">
        <f>IF(OR(Копия_20206[[#This Row],[Value (in 1000 rub)]]&gt;$S$7,Копия_20206[[#This Row],[Value (in 1000 rub)]]&lt;$S$6),"outlier","not outlier")</f>
        <v>not outlier</v>
      </c>
      <c r="L256" s="4" t="str">
        <f>IF(OR(Копия_20206[[#This Row],[Volume (in 1000 kg)]]&gt;$T$7,Копия_20206[[#This Row],[Volume (in 1000 kg)]]&lt;$T$6),"outlier","not outlier")</f>
        <v>not outlier</v>
      </c>
      <c r="M256" s="4" t="str">
        <f>IF(OR(Копия_20206[[#This Row],[Number of stores]]&gt;$U$7,Копия_20206[[#This Row],[Number of stores]]&lt;$U$6),"outlier","not outlier")</f>
        <v>not outlier</v>
      </c>
    </row>
    <row r="257" spans="1:13" x14ac:dyDescent="0.25">
      <c r="A257">
        <v>2020</v>
      </c>
      <c r="B257">
        <v>4</v>
      </c>
      <c r="C257" s="1" t="s">
        <v>8</v>
      </c>
      <c r="D257" s="1" t="s">
        <v>9</v>
      </c>
      <c r="E257" s="1" t="s">
        <v>11</v>
      </c>
      <c r="F257" s="5">
        <v>54.853700000000003</v>
      </c>
      <c r="G257" s="5">
        <v>4806.2020419999999</v>
      </c>
      <c r="H257" s="5">
        <v>19.198899999999998</v>
      </c>
      <c r="I257">
        <v>786</v>
      </c>
      <c r="J257" s="4" t="str">
        <f>IF(OR(Копия_20206[[#This Row],[Units (in 1000)]]&gt;$R$7,Копия_20206[[#This Row],[Units (in 1000)]]&lt;$R$6),"outlier","not outlier")</f>
        <v>outlier</v>
      </c>
      <c r="K257" s="4" t="str">
        <f>IF(OR(Копия_20206[[#This Row],[Value (in 1000 rub)]]&gt;$S$7,Копия_20206[[#This Row],[Value (in 1000 rub)]]&lt;$S$6),"outlier","not outlier")</f>
        <v>outlier</v>
      </c>
      <c r="L257" s="4" t="str">
        <f>IF(OR(Копия_20206[[#This Row],[Volume (in 1000 kg)]]&gt;$T$7,Копия_20206[[#This Row],[Volume (in 1000 kg)]]&lt;$T$6),"outlier","not outlier")</f>
        <v>outlier</v>
      </c>
      <c r="M257" s="4" t="str">
        <f>IF(OR(Копия_20206[[#This Row],[Number of stores]]&gt;$U$7,Копия_20206[[#This Row],[Number of stores]]&lt;$U$6),"outlier","not outlier")</f>
        <v>not outlier</v>
      </c>
    </row>
    <row r="258" spans="1:13" x14ac:dyDescent="0.25">
      <c r="A258">
        <v>2020</v>
      </c>
      <c r="B258">
        <v>4</v>
      </c>
      <c r="C258" s="1" t="s">
        <v>8</v>
      </c>
      <c r="D258" s="1" t="s">
        <v>9</v>
      </c>
      <c r="E258" s="1" t="s">
        <v>12</v>
      </c>
      <c r="F258" s="5">
        <v>48.549799999999998</v>
      </c>
      <c r="G258" s="5">
        <v>5104.9096810000001</v>
      </c>
      <c r="H258" s="5">
        <v>24.274799999999999</v>
      </c>
      <c r="I258">
        <v>663</v>
      </c>
      <c r="J258" s="4" t="str">
        <f>IF(OR(Копия_20206[[#This Row],[Units (in 1000)]]&gt;$R$7,Копия_20206[[#This Row],[Units (in 1000)]]&lt;$R$6),"outlier","not outlier")</f>
        <v>outlier</v>
      </c>
      <c r="K258" s="4" t="str">
        <f>IF(OR(Копия_20206[[#This Row],[Value (in 1000 rub)]]&gt;$S$7,Копия_20206[[#This Row],[Value (in 1000 rub)]]&lt;$S$6),"outlier","not outlier")</f>
        <v>outlier</v>
      </c>
      <c r="L258" s="4" t="str">
        <f>IF(OR(Копия_20206[[#This Row],[Volume (in 1000 kg)]]&gt;$T$7,Копия_20206[[#This Row],[Volume (in 1000 kg)]]&lt;$T$6),"outlier","not outlier")</f>
        <v>outlier</v>
      </c>
      <c r="M258" s="4" t="str">
        <f>IF(OR(Копия_20206[[#This Row],[Number of stores]]&gt;$U$7,Копия_20206[[#This Row],[Number of stores]]&lt;$U$6),"outlier","not outlier")</f>
        <v>not outlier</v>
      </c>
    </row>
    <row r="259" spans="1:13" x14ac:dyDescent="0.25">
      <c r="A259">
        <v>2020</v>
      </c>
      <c r="B259">
        <v>4</v>
      </c>
      <c r="C259" s="1" t="s">
        <v>8</v>
      </c>
      <c r="D259" s="1" t="s">
        <v>9</v>
      </c>
      <c r="E259" s="1" t="s">
        <v>13</v>
      </c>
      <c r="F259" s="5">
        <v>1.0820000000000001</v>
      </c>
      <c r="G259" s="5">
        <v>129.17522600000001</v>
      </c>
      <c r="H259" s="5">
        <v>0.8115</v>
      </c>
      <c r="I259">
        <v>23</v>
      </c>
      <c r="J259" s="4" t="str">
        <f>IF(OR(Копия_20206[[#This Row],[Units (in 1000)]]&gt;$R$7,Копия_20206[[#This Row],[Units (in 1000)]]&lt;$R$6),"outlier","not outlier")</f>
        <v>not outlier</v>
      </c>
      <c r="K259" s="4" t="str">
        <f>IF(OR(Копия_20206[[#This Row],[Value (in 1000 rub)]]&gt;$S$7,Копия_20206[[#This Row],[Value (in 1000 rub)]]&lt;$S$6),"outlier","not outlier")</f>
        <v>not outlier</v>
      </c>
      <c r="L259" s="4" t="str">
        <f>IF(OR(Копия_20206[[#This Row],[Volume (in 1000 kg)]]&gt;$T$7,Копия_20206[[#This Row],[Volume (in 1000 kg)]]&lt;$T$6),"outlier","not outlier")</f>
        <v>not outlier</v>
      </c>
      <c r="M259" s="4" t="str">
        <f>IF(OR(Копия_20206[[#This Row],[Number of stores]]&gt;$U$7,Копия_20206[[#This Row],[Number of stores]]&lt;$U$6),"outlier","not outlier")</f>
        <v>not outlier</v>
      </c>
    </row>
    <row r="260" spans="1:13" x14ac:dyDescent="0.25">
      <c r="A260">
        <v>2020</v>
      </c>
      <c r="B260">
        <v>4</v>
      </c>
      <c r="C260" s="1" t="s">
        <v>25</v>
      </c>
      <c r="D260" s="1" t="s">
        <v>9</v>
      </c>
      <c r="E260" s="1" t="s">
        <v>10</v>
      </c>
      <c r="F260" s="5">
        <v>65.924999999999997</v>
      </c>
      <c r="G260" s="5">
        <v>4037.9033639999998</v>
      </c>
      <c r="H260" s="5">
        <v>13.844200000000001</v>
      </c>
      <c r="I260">
        <v>8093</v>
      </c>
      <c r="J260" s="4" t="str">
        <f>IF(OR(Копия_20206[[#This Row],[Units (in 1000)]]&gt;$R$7,Копия_20206[[#This Row],[Units (in 1000)]]&lt;$R$6),"outlier","not outlier")</f>
        <v>outlier</v>
      </c>
      <c r="K260" s="4" t="str">
        <f>IF(OR(Копия_20206[[#This Row],[Value (in 1000 rub)]]&gt;$S$7,Копия_20206[[#This Row],[Value (in 1000 rub)]]&lt;$S$6),"outlier","not outlier")</f>
        <v>outlier</v>
      </c>
      <c r="L260" s="4" t="str">
        <f>IF(OR(Копия_20206[[#This Row],[Volume (in 1000 kg)]]&gt;$T$7,Копия_20206[[#This Row],[Volume (in 1000 kg)]]&lt;$T$6),"outlier","not outlier")</f>
        <v>outlier</v>
      </c>
      <c r="M260" s="4" t="str">
        <f>IF(OR(Копия_20206[[#This Row],[Number of stores]]&gt;$U$7,Копия_20206[[#This Row],[Number of stores]]&lt;$U$6),"outlier","not outlier")</f>
        <v>outlier</v>
      </c>
    </row>
    <row r="261" spans="1:13" x14ac:dyDescent="0.25">
      <c r="A261">
        <v>2020</v>
      </c>
      <c r="B261">
        <v>4</v>
      </c>
      <c r="C261" s="1" t="s">
        <v>25</v>
      </c>
      <c r="D261" s="1" t="s">
        <v>9</v>
      </c>
      <c r="E261" s="1" t="s">
        <v>35</v>
      </c>
      <c r="F261" s="5">
        <v>1.5E-3</v>
      </c>
      <c r="G261" s="5">
        <v>0.17146700000000001</v>
      </c>
      <c r="H261" s="5">
        <v>5.0000000000000001E-4</v>
      </c>
      <c r="I261">
        <v>2</v>
      </c>
      <c r="J261" s="4" t="str">
        <f>IF(OR(Копия_20206[[#This Row],[Units (in 1000)]]&gt;$R$7,Копия_20206[[#This Row],[Units (in 1000)]]&lt;$R$6),"outlier","not outlier")</f>
        <v>not outlier</v>
      </c>
      <c r="K261" s="4" t="str">
        <f>IF(OR(Копия_20206[[#This Row],[Value (in 1000 rub)]]&gt;$S$7,Копия_20206[[#This Row],[Value (in 1000 rub)]]&lt;$S$6),"outlier","not outlier")</f>
        <v>not outlier</v>
      </c>
      <c r="L261" s="4" t="str">
        <f>IF(OR(Копия_20206[[#This Row],[Volume (in 1000 kg)]]&gt;$T$7,Копия_20206[[#This Row],[Volume (in 1000 kg)]]&lt;$T$6),"outlier","not outlier")</f>
        <v>not outlier</v>
      </c>
      <c r="M261" s="4" t="str">
        <f>IF(OR(Копия_20206[[#This Row],[Number of stores]]&gt;$U$7,Копия_20206[[#This Row],[Number of stores]]&lt;$U$6),"outlier","not outlier")</f>
        <v>not outlier</v>
      </c>
    </row>
    <row r="262" spans="1:13" x14ac:dyDescent="0.25">
      <c r="A262">
        <v>2020</v>
      </c>
      <c r="B262">
        <v>4</v>
      </c>
      <c r="C262" s="1" t="s">
        <v>25</v>
      </c>
      <c r="D262" s="1" t="s">
        <v>9</v>
      </c>
      <c r="E262" s="1" t="s">
        <v>11</v>
      </c>
      <c r="F262" s="5">
        <v>62.98</v>
      </c>
      <c r="G262" s="5">
        <v>6338.200409</v>
      </c>
      <c r="H262" s="5">
        <v>22.042999999999999</v>
      </c>
      <c r="I262">
        <v>8792</v>
      </c>
      <c r="J262" s="4" t="str">
        <f>IF(OR(Копия_20206[[#This Row],[Units (in 1000)]]&gt;$R$7,Копия_20206[[#This Row],[Units (in 1000)]]&lt;$R$6),"outlier","not outlier")</f>
        <v>outlier</v>
      </c>
      <c r="K262" s="4" t="str">
        <f>IF(OR(Копия_20206[[#This Row],[Value (in 1000 rub)]]&gt;$S$7,Копия_20206[[#This Row],[Value (in 1000 rub)]]&lt;$S$6),"outlier","not outlier")</f>
        <v>outlier</v>
      </c>
      <c r="L262" s="4" t="str">
        <f>IF(OR(Копия_20206[[#This Row],[Volume (in 1000 kg)]]&gt;$T$7,Копия_20206[[#This Row],[Volume (in 1000 kg)]]&lt;$T$6),"outlier","not outlier")</f>
        <v>outlier</v>
      </c>
      <c r="M262" s="4" t="str">
        <f>IF(OR(Копия_20206[[#This Row],[Number of stores]]&gt;$U$7,Копия_20206[[#This Row],[Number of stores]]&lt;$U$6),"outlier","not outlier")</f>
        <v>outlier</v>
      </c>
    </row>
    <row r="263" spans="1:13" x14ac:dyDescent="0.25">
      <c r="A263">
        <v>2020</v>
      </c>
      <c r="B263">
        <v>4</v>
      </c>
      <c r="C263" s="1" t="s">
        <v>25</v>
      </c>
      <c r="D263" s="1" t="s">
        <v>9</v>
      </c>
      <c r="E263" s="1" t="s">
        <v>12</v>
      </c>
      <c r="F263" s="5">
        <v>6.1917999999999997</v>
      </c>
      <c r="G263" s="5">
        <v>880.14063499999997</v>
      </c>
      <c r="H263" s="5">
        <v>3.0958999999999999</v>
      </c>
      <c r="I263">
        <v>1462</v>
      </c>
      <c r="J263" s="4" t="str">
        <f>IF(OR(Копия_20206[[#This Row],[Units (in 1000)]]&gt;$R$7,Копия_20206[[#This Row],[Units (in 1000)]]&lt;$R$6),"outlier","not outlier")</f>
        <v>not outlier</v>
      </c>
      <c r="K263" s="4" t="str">
        <f>IF(OR(Копия_20206[[#This Row],[Value (in 1000 rub)]]&gt;$S$7,Копия_20206[[#This Row],[Value (in 1000 rub)]]&lt;$S$6),"outlier","not outlier")</f>
        <v>not outlier</v>
      </c>
      <c r="L263" s="4" t="str">
        <f>IF(OR(Копия_20206[[#This Row],[Volume (in 1000 kg)]]&gt;$T$7,Копия_20206[[#This Row],[Volume (in 1000 kg)]]&lt;$T$6),"outlier","not outlier")</f>
        <v>not outlier</v>
      </c>
      <c r="M263" s="4" t="str">
        <f>IF(OR(Копия_20206[[#This Row],[Number of stores]]&gt;$U$7,Копия_20206[[#This Row],[Number of stores]]&lt;$U$6),"outlier","not outlier")</f>
        <v>not outlier</v>
      </c>
    </row>
    <row r="264" spans="1:13" x14ac:dyDescent="0.25">
      <c r="A264">
        <v>2020</v>
      </c>
      <c r="B264">
        <v>4</v>
      </c>
      <c r="C264" s="1" t="s">
        <v>25</v>
      </c>
      <c r="D264" s="1" t="s">
        <v>9</v>
      </c>
      <c r="E264" s="1" t="s">
        <v>13</v>
      </c>
      <c r="F264" s="5">
        <v>0.50439999999999996</v>
      </c>
      <c r="G264" s="5">
        <v>80.219931000000003</v>
      </c>
      <c r="H264" s="5">
        <v>0.37830000000000003</v>
      </c>
      <c r="I264">
        <v>323</v>
      </c>
      <c r="J264" s="4" t="str">
        <f>IF(OR(Копия_20206[[#This Row],[Units (in 1000)]]&gt;$R$7,Копия_20206[[#This Row],[Units (in 1000)]]&lt;$R$6),"outlier","not outlier")</f>
        <v>not outlier</v>
      </c>
      <c r="K264" s="4" t="str">
        <f>IF(OR(Копия_20206[[#This Row],[Value (in 1000 rub)]]&gt;$S$7,Копия_20206[[#This Row],[Value (in 1000 rub)]]&lt;$S$6),"outlier","not outlier")</f>
        <v>not outlier</v>
      </c>
      <c r="L264" s="4" t="str">
        <f>IF(OR(Копия_20206[[#This Row],[Volume (in 1000 kg)]]&gt;$T$7,Копия_20206[[#This Row],[Volume (in 1000 kg)]]&lt;$T$6),"outlier","not outlier")</f>
        <v>not outlier</v>
      </c>
      <c r="M264" s="4" t="str">
        <f>IF(OR(Копия_20206[[#This Row],[Number of stores]]&gt;$U$7,Копия_20206[[#This Row],[Number of stores]]&lt;$U$6),"outlier","not outlier")</f>
        <v>not outlier</v>
      </c>
    </row>
    <row r="265" spans="1:13" x14ac:dyDescent="0.25">
      <c r="A265">
        <v>2020</v>
      </c>
      <c r="B265">
        <v>4</v>
      </c>
      <c r="C265" s="1" t="s">
        <v>29</v>
      </c>
      <c r="D265" s="1" t="s">
        <v>9</v>
      </c>
      <c r="E265" s="1" t="s">
        <v>10</v>
      </c>
      <c r="F265" s="5">
        <v>156.61250000000001</v>
      </c>
      <c r="G265" s="5">
        <v>8413.2672139999995</v>
      </c>
      <c r="H265" s="5">
        <v>32.8887</v>
      </c>
      <c r="I265">
        <v>11160</v>
      </c>
      <c r="J265" s="4" t="str">
        <f>IF(OR(Копия_20206[[#This Row],[Units (in 1000)]]&gt;$R$7,Копия_20206[[#This Row],[Units (in 1000)]]&lt;$R$6),"outlier","not outlier")</f>
        <v>outlier</v>
      </c>
      <c r="K265" s="4" t="str">
        <f>IF(OR(Копия_20206[[#This Row],[Value (in 1000 rub)]]&gt;$S$7,Копия_20206[[#This Row],[Value (in 1000 rub)]]&lt;$S$6),"outlier","not outlier")</f>
        <v>outlier</v>
      </c>
      <c r="L265" s="4" t="str">
        <f>IF(OR(Копия_20206[[#This Row],[Volume (in 1000 kg)]]&gt;$T$7,Копия_20206[[#This Row],[Volume (in 1000 kg)]]&lt;$T$6),"outlier","not outlier")</f>
        <v>outlier</v>
      </c>
      <c r="M265" s="4" t="str">
        <f>IF(OR(Копия_20206[[#This Row],[Number of stores]]&gt;$U$7,Копия_20206[[#This Row],[Number of stores]]&lt;$U$6),"outlier","not outlier")</f>
        <v>outlier</v>
      </c>
    </row>
    <row r="266" spans="1:13" x14ac:dyDescent="0.25">
      <c r="A266">
        <v>2020</v>
      </c>
      <c r="B266">
        <v>4</v>
      </c>
      <c r="C266" s="1" t="s">
        <v>29</v>
      </c>
      <c r="D266" s="1" t="s">
        <v>9</v>
      </c>
      <c r="E266" s="1" t="s">
        <v>11</v>
      </c>
      <c r="F266" s="5">
        <v>95.596599999999995</v>
      </c>
      <c r="G266" s="5">
        <v>8971.8432489999996</v>
      </c>
      <c r="H266" s="5">
        <v>33.4589</v>
      </c>
      <c r="I266">
        <v>8304</v>
      </c>
      <c r="J266" s="4" t="str">
        <f>IF(OR(Копия_20206[[#This Row],[Units (in 1000)]]&gt;$R$7,Копия_20206[[#This Row],[Units (in 1000)]]&lt;$R$6),"outlier","not outlier")</f>
        <v>outlier</v>
      </c>
      <c r="K266" s="4" t="str">
        <f>IF(OR(Копия_20206[[#This Row],[Value (in 1000 rub)]]&gt;$S$7,Копия_20206[[#This Row],[Value (in 1000 rub)]]&lt;$S$6),"outlier","not outlier")</f>
        <v>outlier</v>
      </c>
      <c r="L266" s="4" t="str">
        <f>IF(OR(Копия_20206[[#This Row],[Volume (in 1000 kg)]]&gt;$T$7,Копия_20206[[#This Row],[Volume (in 1000 kg)]]&lt;$T$6),"outlier","not outlier")</f>
        <v>outlier</v>
      </c>
      <c r="M266" s="4" t="str">
        <f>IF(OR(Копия_20206[[#This Row],[Number of stores]]&gt;$U$7,Копия_20206[[#This Row],[Number of stores]]&lt;$U$6),"outlier","not outlier")</f>
        <v>outlier</v>
      </c>
    </row>
    <row r="267" spans="1:13" x14ac:dyDescent="0.25">
      <c r="A267">
        <v>2020</v>
      </c>
      <c r="B267">
        <v>4</v>
      </c>
      <c r="C267" s="1" t="s">
        <v>29</v>
      </c>
      <c r="D267" s="1" t="s">
        <v>9</v>
      </c>
      <c r="E267" s="1" t="s">
        <v>12</v>
      </c>
      <c r="F267" s="5">
        <v>20.340399999999999</v>
      </c>
      <c r="G267" s="5">
        <v>2762.4430390000002</v>
      </c>
      <c r="H267" s="5">
        <v>10.170199999999999</v>
      </c>
      <c r="I267">
        <v>2421</v>
      </c>
      <c r="J267" s="4" t="str">
        <f>IF(OR(Копия_20206[[#This Row],[Units (in 1000)]]&gt;$R$7,Копия_20206[[#This Row],[Units (in 1000)]]&lt;$R$6),"outlier","not outlier")</f>
        <v>not outlier</v>
      </c>
      <c r="K267" s="4" t="str">
        <f>IF(OR(Копия_20206[[#This Row],[Value (in 1000 rub)]]&gt;$S$7,Копия_20206[[#This Row],[Value (in 1000 rub)]]&lt;$S$6),"outlier","not outlier")</f>
        <v>outlier</v>
      </c>
      <c r="L267" s="4" t="str">
        <f>IF(OR(Копия_20206[[#This Row],[Volume (in 1000 kg)]]&gt;$T$7,Копия_20206[[#This Row],[Volume (in 1000 kg)]]&lt;$T$6),"outlier","not outlier")</f>
        <v>outlier</v>
      </c>
      <c r="M267" s="4" t="str">
        <f>IF(OR(Копия_20206[[#This Row],[Number of stores]]&gt;$U$7,Копия_20206[[#This Row],[Number of stores]]&lt;$U$6),"outlier","not outlier")</f>
        <v>not outlier</v>
      </c>
    </row>
    <row r="268" spans="1:13" x14ac:dyDescent="0.25">
      <c r="A268">
        <v>2020</v>
      </c>
      <c r="B268">
        <v>4</v>
      </c>
      <c r="C268" s="1" t="s">
        <v>29</v>
      </c>
      <c r="D268" s="1" t="s">
        <v>9</v>
      </c>
      <c r="E268" s="1" t="s">
        <v>13</v>
      </c>
      <c r="F268" s="5">
        <v>0.2203</v>
      </c>
      <c r="G268" s="5">
        <v>33.022278</v>
      </c>
      <c r="H268" s="5">
        <v>0.1653</v>
      </c>
      <c r="I268">
        <v>65</v>
      </c>
      <c r="J268" s="4" t="str">
        <f>IF(OR(Копия_20206[[#This Row],[Units (in 1000)]]&gt;$R$7,Копия_20206[[#This Row],[Units (in 1000)]]&lt;$R$6),"outlier","not outlier")</f>
        <v>not outlier</v>
      </c>
      <c r="K268" s="4" t="str">
        <f>IF(OR(Копия_20206[[#This Row],[Value (in 1000 rub)]]&gt;$S$7,Копия_20206[[#This Row],[Value (in 1000 rub)]]&lt;$S$6),"outlier","not outlier")</f>
        <v>not outlier</v>
      </c>
      <c r="L268" s="4" t="str">
        <f>IF(OR(Копия_20206[[#This Row],[Volume (in 1000 kg)]]&gt;$T$7,Копия_20206[[#This Row],[Volume (in 1000 kg)]]&lt;$T$6),"outlier","not outlier")</f>
        <v>not outlier</v>
      </c>
      <c r="M268" s="4" t="str">
        <f>IF(OR(Копия_20206[[#This Row],[Number of stores]]&gt;$U$7,Копия_20206[[#This Row],[Number of stores]]&lt;$U$6),"outlier","not outlier")</f>
        <v>not outlier</v>
      </c>
    </row>
    <row r="269" spans="1:13" x14ac:dyDescent="0.25">
      <c r="A269">
        <v>2020</v>
      </c>
      <c r="B269">
        <v>5</v>
      </c>
      <c r="C269" s="1" t="s">
        <v>8</v>
      </c>
      <c r="D269" s="1" t="s">
        <v>9</v>
      </c>
      <c r="E269" s="1" t="s">
        <v>10</v>
      </c>
      <c r="F269" s="5">
        <v>22.357600000000001</v>
      </c>
      <c r="G269" s="5">
        <v>1261.464109</v>
      </c>
      <c r="H269" s="5">
        <v>4.6951000000000001</v>
      </c>
      <c r="I269">
        <v>572</v>
      </c>
      <c r="J269" s="4" t="str">
        <f>IF(OR(Копия_20206[[#This Row],[Units (in 1000)]]&gt;$R$7,Копия_20206[[#This Row],[Units (in 1000)]]&lt;$R$6),"outlier","not outlier")</f>
        <v>not outlier</v>
      </c>
      <c r="K269" s="4" t="str">
        <f>IF(OR(Копия_20206[[#This Row],[Value (in 1000 rub)]]&gt;$S$7,Копия_20206[[#This Row],[Value (in 1000 rub)]]&lt;$S$6),"outlier","not outlier")</f>
        <v>not outlier</v>
      </c>
      <c r="L269" s="4" t="str">
        <f>IF(OR(Копия_20206[[#This Row],[Volume (in 1000 kg)]]&gt;$T$7,Копия_20206[[#This Row],[Volume (in 1000 kg)]]&lt;$T$6),"outlier","not outlier")</f>
        <v>not outlier</v>
      </c>
      <c r="M269" s="4" t="str">
        <f>IF(OR(Копия_20206[[#This Row],[Number of stores]]&gt;$U$7,Копия_20206[[#This Row],[Number of stores]]&lt;$U$6),"outlier","not outlier")</f>
        <v>not outlier</v>
      </c>
    </row>
    <row r="270" spans="1:13" x14ac:dyDescent="0.25">
      <c r="A270">
        <v>2020</v>
      </c>
      <c r="B270">
        <v>5</v>
      </c>
      <c r="C270" s="1" t="s">
        <v>8</v>
      </c>
      <c r="D270" s="1" t="s">
        <v>9</v>
      </c>
      <c r="E270" s="1" t="s">
        <v>11</v>
      </c>
      <c r="F270" s="5">
        <v>57.154000000000003</v>
      </c>
      <c r="G270" s="5">
        <v>5056.0814950000004</v>
      </c>
      <c r="H270" s="5">
        <v>20.003900000000002</v>
      </c>
      <c r="I270">
        <v>778</v>
      </c>
      <c r="J270" s="4" t="str">
        <f>IF(OR(Копия_20206[[#This Row],[Units (in 1000)]]&gt;$R$7,Копия_20206[[#This Row],[Units (in 1000)]]&lt;$R$6),"outlier","not outlier")</f>
        <v>outlier</v>
      </c>
      <c r="K270" s="4" t="str">
        <f>IF(OR(Копия_20206[[#This Row],[Value (in 1000 rub)]]&gt;$S$7,Копия_20206[[#This Row],[Value (in 1000 rub)]]&lt;$S$6),"outlier","not outlier")</f>
        <v>outlier</v>
      </c>
      <c r="L270" s="4" t="str">
        <f>IF(OR(Копия_20206[[#This Row],[Volume (in 1000 kg)]]&gt;$T$7,Копия_20206[[#This Row],[Volume (in 1000 kg)]]&lt;$T$6),"outlier","not outlier")</f>
        <v>outlier</v>
      </c>
      <c r="M270" s="4" t="str">
        <f>IF(OR(Копия_20206[[#This Row],[Number of stores]]&gt;$U$7,Копия_20206[[#This Row],[Number of stores]]&lt;$U$6),"outlier","not outlier")</f>
        <v>not outlier</v>
      </c>
    </row>
    <row r="271" spans="1:13" x14ac:dyDescent="0.25">
      <c r="A271">
        <v>2020</v>
      </c>
      <c r="B271">
        <v>5</v>
      </c>
      <c r="C271" s="1" t="s">
        <v>8</v>
      </c>
      <c r="D271" s="1" t="s">
        <v>9</v>
      </c>
      <c r="E271" s="1" t="s">
        <v>12</v>
      </c>
      <c r="F271" s="5">
        <v>29.5413</v>
      </c>
      <c r="G271" s="5">
        <v>3514.2886619999999</v>
      </c>
      <c r="H271" s="5">
        <v>14.7706</v>
      </c>
      <c r="I271">
        <v>640</v>
      </c>
      <c r="J271" s="4" t="str">
        <f>IF(OR(Копия_20206[[#This Row],[Units (in 1000)]]&gt;$R$7,Копия_20206[[#This Row],[Units (in 1000)]]&lt;$R$6),"outlier","not outlier")</f>
        <v>outlier</v>
      </c>
      <c r="K271" s="4" t="str">
        <f>IF(OR(Копия_20206[[#This Row],[Value (in 1000 rub)]]&gt;$S$7,Копия_20206[[#This Row],[Value (in 1000 rub)]]&lt;$S$6),"outlier","not outlier")</f>
        <v>outlier</v>
      </c>
      <c r="L271" s="4" t="str">
        <f>IF(OR(Копия_20206[[#This Row],[Volume (in 1000 kg)]]&gt;$T$7,Копия_20206[[#This Row],[Volume (in 1000 kg)]]&lt;$T$6),"outlier","not outlier")</f>
        <v>outlier</v>
      </c>
      <c r="M271" s="4" t="str">
        <f>IF(OR(Копия_20206[[#This Row],[Number of stores]]&gt;$U$7,Копия_20206[[#This Row],[Number of stores]]&lt;$U$6),"outlier","not outlier")</f>
        <v>not outlier</v>
      </c>
    </row>
    <row r="272" spans="1:13" x14ac:dyDescent="0.25">
      <c r="A272">
        <v>2020</v>
      </c>
      <c r="B272">
        <v>5</v>
      </c>
      <c r="C272" s="1" t="s">
        <v>8</v>
      </c>
      <c r="D272" s="1" t="s">
        <v>9</v>
      </c>
      <c r="E272" s="1" t="s">
        <v>13</v>
      </c>
      <c r="F272" s="5">
        <v>0.35449999999999998</v>
      </c>
      <c r="G272" s="5">
        <v>67.328507000000002</v>
      </c>
      <c r="H272" s="5">
        <v>0.26579999999999998</v>
      </c>
      <c r="I272">
        <v>22</v>
      </c>
      <c r="J272" s="4" t="str">
        <f>IF(OR(Копия_20206[[#This Row],[Units (in 1000)]]&gt;$R$7,Копия_20206[[#This Row],[Units (in 1000)]]&lt;$R$6),"outlier","not outlier")</f>
        <v>not outlier</v>
      </c>
      <c r="K272" s="4" t="str">
        <f>IF(OR(Копия_20206[[#This Row],[Value (in 1000 rub)]]&gt;$S$7,Копия_20206[[#This Row],[Value (in 1000 rub)]]&lt;$S$6),"outlier","not outlier")</f>
        <v>not outlier</v>
      </c>
      <c r="L272" s="4" t="str">
        <f>IF(OR(Копия_20206[[#This Row],[Volume (in 1000 kg)]]&gt;$T$7,Копия_20206[[#This Row],[Volume (in 1000 kg)]]&lt;$T$6),"outlier","not outlier")</f>
        <v>not outlier</v>
      </c>
      <c r="M272" s="4" t="str">
        <f>IF(OR(Копия_20206[[#This Row],[Number of stores]]&gt;$U$7,Копия_20206[[#This Row],[Number of stores]]&lt;$U$6),"outlier","not outlier")</f>
        <v>not outlier</v>
      </c>
    </row>
    <row r="273" spans="1:13" x14ac:dyDescent="0.25">
      <c r="A273">
        <v>2020</v>
      </c>
      <c r="B273">
        <v>5</v>
      </c>
      <c r="C273" s="1" t="s">
        <v>25</v>
      </c>
      <c r="D273" s="1" t="s">
        <v>9</v>
      </c>
      <c r="E273" s="1" t="s">
        <v>10</v>
      </c>
      <c r="F273" s="5">
        <v>62.294499999999999</v>
      </c>
      <c r="G273" s="5">
        <v>3886.4907410000001</v>
      </c>
      <c r="H273" s="5">
        <v>13.081899999999999</v>
      </c>
      <c r="I273">
        <v>7742</v>
      </c>
      <c r="J273" s="4" t="str">
        <f>IF(OR(Копия_20206[[#This Row],[Units (in 1000)]]&gt;$R$7,Копия_20206[[#This Row],[Units (in 1000)]]&lt;$R$6),"outlier","not outlier")</f>
        <v>outlier</v>
      </c>
      <c r="K273" s="4" t="str">
        <f>IF(OR(Копия_20206[[#This Row],[Value (in 1000 rub)]]&gt;$S$7,Копия_20206[[#This Row],[Value (in 1000 rub)]]&lt;$S$6),"outlier","not outlier")</f>
        <v>outlier</v>
      </c>
      <c r="L273" s="4" t="str">
        <f>IF(OR(Копия_20206[[#This Row],[Volume (in 1000 kg)]]&gt;$T$7,Копия_20206[[#This Row],[Volume (in 1000 kg)]]&lt;$T$6),"outlier","not outlier")</f>
        <v>outlier</v>
      </c>
      <c r="M273" s="4" t="str">
        <f>IF(OR(Копия_20206[[#This Row],[Number of stores]]&gt;$U$7,Копия_20206[[#This Row],[Number of stores]]&lt;$U$6),"outlier","not outlier")</f>
        <v>outlier</v>
      </c>
    </row>
    <row r="274" spans="1:13" x14ac:dyDescent="0.25">
      <c r="A274">
        <v>2020</v>
      </c>
      <c r="B274">
        <v>5</v>
      </c>
      <c r="C274" s="1" t="s">
        <v>25</v>
      </c>
      <c r="D274" s="1" t="s">
        <v>9</v>
      </c>
      <c r="E274" s="1" t="s">
        <v>35</v>
      </c>
      <c r="F274" s="5">
        <v>6.9999999999999999E-4</v>
      </c>
      <c r="G274" s="5">
        <v>7.6649999999999996E-2</v>
      </c>
      <c r="H274" s="5">
        <v>2.0000000000000001E-4</v>
      </c>
      <c r="I274">
        <v>1</v>
      </c>
      <c r="J274" s="4" t="str">
        <f>IF(OR(Копия_20206[[#This Row],[Units (in 1000)]]&gt;$R$7,Копия_20206[[#This Row],[Units (in 1000)]]&lt;$R$6),"outlier","not outlier")</f>
        <v>not outlier</v>
      </c>
      <c r="K274" s="4" t="str">
        <f>IF(OR(Копия_20206[[#This Row],[Value (in 1000 rub)]]&gt;$S$7,Копия_20206[[#This Row],[Value (in 1000 rub)]]&lt;$S$6),"outlier","not outlier")</f>
        <v>not outlier</v>
      </c>
      <c r="L274" s="4" t="str">
        <f>IF(OR(Копия_20206[[#This Row],[Volume (in 1000 kg)]]&gt;$T$7,Копия_20206[[#This Row],[Volume (in 1000 kg)]]&lt;$T$6),"outlier","not outlier")</f>
        <v>not outlier</v>
      </c>
      <c r="M274" s="4" t="str">
        <f>IF(OR(Копия_20206[[#This Row],[Number of stores]]&gt;$U$7,Копия_20206[[#This Row],[Number of stores]]&lt;$U$6),"outlier","not outlier")</f>
        <v>not outlier</v>
      </c>
    </row>
    <row r="275" spans="1:13" x14ac:dyDescent="0.25">
      <c r="A275">
        <v>2020</v>
      </c>
      <c r="B275">
        <v>5</v>
      </c>
      <c r="C275" s="1" t="s">
        <v>25</v>
      </c>
      <c r="D275" s="1" t="s">
        <v>9</v>
      </c>
      <c r="E275" s="1" t="s">
        <v>11</v>
      </c>
      <c r="F275" s="5">
        <v>65.035300000000007</v>
      </c>
      <c r="G275" s="5">
        <v>6461.6048849999997</v>
      </c>
      <c r="H275" s="5">
        <v>22.7624</v>
      </c>
      <c r="I275">
        <v>8213</v>
      </c>
      <c r="J275" s="4" t="str">
        <f>IF(OR(Копия_20206[[#This Row],[Units (in 1000)]]&gt;$R$7,Копия_20206[[#This Row],[Units (in 1000)]]&lt;$R$6),"outlier","not outlier")</f>
        <v>outlier</v>
      </c>
      <c r="K275" s="4" t="str">
        <f>IF(OR(Копия_20206[[#This Row],[Value (in 1000 rub)]]&gt;$S$7,Копия_20206[[#This Row],[Value (in 1000 rub)]]&lt;$S$6),"outlier","not outlier")</f>
        <v>outlier</v>
      </c>
      <c r="L275" s="4" t="str">
        <f>IF(OR(Копия_20206[[#This Row],[Volume (in 1000 kg)]]&gt;$T$7,Копия_20206[[#This Row],[Volume (in 1000 kg)]]&lt;$T$6),"outlier","not outlier")</f>
        <v>outlier</v>
      </c>
      <c r="M275" s="4" t="str">
        <f>IF(OR(Копия_20206[[#This Row],[Number of stores]]&gt;$U$7,Копия_20206[[#This Row],[Number of stores]]&lt;$U$6),"outlier","not outlier")</f>
        <v>outlier</v>
      </c>
    </row>
    <row r="276" spans="1:13" x14ac:dyDescent="0.25">
      <c r="A276">
        <v>2020</v>
      </c>
      <c r="B276">
        <v>5</v>
      </c>
      <c r="C276" s="1" t="s">
        <v>25</v>
      </c>
      <c r="D276" s="1" t="s">
        <v>9</v>
      </c>
      <c r="E276" s="1" t="s">
        <v>12</v>
      </c>
      <c r="F276" s="5">
        <v>7.0789999999999997</v>
      </c>
      <c r="G276" s="5">
        <v>978.03047000000004</v>
      </c>
      <c r="H276" s="5">
        <v>3.5394000000000001</v>
      </c>
      <c r="I276">
        <v>1256</v>
      </c>
      <c r="J276" s="4" t="str">
        <f>IF(OR(Копия_20206[[#This Row],[Units (in 1000)]]&gt;$R$7,Копия_20206[[#This Row],[Units (in 1000)]]&lt;$R$6),"outlier","not outlier")</f>
        <v>not outlier</v>
      </c>
      <c r="K276" s="4" t="str">
        <f>IF(OR(Копия_20206[[#This Row],[Value (in 1000 rub)]]&gt;$S$7,Копия_20206[[#This Row],[Value (in 1000 rub)]]&lt;$S$6),"outlier","not outlier")</f>
        <v>not outlier</v>
      </c>
      <c r="L276" s="4" t="str">
        <f>IF(OR(Копия_20206[[#This Row],[Volume (in 1000 kg)]]&gt;$T$7,Копия_20206[[#This Row],[Volume (in 1000 kg)]]&lt;$T$6),"outlier","not outlier")</f>
        <v>not outlier</v>
      </c>
      <c r="M276" s="4" t="str">
        <f>IF(OR(Копия_20206[[#This Row],[Number of stores]]&gt;$U$7,Копия_20206[[#This Row],[Number of stores]]&lt;$U$6),"outlier","not outlier")</f>
        <v>not outlier</v>
      </c>
    </row>
    <row r="277" spans="1:13" x14ac:dyDescent="0.25">
      <c r="A277">
        <v>2020</v>
      </c>
      <c r="B277">
        <v>5</v>
      </c>
      <c r="C277" s="1" t="s">
        <v>25</v>
      </c>
      <c r="D277" s="1" t="s">
        <v>9</v>
      </c>
      <c r="E277" s="1" t="s">
        <v>13</v>
      </c>
      <c r="F277" s="5">
        <v>0.41880000000000001</v>
      </c>
      <c r="G277" s="5">
        <v>71.137856999999997</v>
      </c>
      <c r="H277" s="5">
        <v>0.31409999999999999</v>
      </c>
      <c r="I277">
        <v>337</v>
      </c>
      <c r="J277" s="4" t="str">
        <f>IF(OR(Копия_20206[[#This Row],[Units (in 1000)]]&gt;$R$7,Копия_20206[[#This Row],[Units (in 1000)]]&lt;$R$6),"outlier","not outlier")</f>
        <v>not outlier</v>
      </c>
      <c r="K277" s="4" t="str">
        <f>IF(OR(Копия_20206[[#This Row],[Value (in 1000 rub)]]&gt;$S$7,Копия_20206[[#This Row],[Value (in 1000 rub)]]&lt;$S$6),"outlier","not outlier")</f>
        <v>not outlier</v>
      </c>
      <c r="L277" s="4" t="str">
        <f>IF(OR(Копия_20206[[#This Row],[Volume (in 1000 kg)]]&gt;$T$7,Копия_20206[[#This Row],[Volume (in 1000 kg)]]&lt;$T$6),"outlier","not outlier")</f>
        <v>not outlier</v>
      </c>
      <c r="M277" s="4" t="str">
        <f>IF(OR(Копия_20206[[#This Row],[Number of stores]]&gt;$U$7,Копия_20206[[#This Row],[Number of stores]]&lt;$U$6),"outlier","not outlier")</f>
        <v>not outlier</v>
      </c>
    </row>
    <row r="278" spans="1:13" x14ac:dyDescent="0.25">
      <c r="A278">
        <v>2020</v>
      </c>
      <c r="B278">
        <v>5</v>
      </c>
      <c r="C278" s="1" t="s">
        <v>29</v>
      </c>
      <c r="D278" s="1" t="s">
        <v>9</v>
      </c>
      <c r="E278" s="1" t="s">
        <v>10</v>
      </c>
      <c r="F278" s="5">
        <v>126.6888</v>
      </c>
      <c r="G278" s="5">
        <v>6964.6412339999997</v>
      </c>
      <c r="H278" s="5">
        <v>26.604600000000001</v>
      </c>
      <c r="I278">
        <v>11236</v>
      </c>
      <c r="J278" s="4" t="str">
        <f>IF(OR(Копия_20206[[#This Row],[Units (in 1000)]]&gt;$R$7,Копия_20206[[#This Row],[Units (in 1000)]]&lt;$R$6),"outlier","not outlier")</f>
        <v>outlier</v>
      </c>
      <c r="K278" s="4" t="str">
        <f>IF(OR(Копия_20206[[#This Row],[Value (in 1000 rub)]]&gt;$S$7,Копия_20206[[#This Row],[Value (in 1000 rub)]]&lt;$S$6),"outlier","not outlier")</f>
        <v>outlier</v>
      </c>
      <c r="L278" s="4" t="str">
        <f>IF(OR(Копия_20206[[#This Row],[Volume (in 1000 kg)]]&gt;$T$7,Копия_20206[[#This Row],[Volume (in 1000 kg)]]&lt;$T$6),"outlier","not outlier")</f>
        <v>outlier</v>
      </c>
      <c r="M278" s="4" t="str">
        <f>IF(OR(Копия_20206[[#This Row],[Number of stores]]&gt;$U$7,Копия_20206[[#This Row],[Number of stores]]&lt;$U$6),"outlier","not outlier")</f>
        <v>outlier</v>
      </c>
    </row>
    <row r="279" spans="1:13" x14ac:dyDescent="0.25">
      <c r="A279">
        <v>2020</v>
      </c>
      <c r="B279">
        <v>5</v>
      </c>
      <c r="C279" s="1" t="s">
        <v>29</v>
      </c>
      <c r="D279" s="1" t="s">
        <v>9</v>
      </c>
      <c r="E279" s="1" t="s">
        <v>11</v>
      </c>
      <c r="F279" s="5">
        <v>87.388900000000007</v>
      </c>
      <c r="G279" s="5">
        <v>7894.581306</v>
      </c>
      <c r="H279" s="5">
        <v>30.586099999999998</v>
      </c>
      <c r="I279">
        <v>7935</v>
      </c>
      <c r="J279" s="4" t="str">
        <f>IF(OR(Копия_20206[[#This Row],[Units (in 1000)]]&gt;$R$7,Копия_20206[[#This Row],[Units (in 1000)]]&lt;$R$6),"outlier","not outlier")</f>
        <v>outlier</v>
      </c>
      <c r="K279" s="4" t="str">
        <f>IF(OR(Копия_20206[[#This Row],[Value (in 1000 rub)]]&gt;$S$7,Копия_20206[[#This Row],[Value (in 1000 rub)]]&lt;$S$6),"outlier","not outlier")</f>
        <v>outlier</v>
      </c>
      <c r="L279" s="4" t="str">
        <f>IF(OR(Копия_20206[[#This Row],[Volume (in 1000 kg)]]&gt;$T$7,Копия_20206[[#This Row],[Volume (in 1000 kg)]]&lt;$T$6),"outlier","not outlier")</f>
        <v>outlier</v>
      </c>
      <c r="M279" s="4" t="str">
        <f>IF(OR(Копия_20206[[#This Row],[Number of stores]]&gt;$U$7,Копия_20206[[#This Row],[Number of stores]]&lt;$U$6),"outlier","not outlier")</f>
        <v>outlier</v>
      </c>
    </row>
    <row r="280" spans="1:13" x14ac:dyDescent="0.25">
      <c r="A280">
        <v>2020</v>
      </c>
      <c r="B280">
        <v>5</v>
      </c>
      <c r="C280" s="1" t="s">
        <v>29</v>
      </c>
      <c r="D280" s="1" t="s">
        <v>9</v>
      </c>
      <c r="E280" s="1" t="s">
        <v>12</v>
      </c>
      <c r="F280" s="5">
        <v>17.531400000000001</v>
      </c>
      <c r="G280" s="5">
        <v>2313.4474599999999</v>
      </c>
      <c r="H280" s="5">
        <v>8.7657000000000007</v>
      </c>
      <c r="I280">
        <v>2129</v>
      </c>
      <c r="J280" s="4" t="str">
        <f>IF(OR(Копия_20206[[#This Row],[Units (in 1000)]]&gt;$R$7,Копия_20206[[#This Row],[Units (in 1000)]]&lt;$R$6),"outlier","not outlier")</f>
        <v>not outlier</v>
      </c>
      <c r="K280" s="4" t="str">
        <f>IF(OR(Копия_20206[[#This Row],[Value (in 1000 rub)]]&gt;$S$7,Копия_20206[[#This Row],[Value (in 1000 rub)]]&lt;$S$6),"outlier","not outlier")</f>
        <v>outlier</v>
      </c>
      <c r="L280" s="4" t="str">
        <f>IF(OR(Копия_20206[[#This Row],[Volume (in 1000 kg)]]&gt;$T$7,Копия_20206[[#This Row],[Volume (in 1000 kg)]]&lt;$T$6),"outlier","not outlier")</f>
        <v>outlier</v>
      </c>
      <c r="M280" s="4" t="str">
        <f>IF(OR(Копия_20206[[#This Row],[Number of stores]]&gt;$U$7,Копия_20206[[#This Row],[Number of stores]]&lt;$U$6),"outlier","not outlier")</f>
        <v>not outlier</v>
      </c>
    </row>
    <row r="281" spans="1:13" x14ac:dyDescent="0.25">
      <c r="A281">
        <v>2020</v>
      </c>
      <c r="B281">
        <v>5</v>
      </c>
      <c r="C281" s="1" t="s">
        <v>29</v>
      </c>
      <c r="D281" s="1" t="s">
        <v>9</v>
      </c>
      <c r="E281" s="1" t="s">
        <v>13</v>
      </c>
      <c r="F281" s="5">
        <v>7.5399999999999995E-2</v>
      </c>
      <c r="G281" s="5">
        <v>10.340630000000001</v>
      </c>
      <c r="H281" s="5">
        <v>5.6599999999999998E-2</v>
      </c>
      <c r="I281">
        <v>34</v>
      </c>
      <c r="J281" s="4" t="str">
        <f>IF(OR(Копия_20206[[#This Row],[Units (in 1000)]]&gt;$R$7,Копия_20206[[#This Row],[Units (in 1000)]]&lt;$R$6),"outlier","not outlier")</f>
        <v>not outlier</v>
      </c>
      <c r="K281" s="4" t="str">
        <f>IF(OR(Копия_20206[[#This Row],[Value (in 1000 rub)]]&gt;$S$7,Копия_20206[[#This Row],[Value (in 1000 rub)]]&lt;$S$6),"outlier","not outlier")</f>
        <v>not outlier</v>
      </c>
      <c r="L281" s="4" t="str">
        <f>IF(OR(Копия_20206[[#This Row],[Volume (in 1000 kg)]]&gt;$T$7,Копия_20206[[#This Row],[Volume (in 1000 kg)]]&lt;$T$6),"outlier","not outlier")</f>
        <v>not outlier</v>
      </c>
      <c r="M281" s="4" t="str">
        <f>IF(OR(Копия_20206[[#This Row],[Number of stores]]&gt;$U$7,Копия_20206[[#This Row],[Number of stores]]&lt;$U$6),"outlier","not outlier")</f>
        <v>not outlier</v>
      </c>
    </row>
    <row r="282" spans="1:13" x14ac:dyDescent="0.25">
      <c r="A282">
        <v>2020</v>
      </c>
      <c r="B282">
        <v>6</v>
      </c>
      <c r="C282" s="1" t="s">
        <v>8</v>
      </c>
      <c r="D282" s="1" t="s">
        <v>9</v>
      </c>
      <c r="E282" s="1" t="s">
        <v>10</v>
      </c>
      <c r="F282" s="5">
        <v>17.445499999999999</v>
      </c>
      <c r="G282" s="5">
        <v>1029.598821</v>
      </c>
      <c r="H282" s="5">
        <v>3.6635</v>
      </c>
      <c r="I282">
        <v>598</v>
      </c>
      <c r="J282" s="4" t="str">
        <f>IF(OR(Копия_20206[[#This Row],[Units (in 1000)]]&gt;$R$7,Копия_20206[[#This Row],[Units (in 1000)]]&lt;$R$6),"outlier","not outlier")</f>
        <v>not outlier</v>
      </c>
      <c r="K282" s="4" t="str">
        <f>IF(OR(Копия_20206[[#This Row],[Value (in 1000 rub)]]&gt;$S$7,Копия_20206[[#This Row],[Value (in 1000 rub)]]&lt;$S$6),"outlier","not outlier")</f>
        <v>not outlier</v>
      </c>
      <c r="L282" s="4" t="str">
        <f>IF(OR(Копия_20206[[#This Row],[Volume (in 1000 kg)]]&gt;$T$7,Копия_20206[[#This Row],[Volume (in 1000 kg)]]&lt;$T$6),"outlier","not outlier")</f>
        <v>not outlier</v>
      </c>
      <c r="M282" s="4" t="str">
        <f>IF(OR(Копия_20206[[#This Row],[Number of stores]]&gt;$U$7,Копия_20206[[#This Row],[Number of stores]]&lt;$U$6),"outlier","not outlier")</f>
        <v>not outlier</v>
      </c>
    </row>
    <row r="283" spans="1:13" x14ac:dyDescent="0.25">
      <c r="A283">
        <v>2020</v>
      </c>
      <c r="B283">
        <v>6</v>
      </c>
      <c r="C283" s="1" t="s">
        <v>8</v>
      </c>
      <c r="D283" s="1" t="s">
        <v>9</v>
      </c>
      <c r="E283" s="1" t="s">
        <v>11</v>
      </c>
      <c r="F283" s="5">
        <v>45.063200000000002</v>
      </c>
      <c r="G283" s="5">
        <v>4036.5836749999999</v>
      </c>
      <c r="H283" s="5">
        <v>15.7722</v>
      </c>
      <c r="I283">
        <v>719</v>
      </c>
      <c r="J283" s="4" t="str">
        <f>IF(OR(Копия_20206[[#This Row],[Units (in 1000)]]&gt;$R$7,Копия_20206[[#This Row],[Units (in 1000)]]&lt;$R$6),"outlier","not outlier")</f>
        <v>outlier</v>
      </c>
      <c r="K283" s="4" t="str">
        <f>IF(OR(Копия_20206[[#This Row],[Value (in 1000 rub)]]&gt;$S$7,Копия_20206[[#This Row],[Value (in 1000 rub)]]&lt;$S$6),"outlier","not outlier")</f>
        <v>outlier</v>
      </c>
      <c r="L283" s="4" t="str">
        <f>IF(OR(Копия_20206[[#This Row],[Volume (in 1000 kg)]]&gt;$T$7,Копия_20206[[#This Row],[Volume (in 1000 kg)]]&lt;$T$6),"outlier","not outlier")</f>
        <v>outlier</v>
      </c>
      <c r="M283" s="4" t="str">
        <f>IF(OR(Копия_20206[[#This Row],[Number of stores]]&gt;$U$7,Копия_20206[[#This Row],[Number of stores]]&lt;$U$6),"outlier","not outlier")</f>
        <v>not outlier</v>
      </c>
    </row>
    <row r="284" spans="1:13" x14ac:dyDescent="0.25">
      <c r="A284">
        <v>2020</v>
      </c>
      <c r="B284">
        <v>6</v>
      </c>
      <c r="C284" s="1" t="s">
        <v>8</v>
      </c>
      <c r="D284" s="1" t="s">
        <v>9</v>
      </c>
      <c r="E284" s="1" t="s">
        <v>12</v>
      </c>
      <c r="F284" s="5">
        <v>50.0413</v>
      </c>
      <c r="G284" s="5">
        <v>5268.2994339999996</v>
      </c>
      <c r="H284" s="5">
        <v>25.020600000000002</v>
      </c>
      <c r="I284">
        <v>620</v>
      </c>
      <c r="J284" s="4" t="str">
        <f>IF(OR(Копия_20206[[#This Row],[Units (in 1000)]]&gt;$R$7,Копия_20206[[#This Row],[Units (in 1000)]]&lt;$R$6),"outlier","not outlier")</f>
        <v>outlier</v>
      </c>
      <c r="K284" s="4" t="str">
        <f>IF(OR(Копия_20206[[#This Row],[Value (in 1000 rub)]]&gt;$S$7,Копия_20206[[#This Row],[Value (in 1000 rub)]]&lt;$S$6),"outlier","not outlier")</f>
        <v>outlier</v>
      </c>
      <c r="L284" s="4" t="str">
        <f>IF(OR(Копия_20206[[#This Row],[Volume (in 1000 kg)]]&gt;$T$7,Копия_20206[[#This Row],[Volume (in 1000 kg)]]&lt;$T$6),"outlier","not outlier")</f>
        <v>outlier</v>
      </c>
      <c r="M284" s="4" t="str">
        <f>IF(OR(Копия_20206[[#This Row],[Number of stores]]&gt;$U$7,Копия_20206[[#This Row],[Number of stores]]&lt;$U$6),"outlier","not outlier")</f>
        <v>not outlier</v>
      </c>
    </row>
    <row r="285" spans="1:13" x14ac:dyDescent="0.25">
      <c r="A285">
        <v>2020</v>
      </c>
      <c r="B285">
        <v>6</v>
      </c>
      <c r="C285" s="1" t="s">
        <v>8</v>
      </c>
      <c r="D285" s="1" t="s">
        <v>9</v>
      </c>
      <c r="E285" s="1" t="s">
        <v>13</v>
      </c>
      <c r="F285" s="5">
        <v>2.0630000000000002</v>
      </c>
      <c r="G285" s="5">
        <v>213.29415299999999</v>
      </c>
      <c r="H285" s="5">
        <v>1.5472999999999999</v>
      </c>
      <c r="I285">
        <v>22</v>
      </c>
      <c r="J285" s="4" t="str">
        <f>IF(OR(Копия_20206[[#This Row],[Units (in 1000)]]&gt;$R$7,Копия_20206[[#This Row],[Units (in 1000)]]&lt;$R$6),"outlier","not outlier")</f>
        <v>not outlier</v>
      </c>
      <c r="K285" s="4" t="str">
        <f>IF(OR(Копия_20206[[#This Row],[Value (in 1000 rub)]]&gt;$S$7,Копия_20206[[#This Row],[Value (in 1000 rub)]]&lt;$S$6),"outlier","not outlier")</f>
        <v>not outlier</v>
      </c>
      <c r="L285" s="4" t="str">
        <f>IF(OR(Копия_20206[[#This Row],[Volume (in 1000 kg)]]&gt;$T$7,Копия_20206[[#This Row],[Volume (in 1000 kg)]]&lt;$T$6),"outlier","not outlier")</f>
        <v>not outlier</v>
      </c>
      <c r="M285" s="4" t="str">
        <f>IF(OR(Копия_20206[[#This Row],[Number of stores]]&gt;$U$7,Копия_20206[[#This Row],[Number of stores]]&lt;$U$6),"outlier","not outlier")</f>
        <v>not outlier</v>
      </c>
    </row>
    <row r="286" spans="1:13" x14ac:dyDescent="0.25">
      <c r="A286">
        <v>2020</v>
      </c>
      <c r="B286">
        <v>6</v>
      </c>
      <c r="C286" s="1" t="s">
        <v>25</v>
      </c>
      <c r="D286" s="1" t="s">
        <v>9</v>
      </c>
      <c r="E286" s="1" t="s">
        <v>10</v>
      </c>
      <c r="F286" s="5">
        <v>45.3431</v>
      </c>
      <c r="G286" s="5">
        <v>3056.350782</v>
      </c>
      <c r="H286" s="5">
        <v>9.5220000000000002</v>
      </c>
      <c r="I286">
        <v>7767</v>
      </c>
      <c r="J286" s="4" t="str">
        <f>IF(OR(Копия_20206[[#This Row],[Units (in 1000)]]&gt;$R$7,Копия_20206[[#This Row],[Units (in 1000)]]&lt;$R$6),"outlier","not outlier")</f>
        <v>outlier</v>
      </c>
      <c r="K286" s="4" t="str">
        <f>IF(OR(Копия_20206[[#This Row],[Value (in 1000 rub)]]&gt;$S$7,Копия_20206[[#This Row],[Value (in 1000 rub)]]&lt;$S$6),"outlier","not outlier")</f>
        <v>outlier</v>
      </c>
      <c r="L286" s="4" t="str">
        <f>IF(OR(Копия_20206[[#This Row],[Volume (in 1000 kg)]]&gt;$T$7,Копия_20206[[#This Row],[Volume (in 1000 kg)]]&lt;$T$6),"outlier","not outlier")</f>
        <v>outlier</v>
      </c>
      <c r="M286" s="4" t="str">
        <f>IF(OR(Копия_20206[[#This Row],[Number of stores]]&gt;$U$7,Копия_20206[[#This Row],[Number of stores]]&lt;$U$6),"outlier","not outlier")</f>
        <v>outlier</v>
      </c>
    </row>
    <row r="287" spans="1:13" x14ac:dyDescent="0.25">
      <c r="A287">
        <v>2020</v>
      </c>
      <c r="B287">
        <v>6</v>
      </c>
      <c r="C287" s="1" t="s">
        <v>25</v>
      </c>
      <c r="D287" s="1" t="s">
        <v>9</v>
      </c>
      <c r="E287" s="1" t="s">
        <v>35</v>
      </c>
      <c r="F287" s="5">
        <v>1.2999999999999999E-3</v>
      </c>
      <c r="G287" s="5">
        <v>0.142293</v>
      </c>
      <c r="H287" s="5">
        <v>4.0000000000000002E-4</v>
      </c>
      <c r="I287">
        <v>2</v>
      </c>
      <c r="J287" s="4" t="str">
        <f>IF(OR(Копия_20206[[#This Row],[Units (in 1000)]]&gt;$R$7,Копия_20206[[#This Row],[Units (in 1000)]]&lt;$R$6),"outlier","not outlier")</f>
        <v>not outlier</v>
      </c>
      <c r="K287" s="4" t="str">
        <f>IF(OR(Копия_20206[[#This Row],[Value (in 1000 rub)]]&gt;$S$7,Копия_20206[[#This Row],[Value (in 1000 rub)]]&lt;$S$6),"outlier","not outlier")</f>
        <v>not outlier</v>
      </c>
      <c r="L287" s="4" t="str">
        <f>IF(OR(Копия_20206[[#This Row],[Volume (in 1000 kg)]]&gt;$T$7,Копия_20206[[#This Row],[Volume (in 1000 kg)]]&lt;$T$6),"outlier","not outlier")</f>
        <v>not outlier</v>
      </c>
      <c r="M287" s="4" t="str">
        <f>IF(OR(Копия_20206[[#This Row],[Number of stores]]&gt;$U$7,Копия_20206[[#This Row],[Number of stores]]&lt;$U$6),"outlier","not outlier")</f>
        <v>not outlier</v>
      </c>
    </row>
    <row r="288" spans="1:13" x14ac:dyDescent="0.25">
      <c r="A288">
        <v>2020</v>
      </c>
      <c r="B288">
        <v>6</v>
      </c>
      <c r="C288" s="1" t="s">
        <v>25</v>
      </c>
      <c r="D288" s="1" t="s">
        <v>9</v>
      </c>
      <c r="E288" s="1" t="s">
        <v>11</v>
      </c>
      <c r="F288" s="5">
        <v>76.652299999999997</v>
      </c>
      <c r="G288" s="5">
        <v>6777.6139649999996</v>
      </c>
      <c r="H288" s="5">
        <v>26.828199999999999</v>
      </c>
      <c r="I288">
        <v>8911</v>
      </c>
      <c r="J288" s="4" t="str">
        <f>IF(OR(Копия_20206[[#This Row],[Units (in 1000)]]&gt;$R$7,Копия_20206[[#This Row],[Units (in 1000)]]&lt;$R$6),"outlier","not outlier")</f>
        <v>outlier</v>
      </c>
      <c r="K288" s="4" t="str">
        <f>IF(OR(Копия_20206[[#This Row],[Value (in 1000 rub)]]&gt;$S$7,Копия_20206[[#This Row],[Value (in 1000 rub)]]&lt;$S$6),"outlier","not outlier")</f>
        <v>outlier</v>
      </c>
      <c r="L288" s="4" t="str">
        <f>IF(OR(Копия_20206[[#This Row],[Volume (in 1000 kg)]]&gt;$T$7,Копия_20206[[#This Row],[Volume (in 1000 kg)]]&lt;$T$6),"outlier","not outlier")</f>
        <v>outlier</v>
      </c>
      <c r="M288" s="4" t="str">
        <f>IF(OR(Копия_20206[[#This Row],[Number of stores]]&gt;$U$7,Копия_20206[[#This Row],[Number of stores]]&lt;$U$6),"outlier","not outlier")</f>
        <v>outlier</v>
      </c>
    </row>
    <row r="289" spans="1:13" x14ac:dyDescent="0.25">
      <c r="A289">
        <v>2020</v>
      </c>
      <c r="B289">
        <v>6</v>
      </c>
      <c r="C289" s="1" t="s">
        <v>25</v>
      </c>
      <c r="D289" s="1" t="s">
        <v>9</v>
      </c>
      <c r="E289" s="1" t="s">
        <v>12</v>
      </c>
      <c r="F289" s="5">
        <v>5.9657999999999998</v>
      </c>
      <c r="G289" s="5">
        <v>822.03046200000006</v>
      </c>
      <c r="H289" s="5">
        <v>2.9828999999999999</v>
      </c>
      <c r="I289">
        <v>1480</v>
      </c>
      <c r="J289" s="4" t="str">
        <f>IF(OR(Копия_20206[[#This Row],[Units (in 1000)]]&gt;$R$7,Копия_20206[[#This Row],[Units (in 1000)]]&lt;$R$6),"outlier","not outlier")</f>
        <v>not outlier</v>
      </c>
      <c r="K289" s="4" t="str">
        <f>IF(OR(Копия_20206[[#This Row],[Value (in 1000 rub)]]&gt;$S$7,Копия_20206[[#This Row],[Value (in 1000 rub)]]&lt;$S$6),"outlier","not outlier")</f>
        <v>not outlier</v>
      </c>
      <c r="L289" s="4" t="str">
        <f>IF(OR(Копия_20206[[#This Row],[Volume (in 1000 kg)]]&gt;$T$7,Копия_20206[[#This Row],[Volume (in 1000 kg)]]&lt;$T$6),"outlier","not outlier")</f>
        <v>not outlier</v>
      </c>
      <c r="M289" s="4" t="str">
        <f>IF(OR(Копия_20206[[#This Row],[Number of stores]]&gt;$U$7,Копия_20206[[#This Row],[Number of stores]]&lt;$U$6),"outlier","not outlier")</f>
        <v>not outlier</v>
      </c>
    </row>
    <row r="290" spans="1:13" x14ac:dyDescent="0.25">
      <c r="A290">
        <v>2020</v>
      </c>
      <c r="B290">
        <v>6</v>
      </c>
      <c r="C290" s="1" t="s">
        <v>25</v>
      </c>
      <c r="D290" s="1" t="s">
        <v>9</v>
      </c>
      <c r="E290" s="1" t="s">
        <v>13</v>
      </c>
      <c r="F290" s="5">
        <v>0.41570000000000001</v>
      </c>
      <c r="G290" s="5">
        <v>66.629109999999997</v>
      </c>
      <c r="H290" s="5">
        <v>0.31180000000000002</v>
      </c>
      <c r="I290">
        <v>308</v>
      </c>
      <c r="J290" s="4" t="str">
        <f>IF(OR(Копия_20206[[#This Row],[Units (in 1000)]]&gt;$R$7,Копия_20206[[#This Row],[Units (in 1000)]]&lt;$R$6),"outlier","not outlier")</f>
        <v>not outlier</v>
      </c>
      <c r="K290" s="4" t="str">
        <f>IF(OR(Копия_20206[[#This Row],[Value (in 1000 rub)]]&gt;$S$7,Копия_20206[[#This Row],[Value (in 1000 rub)]]&lt;$S$6),"outlier","not outlier")</f>
        <v>not outlier</v>
      </c>
      <c r="L290" s="4" t="str">
        <f>IF(OR(Копия_20206[[#This Row],[Volume (in 1000 kg)]]&gt;$T$7,Копия_20206[[#This Row],[Volume (in 1000 kg)]]&lt;$T$6),"outlier","not outlier")</f>
        <v>not outlier</v>
      </c>
      <c r="M290" s="4" t="str">
        <f>IF(OR(Копия_20206[[#This Row],[Number of stores]]&gt;$U$7,Копия_20206[[#This Row],[Number of stores]]&lt;$U$6),"outlier","not outlier")</f>
        <v>not outlier</v>
      </c>
    </row>
    <row r="291" spans="1:13" x14ac:dyDescent="0.25">
      <c r="A291">
        <v>2020</v>
      </c>
      <c r="B291">
        <v>6</v>
      </c>
      <c r="C291" s="1" t="s">
        <v>29</v>
      </c>
      <c r="D291" s="1" t="s">
        <v>9</v>
      </c>
      <c r="E291" s="1" t="s">
        <v>10</v>
      </c>
      <c r="F291" s="5">
        <v>75.933400000000006</v>
      </c>
      <c r="G291" s="5">
        <v>4901.7206390000001</v>
      </c>
      <c r="H291" s="5">
        <v>15.946</v>
      </c>
      <c r="I291">
        <v>10036</v>
      </c>
      <c r="J291" s="4" t="str">
        <f>IF(OR(Копия_20206[[#This Row],[Units (in 1000)]]&gt;$R$7,Копия_20206[[#This Row],[Units (in 1000)]]&lt;$R$6),"outlier","not outlier")</f>
        <v>outlier</v>
      </c>
      <c r="K291" s="4" t="str">
        <f>IF(OR(Копия_20206[[#This Row],[Value (in 1000 rub)]]&gt;$S$7,Копия_20206[[#This Row],[Value (in 1000 rub)]]&lt;$S$6),"outlier","not outlier")</f>
        <v>outlier</v>
      </c>
      <c r="L291" s="4" t="str">
        <f>IF(OR(Копия_20206[[#This Row],[Volume (in 1000 kg)]]&gt;$T$7,Копия_20206[[#This Row],[Volume (in 1000 kg)]]&lt;$T$6),"outlier","not outlier")</f>
        <v>outlier</v>
      </c>
      <c r="M291" s="4" t="str">
        <f>IF(OR(Копия_20206[[#This Row],[Number of stores]]&gt;$U$7,Копия_20206[[#This Row],[Number of stores]]&lt;$U$6),"outlier","not outlier")</f>
        <v>outlier</v>
      </c>
    </row>
    <row r="292" spans="1:13" x14ac:dyDescent="0.25">
      <c r="A292">
        <v>2020</v>
      </c>
      <c r="B292">
        <v>6</v>
      </c>
      <c r="C292" s="1" t="s">
        <v>29</v>
      </c>
      <c r="D292" s="1" t="s">
        <v>9</v>
      </c>
      <c r="E292" s="1" t="s">
        <v>11</v>
      </c>
      <c r="F292" s="5">
        <v>96.819900000000004</v>
      </c>
      <c r="G292" s="5">
        <v>7862.0244970000003</v>
      </c>
      <c r="H292" s="5">
        <v>33.887</v>
      </c>
      <c r="I292">
        <v>8203</v>
      </c>
      <c r="J292" s="4" t="str">
        <f>IF(OR(Копия_20206[[#This Row],[Units (in 1000)]]&gt;$R$7,Копия_20206[[#This Row],[Units (in 1000)]]&lt;$R$6),"outlier","not outlier")</f>
        <v>outlier</v>
      </c>
      <c r="K292" s="4" t="str">
        <f>IF(OR(Копия_20206[[#This Row],[Value (in 1000 rub)]]&gt;$S$7,Копия_20206[[#This Row],[Value (in 1000 rub)]]&lt;$S$6),"outlier","not outlier")</f>
        <v>outlier</v>
      </c>
      <c r="L292" s="4" t="str">
        <f>IF(OR(Копия_20206[[#This Row],[Volume (in 1000 kg)]]&gt;$T$7,Копия_20206[[#This Row],[Volume (in 1000 kg)]]&lt;$T$6),"outlier","not outlier")</f>
        <v>outlier</v>
      </c>
      <c r="M292" s="4" t="str">
        <f>IF(OR(Копия_20206[[#This Row],[Number of stores]]&gt;$U$7,Копия_20206[[#This Row],[Number of stores]]&lt;$U$6),"outlier","not outlier")</f>
        <v>outlier</v>
      </c>
    </row>
    <row r="293" spans="1:13" x14ac:dyDescent="0.25">
      <c r="A293">
        <v>2020</v>
      </c>
      <c r="B293">
        <v>6</v>
      </c>
      <c r="C293" s="1" t="s">
        <v>29</v>
      </c>
      <c r="D293" s="1" t="s">
        <v>9</v>
      </c>
      <c r="E293" s="1" t="s">
        <v>12</v>
      </c>
      <c r="F293" s="5">
        <v>14.841699999999999</v>
      </c>
      <c r="G293" s="5">
        <v>1864.033093</v>
      </c>
      <c r="H293" s="5">
        <v>7.4207999999999998</v>
      </c>
      <c r="I293">
        <v>1810</v>
      </c>
      <c r="J293" s="4" t="str">
        <f>IF(OR(Копия_20206[[#This Row],[Units (in 1000)]]&gt;$R$7,Копия_20206[[#This Row],[Units (in 1000)]]&lt;$R$6),"outlier","not outlier")</f>
        <v>not outlier</v>
      </c>
      <c r="K293" s="4" t="str">
        <f>IF(OR(Копия_20206[[#This Row],[Value (in 1000 rub)]]&gt;$S$7,Копия_20206[[#This Row],[Value (in 1000 rub)]]&lt;$S$6),"outlier","not outlier")</f>
        <v>not outlier</v>
      </c>
      <c r="L293" s="4" t="str">
        <f>IF(OR(Копия_20206[[#This Row],[Volume (in 1000 kg)]]&gt;$T$7,Копия_20206[[#This Row],[Volume (in 1000 kg)]]&lt;$T$6),"outlier","not outlier")</f>
        <v>outlier</v>
      </c>
      <c r="M293" s="4" t="str">
        <f>IF(OR(Копия_20206[[#This Row],[Number of stores]]&gt;$U$7,Копия_20206[[#This Row],[Number of stores]]&lt;$U$6),"outlier","not outlier")</f>
        <v>not outlier</v>
      </c>
    </row>
    <row r="294" spans="1:13" x14ac:dyDescent="0.25">
      <c r="A294">
        <v>2020</v>
      </c>
      <c r="B294">
        <v>6</v>
      </c>
      <c r="C294" s="1" t="s">
        <v>29</v>
      </c>
      <c r="D294" s="1" t="s">
        <v>9</v>
      </c>
      <c r="E294" s="1" t="s">
        <v>13</v>
      </c>
      <c r="F294" s="5">
        <v>0.1094</v>
      </c>
      <c r="G294" s="5">
        <v>15.912793000000001</v>
      </c>
      <c r="H294" s="5">
        <v>8.2000000000000003E-2</v>
      </c>
      <c r="I294">
        <v>71</v>
      </c>
      <c r="J294" s="4" t="str">
        <f>IF(OR(Копия_20206[[#This Row],[Units (in 1000)]]&gt;$R$7,Копия_20206[[#This Row],[Units (in 1000)]]&lt;$R$6),"outlier","not outlier")</f>
        <v>not outlier</v>
      </c>
      <c r="K294" s="4" t="str">
        <f>IF(OR(Копия_20206[[#This Row],[Value (in 1000 rub)]]&gt;$S$7,Копия_20206[[#This Row],[Value (in 1000 rub)]]&lt;$S$6),"outlier","not outlier")</f>
        <v>not outlier</v>
      </c>
      <c r="L294" s="4" t="str">
        <f>IF(OR(Копия_20206[[#This Row],[Volume (in 1000 kg)]]&gt;$T$7,Копия_20206[[#This Row],[Volume (in 1000 kg)]]&lt;$T$6),"outlier","not outlier")</f>
        <v>not outlier</v>
      </c>
      <c r="M294" s="4" t="str">
        <f>IF(OR(Копия_20206[[#This Row],[Number of stores]]&gt;$U$7,Копия_20206[[#This Row],[Number of stores]]&lt;$U$6),"outlier","not outlier")</f>
        <v>not outlier</v>
      </c>
    </row>
    <row r="295" spans="1:13" x14ac:dyDescent="0.25">
      <c r="A295">
        <v>2020</v>
      </c>
      <c r="B295">
        <v>7</v>
      </c>
      <c r="C295" s="1" t="s">
        <v>8</v>
      </c>
      <c r="D295" s="1" t="s">
        <v>9</v>
      </c>
      <c r="E295" s="1" t="s">
        <v>10</v>
      </c>
      <c r="F295" s="5">
        <v>15.116899999999999</v>
      </c>
      <c r="G295" s="5">
        <v>870.32508299999995</v>
      </c>
      <c r="H295" s="5">
        <v>3.1745999999999999</v>
      </c>
      <c r="I295">
        <v>608</v>
      </c>
      <c r="J295" s="4" t="str">
        <f>IF(OR(Копия_20206[[#This Row],[Units (in 1000)]]&gt;$R$7,Копия_20206[[#This Row],[Units (in 1000)]]&lt;$R$6),"outlier","not outlier")</f>
        <v>not outlier</v>
      </c>
      <c r="K295" s="4" t="str">
        <f>IF(OR(Копия_20206[[#This Row],[Value (in 1000 rub)]]&gt;$S$7,Копия_20206[[#This Row],[Value (in 1000 rub)]]&lt;$S$6),"outlier","not outlier")</f>
        <v>not outlier</v>
      </c>
      <c r="L295" s="4" t="str">
        <f>IF(OR(Копия_20206[[#This Row],[Volume (in 1000 kg)]]&gt;$T$7,Копия_20206[[#This Row],[Volume (in 1000 kg)]]&lt;$T$6),"outlier","not outlier")</f>
        <v>not outlier</v>
      </c>
      <c r="M295" s="4" t="str">
        <f>IF(OR(Копия_20206[[#This Row],[Number of stores]]&gt;$U$7,Копия_20206[[#This Row],[Number of stores]]&lt;$U$6),"outlier","not outlier")</f>
        <v>not outlier</v>
      </c>
    </row>
    <row r="296" spans="1:13" x14ac:dyDescent="0.25">
      <c r="A296">
        <v>2020</v>
      </c>
      <c r="B296">
        <v>7</v>
      </c>
      <c r="C296" s="1" t="s">
        <v>8</v>
      </c>
      <c r="D296" s="1" t="s">
        <v>9</v>
      </c>
      <c r="E296" s="1" t="s">
        <v>11</v>
      </c>
      <c r="F296" s="5">
        <v>87.891099999999994</v>
      </c>
      <c r="G296" s="5">
        <v>7403.3548629999996</v>
      </c>
      <c r="H296" s="5">
        <v>30.761800000000001</v>
      </c>
      <c r="I296">
        <v>714</v>
      </c>
      <c r="J296" s="4" t="str">
        <f>IF(OR(Копия_20206[[#This Row],[Units (in 1000)]]&gt;$R$7,Копия_20206[[#This Row],[Units (in 1000)]]&lt;$R$6),"outlier","not outlier")</f>
        <v>outlier</v>
      </c>
      <c r="K296" s="4" t="str">
        <f>IF(OR(Копия_20206[[#This Row],[Value (in 1000 rub)]]&gt;$S$7,Копия_20206[[#This Row],[Value (in 1000 rub)]]&lt;$S$6),"outlier","not outlier")</f>
        <v>outlier</v>
      </c>
      <c r="L296" s="4" t="str">
        <f>IF(OR(Копия_20206[[#This Row],[Volume (in 1000 kg)]]&gt;$T$7,Копия_20206[[#This Row],[Volume (in 1000 kg)]]&lt;$T$6),"outlier","not outlier")</f>
        <v>outlier</v>
      </c>
      <c r="M296" s="4" t="str">
        <f>IF(OR(Копия_20206[[#This Row],[Number of stores]]&gt;$U$7,Копия_20206[[#This Row],[Number of stores]]&lt;$U$6),"outlier","not outlier")</f>
        <v>not outlier</v>
      </c>
    </row>
    <row r="297" spans="1:13" x14ac:dyDescent="0.25">
      <c r="A297">
        <v>2020</v>
      </c>
      <c r="B297">
        <v>7</v>
      </c>
      <c r="C297" s="1" t="s">
        <v>8</v>
      </c>
      <c r="D297" s="1" t="s">
        <v>9</v>
      </c>
      <c r="E297" s="1" t="s">
        <v>12</v>
      </c>
      <c r="F297" s="5">
        <v>21.0883</v>
      </c>
      <c r="G297" s="5">
        <v>2552.4830870000001</v>
      </c>
      <c r="H297" s="5">
        <v>10.5441</v>
      </c>
      <c r="I297">
        <v>578</v>
      </c>
      <c r="J297" s="4" t="str">
        <f>IF(OR(Копия_20206[[#This Row],[Units (in 1000)]]&gt;$R$7,Копия_20206[[#This Row],[Units (in 1000)]]&lt;$R$6),"outlier","not outlier")</f>
        <v>not outlier</v>
      </c>
      <c r="K297" s="4" t="str">
        <f>IF(OR(Копия_20206[[#This Row],[Value (in 1000 rub)]]&gt;$S$7,Копия_20206[[#This Row],[Value (in 1000 rub)]]&lt;$S$6),"outlier","not outlier")</f>
        <v>outlier</v>
      </c>
      <c r="L297" s="4" t="str">
        <f>IF(OR(Копия_20206[[#This Row],[Volume (in 1000 kg)]]&gt;$T$7,Копия_20206[[#This Row],[Volume (in 1000 kg)]]&lt;$T$6),"outlier","not outlier")</f>
        <v>outlier</v>
      </c>
      <c r="M297" s="4" t="str">
        <f>IF(OR(Копия_20206[[#This Row],[Number of stores]]&gt;$U$7,Копия_20206[[#This Row],[Number of stores]]&lt;$U$6),"outlier","not outlier")</f>
        <v>not outlier</v>
      </c>
    </row>
    <row r="298" spans="1:13" x14ac:dyDescent="0.25">
      <c r="A298">
        <v>2020</v>
      </c>
      <c r="B298">
        <v>7</v>
      </c>
      <c r="C298" s="1" t="s">
        <v>8</v>
      </c>
      <c r="D298" s="1" t="s">
        <v>9</v>
      </c>
      <c r="E298" s="1" t="s">
        <v>13</v>
      </c>
      <c r="F298" s="5">
        <v>3.56E-2</v>
      </c>
      <c r="G298" s="5">
        <v>6.2832290000000004</v>
      </c>
      <c r="H298" s="5">
        <v>2.6700000000000002E-2</v>
      </c>
      <c r="I298">
        <v>10</v>
      </c>
      <c r="J298" s="4" t="str">
        <f>IF(OR(Копия_20206[[#This Row],[Units (in 1000)]]&gt;$R$7,Копия_20206[[#This Row],[Units (in 1000)]]&lt;$R$6),"outlier","not outlier")</f>
        <v>not outlier</v>
      </c>
      <c r="K298" s="4" t="str">
        <f>IF(OR(Копия_20206[[#This Row],[Value (in 1000 rub)]]&gt;$S$7,Копия_20206[[#This Row],[Value (in 1000 rub)]]&lt;$S$6),"outlier","not outlier")</f>
        <v>not outlier</v>
      </c>
      <c r="L298" s="4" t="str">
        <f>IF(OR(Копия_20206[[#This Row],[Volume (in 1000 kg)]]&gt;$T$7,Копия_20206[[#This Row],[Volume (in 1000 kg)]]&lt;$T$6),"outlier","not outlier")</f>
        <v>not outlier</v>
      </c>
      <c r="M298" s="4" t="str">
        <f>IF(OR(Копия_20206[[#This Row],[Number of stores]]&gt;$U$7,Копия_20206[[#This Row],[Number of stores]]&lt;$U$6),"outlier","not outlier")</f>
        <v>not outlier</v>
      </c>
    </row>
    <row r="299" spans="1:13" x14ac:dyDescent="0.25">
      <c r="A299">
        <v>2020</v>
      </c>
      <c r="B299">
        <v>7</v>
      </c>
      <c r="C299" s="1" t="s">
        <v>25</v>
      </c>
      <c r="D299" s="1" t="s">
        <v>9</v>
      </c>
      <c r="E299" s="1" t="s">
        <v>10</v>
      </c>
      <c r="F299" s="5">
        <v>50.706299999999999</v>
      </c>
      <c r="G299" s="5">
        <v>3398.4730479999998</v>
      </c>
      <c r="H299" s="5">
        <v>10.648300000000001</v>
      </c>
      <c r="I299">
        <v>8349</v>
      </c>
      <c r="J299" s="4" t="str">
        <f>IF(OR(Копия_20206[[#This Row],[Units (in 1000)]]&gt;$R$7,Копия_20206[[#This Row],[Units (in 1000)]]&lt;$R$6),"outlier","not outlier")</f>
        <v>outlier</v>
      </c>
      <c r="K299" s="4" t="str">
        <f>IF(OR(Копия_20206[[#This Row],[Value (in 1000 rub)]]&gt;$S$7,Копия_20206[[#This Row],[Value (in 1000 rub)]]&lt;$S$6),"outlier","not outlier")</f>
        <v>outlier</v>
      </c>
      <c r="L299" s="4" t="str">
        <f>IF(OR(Копия_20206[[#This Row],[Volume (in 1000 kg)]]&gt;$T$7,Копия_20206[[#This Row],[Volume (in 1000 kg)]]&lt;$T$6),"outlier","not outlier")</f>
        <v>outlier</v>
      </c>
      <c r="M299" s="4" t="str">
        <f>IF(OR(Копия_20206[[#This Row],[Number of stores]]&gt;$U$7,Копия_20206[[#This Row],[Number of stores]]&lt;$U$6),"outlier","not outlier")</f>
        <v>outlier</v>
      </c>
    </row>
    <row r="300" spans="1:13" x14ac:dyDescent="0.25">
      <c r="A300">
        <v>2020</v>
      </c>
      <c r="B300">
        <v>7</v>
      </c>
      <c r="C300" s="1" t="s">
        <v>25</v>
      </c>
      <c r="D300" s="1" t="s">
        <v>9</v>
      </c>
      <c r="E300" s="1" t="s">
        <v>35</v>
      </c>
      <c r="F300" s="5">
        <v>1E-4</v>
      </c>
      <c r="G300" s="5">
        <v>1.0940999999999999E-2</v>
      </c>
      <c r="H300" s="4" t="s">
        <v>58</v>
      </c>
      <c r="I300">
        <v>0</v>
      </c>
      <c r="J300" s="4" t="str">
        <f>IF(OR(Копия_20206[[#This Row],[Units (in 1000)]]&gt;$R$7,Копия_20206[[#This Row],[Units (in 1000)]]&lt;$R$6),"outlier","not outlier")</f>
        <v>not outlier</v>
      </c>
      <c r="K300" s="4" t="str">
        <f>IF(OR(Копия_20206[[#This Row],[Value (in 1000 rub)]]&gt;$S$7,Копия_20206[[#This Row],[Value (in 1000 rub)]]&lt;$S$6),"outlier","not outlier")</f>
        <v>not outlier</v>
      </c>
      <c r="L300" s="4" t="str">
        <f>IF(OR(Копия_20206[[#This Row],[Volume (in 1000 kg)]]&gt;$T$7,Копия_20206[[#This Row],[Volume (in 1000 kg)]]&lt;$T$6),"outlier","not outlier")</f>
        <v>outlier</v>
      </c>
      <c r="M300" s="4" t="str">
        <f>IF(OR(Копия_20206[[#This Row],[Number of stores]]&gt;$U$7,Копия_20206[[#This Row],[Number of stores]]&lt;$U$6),"outlier","not outlier")</f>
        <v>not outlier</v>
      </c>
    </row>
    <row r="301" spans="1:13" x14ac:dyDescent="0.25">
      <c r="A301">
        <v>2020</v>
      </c>
      <c r="B301">
        <v>7</v>
      </c>
      <c r="C301" s="1" t="s">
        <v>25</v>
      </c>
      <c r="D301" s="1" t="s">
        <v>9</v>
      </c>
      <c r="E301" s="1" t="s">
        <v>11</v>
      </c>
      <c r="F301" s="5">
        <v>63.533499999999997</v>
      </c>
      <c r="G301" s="5">
        <v>5999.0034340000002</v>
      </c>
      <c r="H301" s="5">
        <v>22.236699999999999</v>
      </c>
      <c r="I301">
        <v>8630</v>
      </c>
      <c r="J301" s="4" t="str">
        <f>IF(OR(Копия_20206[[#This Row],[Units (in 1000)]]&gt;$R$7,Копия_20206[[#This Row],[Units (in 1000)]]&lt;$R$6),"outlier","not outlier")</f>
        <v>outlier</v>
      </c>
      <c r="K301" s="4" t="str">
        <f>IF(OR(Копия_20206[[#This Row],[Value (in 1000 rub)]]&gt;$S$7,Копия_20206[[#This Row],[Value (in 1000 rub)]]&lt;$S$6),"outlier","not outlier")</f>
        <v>outlier</v>
      </c>
      <c r="L301" s="4" t="str">
        <f>IF(OR(Копия_20206[[#This Row],[Volume (in 1000 kg)]]&gt;$T$7,Копия_20206[[#This Row],[Volume (in 1000 kg)]]&lt;$T$6),"outlier","not outlier")</f>
        <v>outlier</v>
      </c>
      <c r="M301" s="4" t="str">
        <f>IF(OR(Копия_20206[[#This Row],[Number of stores]]&gt;$U$7,Копия_20206[[#This Row],[Number of stores]]&lt;$U$6),"outlier","not outlier")</f>
        <v>outlier</v>
      </c>
    </row>
    <row r="302" spans="1:13" x14ac:dyDescent="0.25">
      <c r="A302">
        <v>2020</v>
      </c>
      <c r="B302">
        <v>7</v>
      </c>
      <c r="C302" s="1" t="s">
        <v>25</v>
      </c>
      <c r="D302" s="1" t="s">
        <v>9</v>
      </c>
      <c r="E302" s="1" t="s">
        <v>12</v>
      </c>
      <c r="F302" s="5">
        <v>6.4630000000000001</v>
      </c>
      <c r="G302" s="5">
        <v>909.79536099999996</v>
      </c>
      <c r="H302" s="5">
        <v>3.2315999999999998</v>
      </c>
      <c r="I302">
        <v>1457</v>
      </c>
      <c r="J302" s="4" t="str">
        <f>IF(OR(Копия_20206[[#This Row],[Units (in 1000)]]&gt;$R$7,Копия_20206[[#This Row],[Units (in 1000)]]&lt;$R$6),"outlier","not outlier")</f>
        <v>not outlier</v>
      </c>
      <c r="K302" s="4" t="str">
        <f>IF(OR(Копия_20206[[#This Row],[Value (in 1000 rub)]]&gt;$S$7,Копия_20206[[#This Row],[Value (in 1000 rub)]]&lt;$S$6),"outlier","not outlier")</f>
        <v>not outlier</v>
      </c>
      <c r="L302" s="4" t="str">
        <f>IF(OR(Копия_20206[[#This Row],[Volume (in 1000 kg)]]&gt;$T$7,Копия_20206[[#This Row],[Volume (in 1000 kg)]]&lt;$T$6),"outlier","not outlier")</f>
        <v>not outlier</v>
      </c>
      <c r="M302" s="4" t="str">
        <f>IF(OR(Копия_20206[[#This Row],[Number of stores]]&gt;$U$7,Копия_20206[[#This Row],[Number of stores]]&lt;$U$6),"outlier","not outlier")</f>
        <v>not outlier</v>
      </c>
    </row>
    <row r="303" spans="1:13" x14ac:dyDescent="0.25">
      <c r="A303">
        <v>2020</v>
      </c>
      <c r="B303">
        <v>7</v>
      </c>
      <c r="C303" s="1" t="s">
        <v>25</v>
      </c>
      <c r="D303" s="1" t="s">
        <v>9</v>
      </c>
      <c r="E303" s="1" t="s">
        <v>13</v>
      </c>
      <c r="F303" s="5">
        <v>0.46260000000000001</v>
      </c>
      <c r="G303" s="5">
        <v>79.825210999999996</v>
      </c>
      <c r="H303" s="5">
        <v>0.34699999999999998</v>
      </c>
      <c r="I303">
        <v>307</v>
      </c>
      <c r="J303" s="4" t="str">
        <f>IF(OR(Копия_20206[[#This Row],[Units (in 1000)]]&gt;$R$7,Копия_20206[[#This Row],[Units (in 1000)]]&lt;$R$6),"outlier","not outlier")</f>
        <v>not outlier</v>
      </c>
      <c r="K303" s="4" t="str">
        <f>IF(OR(Копия_20206[[#This Row],[Value (in 1000 rub)]]&gt;$S$7,Копия_20206[[#This Row],[Value (in 1000 rub)]]&lt;$S$6),"outlier","not outlier")</f>
        <v>not outlier</v>
      </c>
      <c r="L303" s="4" t="str">
        <f>IF(OR(Копия_20206[[#This Row],[Volume (in 1000 kg)]]&gt;$T$7,Копия_20206[[#This Row],[Volume (in 1000 kg)]]&lt;$T$6),"outlier","not outlier")</f>
        <v>not outlier</v>
      </c>
      <c r="M303" s="4" t="str">
        <f>IF(OR(Копия_20206[[#This Row],[Number of stores]]&gt;$U$7,Копия_20206[[#This Row],[Number of stores]]&lt;$U$6),"outlier","not outlier")</f>
        <v>not outlier</v>
      </c>
    </row>
    <row r="304" spans="1:13" x14ac:dyDescent="0.25">
      <c r="A304">
        <v>2020</v>
      </c>
      <c r="B304">
        <v>7</v>
      </c>
      <c r="C304" s="1" t="s">
        <v>29</v>
      </c>
      <c r="D304" s="1" t="s">
        <v>9</v>
      </c>
      <c r="E304" s="1" t="s">
        <v>10</v>
      </c>
      <c r="F304" s="5">
        <v>86.102199999999996</v>
      </c>
      <c r="G304" s="5">
        <v>5422.0549819999997</v>
      </c>
      <c r="H304" s="5">
        <v>18.081499999999998</v>
      </c>
      <c r="I304">
        <v>11371</v>
      </c>
      <c r="J304" s="4" t="str">
        <f>IF(OR(Копия_20206[[#This Row],[Units (in 1000)]]&gt;$R$7,Копия_20206[[#This Row],[Units (in 1000)]]&lt;$R$6),"outlier","not outlier")</f>
        <v>outlier</v>
      </c>
      <c r="K304" s="4" t="str">
        <f>IF(OR(Копия_20206[[#This Row],[Value (in 1000 rub)]]&gt;$S$7,Копия_20206[[#This Row],[Value (in 1000 rub)]]&lt;$S$6),"outlier","not outlier")</f>
        <v>outlier</v>
      </c>
      <c r="L304" s="4" t="str">
        <f>IF(OR(Копия_20206[[#This Row],[Volume (in 1000 kg)]]&gt;$T$7,Копия_20206[[#This Row],[Volume (in 1000 kg)]]&lt;$T$6),"outlier","not outlier")</f>
        <v>outlier</v>
      </c>
      <c r="M304" s="4" t="str">
        <f>IF(OR(Копия_20206[[#This Row],[Number of stores]]&gt;$U$7,Копия_20206[[#This Row],[Number of stores]]&lt;$U$6),"outlier","not outlier")</f>
        <v>outlier</v>
      </c>
    </row>
    <row r="305" spans="1:13" x14ac:dyDescent="0.25">
      <c r="A305">
        <v>2020</v>
      </c>
      <c r="B305">
        <v>7</v>
      </c>
      <c r="C305" s="1" t="s">
        <v>29</v>
      </c>
      <c r="D305" s="1" t="s">
        <v>9</v>
      </c>
      <c r="E305" s="1" t="s">
        <v>11</v>
      </c>
      <c r="F305" s="5">
        <v>67.732699999999994</v>
      </c>
      <c r="G305" s="5">
        <v>5977.6977690000003</v>
      </c>
      <c r="H305" s="5">
        <v>23.706399999999999</v>
      </c>
      <c r="I305">
        <v>7935</v>
      </c>
      <c r="J305" s="4" t="str">
        <f>IF(OR(Копия_20206[[#This Row],[Units (in 1000)]]&gt;$R$7,Копия_20206[[#This Row],[Units (in 1000)]]&lt;$R$6),"outlier","not outlier")</f>
        <v>outlier</v>
      </c>
      <c r="K305" s="4" t="str">
        <f>IF(OR(Копия_20206[[#This Row],[Value (in 1000 rub)]]&gt;$S$7,Копия_20206[[#This Row],[Value (in 1000 rub)]]&lt;$S$6),"outlier","not outlier")</f>
        <v>outlier</v>
      </c>
      <c r="L305" s="4" t="str">
        <f>IF(OR(Копия_20206[[#This Row],[Volume (in 1000 kg)]]&gt;$T$7,Копия_20206[[#This Row],[Volume (in 1000 kg)]]&lt;$T$6),"outlier","not outlier")</f>
        <v>outlier</v>
      </c>
      <c r="M305" s="4" t="str">
        <f>IF(OR(Копия_20206[[#This Row],[Number of stores]]&gt;$U$7,Копия_20206[[#This Row],[Number of stores]]&lt;$U$6),"outlier","not outlier")</f>
        <v>outlier</v>
      </c>
    </row>
    <row r="306" spans="1:13" x14ac:dyDescent="0.25">
      <c r="A306">
        <v>2020</v>
      </c>
      <c r="B306">
        <v>7</v>
      </c>
      <c r="C306" s="1" t="s">
        <v>29</v>
      </c>
      <c r="D306" s="1" t="s">
        <v>9</v>
      </c>
      <c r="E306" s="1" t="s">
        <v>12</v>
      </c>
      <c r="F306" s="5">
        <v>11.1159</v>
      </c>
      <c r="G306" s="5">
        <v>1411.1791639999999</v>
      </c>
      <c r="H306" s="5">
        <v>5.5579999999999998</v>
      </c>
      <c r="I306">
        <v>1569</v>
      </c>
      <c r="J306" s="4" t="str">
        <f>IF(OR(Копия_20206[[#This Row],[Units (in 1000)]]&gt;$R$7,Копия_20206[[#This Row],[Units (in 1000)]]&lt;$R$6),"outlier","not outlier")</f>
        <v>not outlier</v>
      </c>
      <c r="K306" s="4" t="str">
        <f>IF(OR(Копия_20206[[#This Row],[Value (in 1000 rub)]]&gt;$S$7,Копия_20206[[#This Row],[Value (in 1000 rub)]]&lt;$S$6),"outlier","not outlier")</f>
        <v>not outlier</v>
      </c>
      <c r="L306" s="4" t="str">
        <f>IF(OR(Копия_20206[[#This Row],[Volume (in 1000 kg)]]&gt;$T$7,Копия_20206[[#This Row],[Volume (in 1000 kg)]]&lt;$T$6),"outlier","not outlier")</f>
        <v>not outlier</v>
      </c>
      <c r="M306" s="4" t="str">
        <f>IF(OR(Копия_20206[[#This Row],[Number of stores]]&gt;$U$7,Копия_20206[[#This Row],[Number of stores]]&lt;$U$6),"outlier","not outlier")</f>
        <v>not outlier</v>
      </c>
    </row>
    <row r="307" spans="1:13" x14ac:dyDescent="0.25">
      <c r="A307">
        <v>2020</v>
      </c>
      <c r="B307">
        <v>7</v>
      </c>
      <c r="C307" s="1" t="s">
        <v>29</v>
      </c>
      <c r="D307" s="1" t="s">
        <v>9</v>
      </c>
      <c r="E307" s="1" t="s">
        <v>13</v>
      </c>
      <c r="F307" s="5">
        <v>1.0494000000000001</v>
      </c>
      <c r="G307" s="5">
        <v>147.30012199999999</v>
      </c>
      <c r="H307" s="5">
        <v>0.78710000000000002</v>
      </c>
      <c r="I307">
        <v>117</v>
      </c>
      <c r="J307" s="4" t="str">
        <f>IF(OR(Копия_20206[[#This Row],[Units (in 1000)]]&gt;$R$7,Копия_20206[[#This Row],[Units (in 1000)]]&lt;$R$6),"outlier","not outlier")</f>
        <v>not outlier</v>
      </c>
      <c r="K307" s="4" t="str">
        <f>IF(OR(Копия_20206[[#This Row],[Value (in 1000 rub)]]&gt;$S$7,Копия_20206[[#This Row],[Value (in 1000 rub)]]&lt;$S$6),"outlier","not outlier")</f>
        <v>not outlier</v>
      </c>
      <c r="L307" s="4" t="str">
        <f>IF(OR(Копия_20206[[#This Row],[Volume (in 1000 kg)]]&gt;$T$7,Копия_20206[[#This Row],[Volume (in 1000 kg)]]&lt;$T$6),"outlier","not outlier")</f>
        <v>not outlier</v>
      </c>
      <c r="M307" s="4" t="str">
        <f>IF(OR(Копия_20206[[#This Row],[Number of stores]]&gt;$U$7,Копия_20206[[#This Row],[Number of stores]]&lt;$U$6),"outlier","not outlier")</f>
        <v>not outlier</v>
      </c>
    </row>
    <row r="308" spans="1:13" x14ac:dyDescent="0.25">
      <c r="A308">
        <v>2020</v>
      </c>
      <c r="B308">
        <v>8</v>
      </c>
      <c r="C308" s="1" t="s">
        <v>8</v>
      </c>
      <c r="D308" s="1" t="s">
        <v>9</v>
      </c>
      <c r="E308" s="1" t="s">
        <v>10</v>
      </c>
      <c r="F308" s="5">
        <v>14.498900000000001</v>
      </c>
      <c r="G308" s="5">
        <v>839.67503699999997</v>
      </c>
      <c r="H308" s="5">
        <v>3.0448</v>
      </c>
      <c r="I308">
        <v>529</v>
      </c>
      <c r="J308" s="4" t="str">
        <f>IF(OR(Копия_20206[[#This Row],[Units (in 1000)]]&gt;$R$7,Копия_20206[[#This Row],[Units (in 1000)]]&lt;$R$6),"outlier","not outlier")</f>
        <v>not outlier</v>
      </c>
      <c r="K308" s="4" t="str">
        <f>IF(OR(Копия_20206[[#This Row],[Value (in 1000 rub)]]&gt;$S$7,Копия_20206[[#This Row],[Value (in 1000 rub)]]&lt;$S$6),"outlier","not outlier")</f>
        <v>not outlier</v>
      </c>
      <c r="L308" s="4" t="str">
        <f>IF(OR(Копия_20206[[#This Row],[Volume (in 1000 kg)]]&gt;$T$7,Копия_20206[[#This Row],[Volume (in 1000 kg)]]&lt;$T$6),"outlier","not outlier")</f>
        <v>not outlier</v>
      </c>
      <c r="M308" s="4" t="str">
        <f>IF(OR(Копия_20206[[#This Row],[Number of stores]]&gt;$U$7,Копия_20206[[#This Row],[Number of stores]]&lt;$U$6),"outlier","not outlier")</f>
        <v>not outlier</v>
      </c>
    </row>
    <row r="309" spans="1:13" x14ac:dyDescent="0.25">
      <c r="A309">
        <v>2020</v>
      </c>
      <c r="B309">
        <v>8</v>
      </c>
      <c r="C309" s="1" t="s">
        <v>8</v>
      </c>
      <c r="D309" s="1" t="s">
        <v>9</v>
      </c>
      <c r="E309" s="1" t="s">
        <v>11</v>
      </c>
      <c r="F309" s="5">
        <v>52.6967</v>
      </c>
      <c r="G309" s="5">
        <v>4545.6473779999997</v>
      </c>
      <c r="H309" s="5">
        <v>18.4438</v>
      </c>
      <c r="I309">
        <v>697</v>
      </c>
      <c r="J309" s="4" t="str">
        <f>IF(OR(Копия_20206[[#This Row],[Units (in 1000)]]&gt;$R$7,Копия_20206[[#This Row],[Units (in 1000)]]&lt;$R$6),"outlier","not outlier")</f>
        <v>outlier</v>
      </c>
      <c r="K309" s="4" t="str">
        <f>IF(OR(Копия_20206[[#This Row],[Value (in 1000 rub)]]&gt;$S$7,Копия_20206[[#This Row],[Value (in 1000 rub)]]&lt;$S$6),"outlier","not outlier")</f>
        <v>outlier</v>
      </c>
      <c r="L309" s="4" t="str">
        <f>IF(OR(Копия_20206[[#This Row],[Volume (in 1000 kg)]]&gt;$T$7,Копия_20206[[#This Row],[Volume (in 1000 kg)]]&lt;$T$6),"outlier","not outlier")</f>
        <v>outlier</v>
      </c>
      <c r="M309" s="4" t="str">
        <f>IF(OR(Копия_20206[[#This Row],[Number of stores]]&gt;$U$7,Копия_20206[[#This Row],[Number of stores]]&lt;$U$6),"outlier","not outlier")</f>
        <v>not outlier</v>
      </c>
    </row>
    <row r="310" spans="1:13" x14ac:dyDescent="0.25">
      <c r="A310">
        <v>2020</v>
      </c>
      <c r="B310">
        <v>8</v>
      </c>
      <c r="C310" s="1" t="s">
        <v>8</v>
      </c>
      <c r="D310" s="1" t="s">
        <v>9</v>
      </c>
      <c r="E310" s="1" t="s">
        <v>12</v>
      </c>
      <c r="F310" s="5">
        <v>27.0943</v>
      </c>
      <c r="G310" s="5">
        <v>2912.2369319999998</v>
      </c>
      <c r="H310" s="5">
        <v>13.5471</v>
      </c>
      <c r="I310">
        <v>506</v>
      </c>
      <c r="J310" s="4" t="str">
        <f>IF(OR(Копия_20206[[#This Row],[Units (in 1000)]]&gt;$R$7,Копия_20206[[#This Row],[Units (in 1000)]]&lt;$R$6),"outlier","not outlier")</f>
        <v>outlier</v>
      </c>
      <c r="K310" s="4" t="str">
        <f>IF(OR(Копия_20206[[#This Row],[Value (in 1000 rub)]]&gt;$S$7,Копия_20206[[#This Row],[Value (in 1000 rub)]]&lt;$S$6),"outlier","not outlier")</f>
        <v>outlier</v>
      </c>
      <c r="L310" s="4" t="str">
        <f>IF(OR(Копия_20206[[#This Row],[Volume (in 1000 kg)]]&gt;$T$7,Копия_20206[[#This Row],[Volume (in 1000 kg)]]&lt;$T$6),"outlier","not outlier")</f>
        <v>outlier</v>
      </c>
      <c r="M310" s="4" t="str">
        <f>IF(OR(Копия_20206[[#This Row],[Number of stores]]&gt;$U$7,Копия_20206[[#This Row],[Number of stores]]&lt;$U$6),"outlier","not outlier")</f>
        <v>not outlier</v>
      </c>
    </row>
    <row r="311" spans="1:13" x14ac:dyDescent="0.25">
      <c r="A311">
        <v>2020</v>
      </c>
      <c r="B311">
        <v>8</v>
      </c>
      <c r="C311" s="1" t="s">
        <v>8</v>
      </c>
      <c r="D311" s="1" t="s">
        <v>9</v>
      </c>
      <c r="E311" s="1" t="s">
        <v>13</v>
      </c>
      <c r="F311" s="5">
        <v>1.0999999999999999E-2</v>
      </c>
      <c r="G311" s="5">
        <v>2.3439860000000001</v>
      </c>
      <c r="H311" s="5">
        <v>8.2000000000000007E-3</v>
      </c>
      <c r="I311">
        <v>5</v>
      </c>
      <c r="J311" s="4" t="str">
        <f>IF(OR(Копия_20206[[#This Row],[Units (in 1000)]]&gt;$R$7,Копия_20206[[#This Row],[Units (in 1000)]]&lt;$R$6),"outlier","not outlier")</f>
        <v>not outlier</v>
      </c>
      <c r="K311" s="4" t="str">
        <f>IF(OR(Копия_20206[[#This Row],[Value (in 1000 rub)]]&gt;$S$7,Копия_20206[[#This Row],[Value (in 1000 rub)]]&lt;$S$6),"outlier","not outlier")</f>
        <v>not outlier</v>
      </c>
      <c r="L311" s="4" t="str">
        <f>IF(OR(Копия_20206[[#This Row],[Volume (in 1000 kg)]]&gt;$T$7,Копия_20206[[#This Row],[Volume (in 1000 kg)]]&lt;$T$6),"outlier","not outlier")</f>
        <v>not outlier</v>
      </c>
      <c r="M311" s="4" t="str">
        <f>IF(OR(Копия_20206[[#This Row],[Number of stores]]&gt;$U$7,Копия_20206[[#This Row],[Number of stores]]&lt;$U$6),"outlier","not outlier")</f>
        <v>not outlier</v>
      </c>
    </row>
    <row r="312" spans="1:13" x14ac:dyDescent="0.25">
      <c r="A312">
        <v>2020</v>
      </c>
      <c r="B312">
        <v>8</v>
      </c>
      <c r="C312" s="1" t="s">
        <v>25</v>
      </c>
      <c r="D312" s="1" t="s">
        <v>9</v>
      </c>
      <c r="E312" s="1" t="s">
        <v>10</v>
      </c>
      <c r="F312" s="5">
        <v>61.301000000000002</v>
      </c>
      <c r="G312" s="5">
        <v>3827.9284269999998</v>
      </c>
      <c r="H312" s="5">
        <v>12.8733</v>
      </c>
      <c r="I312">
        <v>8388</v>
      </c>
      <c r="J312" s="4" t="str">
        <f>IF(OR(Копия_20206[[#This Row],[Units (in 1000)]]&gt;$R$7,Копия_20206[[#This Row],[Units (in 1000)]]&lt;$R$6),"outlier","not outlier")</f>
        <v>outlier</v>
      </c>
      <c r="K312" s="4" t="str">
        <f>IF(OR(Копия_20206[[#This Row],[Value (in 1000 rub)]]&gt;$S$7,Копия_20206[[#This Row],[Value (in 1000 rub)]]&lt;$S$6),"outlier","not outlier")</f>
        <v>outlier</v>
      </c>
      <c r="L312" s="4" t="str">
        <f>IF(OR(Копия_20206[[#This Row],[Volume (in 1000 kg)]]&gt;$T$7,Копия_20206[[#This Row],[Volume (in 1000 kg)]]&lt;$T$6),"outlier","not outlier")</f>
        <v>outlier</v>
      </c>
      <c r="M312" s="4" t="str">
        <f>IF(OR(Копия_20206[[#This Row],[Number of stores]]&gt;$U$7,Копия_20206[[#This Row],[Number of stores]]&lt;$U$6),"outlier","not outlier")</f>
        <v>outlier</v>
      </c>
    </row>
    <row r="313" spans="1:13" x14ac:dyDescent="0.25">
      <c r="A313">
        <v>2020</v>
      </c>
      <c r="B313">
        <v>8</v>
      </c>
      <c r="C313" s="1" t="s">
        <v>25</v>
      </c>
      <c r="D313" s="1" t="s">
        <v>9</v>
      </c>
      <c r="E313" s="1" t="s">
        <v>35</v>
      </c>
      <c r="F313" s="5">
        <v>4.7000000000000002E-3</v>
      </c>
      <c r="G313" s="5">
        <v>0.54729000000000005</v>
      </c>
      <c r="H313" s="5">
        <v>1.5E-3</v>
      </c>
      <c r="I313">
        <v>2</v>
      </c>
      <c r="J313" s="4" t="str">
        <f>IF(OR(Копия_20206[[#This Row],[Units (in 1000)]]&gt;$R$7,Копия_20206[[#This Row],[Units (in 1000)]]&lt;$R$6),"outlier","not outlier")</f>
        <v>not outlier</v>
      </c>
      <c r="K313" s="4" t="str">
        <f>IF(OR(Копия_20206[[#This Row],[Value (in 1000 rub)]]&gt;$S$7,Копия_20206[[#This Row],[Value (in 1000 rub)]]&lt;$S$6),"outlier","not outlier")</f>
        <v>not outlier</v>
      </c>
      <c r="L313" s="4" t="str">
        <f>IF(OR(Копия_20206[[#This Row],[Volume (in 1000 kg)]]&gt;$T$7,Копия_20206[[#This Row],[Volume (in 1000 kg)]]&lt;$T$6),"outlier","not outlier")</f>
        <v>not outlier</v>
      </c>
      <c r="M313" s="4" t="str">
        <f>IF(OR(Копия_20206[[#This Row],[Number of stores]]&gt;$U$7,Копия_20206[[#This Row],[Number of stores]]&lt;$U$6),"outlier","not outlier")</f>
        <v>not outlier</v>
      </c>
    </row>
    <row r="314" spans="1:13" x14ac:dyDescent="0.25">
      <c r="A314">
        <v>2020</v>
      </c>
      <c r="B314">
        <v>8</v>
      </c>
      <c r="C314" s="1" t="s">
        <v>25</v>
      </c>
      <c r="D314" s="1" t="s">
        <v>9</v>
      </c>
      <c r="E314" s="1" t="s">
        <v>11</v>
      </c>
      <c r="F314" s="5">
        <v>70.338800000000006</v>
      </c>
      <c r="G314" s="5">
        <v>6359.1611489999996</v>
      </c>
      <c r="H314" s="5">
        <v>24.618600000000001</v>
      </c>
      <c r="I314">
        <v>9467</v>
      </c>
      <c r="J314" s="4" t="str">
        <f>IF(OR(Копия_20206[[#This Row],[Units (in 1000)]]&gt;$R$7,Копия_20206[[#This Row],[Units (in 1000)]]&lt;$R$6),"outlier","not outlier")</f>
        <v>outlier</v>
      </c>
      <c r="K314" s="4" t="str">
        <f>IF(OR(Копия_20206[[#This Row],[Value (in 1000 rub)]]&gt;$S$7,Копия_20206[[#This Row],[Value (in 1000 rub)]]&lt;$S$6),"outlier","not outlier")</f>
        <v>outlier</v>
      </c>
      <c r="L314" s="4" t="str">
        <f>IF(OR(Копия_20206[[#This Row],[Volume (in 1000 kg)]]&gt;$T$7,Копия_20206[[#This Row],[Volume (in 1000 kg)]]&lt;$T$6),"outlier","not outlier")</f>
        <v>outlier</v>
      </c>
      <c r="M314" s="4" t="str">
        <f>IF(OR(Копия_20206[[#This Row],[Number of stores]]&gt;$U$7,Копия_20206[[#This Row],[Number of stores]]&lt;$U$6),"outlier","not outlier")</f>
        <v>outlier</v>
      </c>
    </row>
    <row r="315" spans="1:13" x14ac:dyDescent="0.25">
      <c r="A315">
        <v>2020</v>
      </c>
      <c r="B315">
        <v>8</v>
      </c>
      <c r="C315" s="1" t="s">
        <v>25</v>
      </c>
      <c r="D315" s="1" t="s">
        <v>9</v>
      </c>
      <c r="E315" s="1" t="s">
        <v>12</v>
      </c>
      <c r="F315" s="5">
        <v>5.8792999999999997</v>
      </c>
      <c r="G315" s="5">
        <v>836.63046199999997</v>
      </c>
      <c r="H315" s="5">
        <v>2.9397000000000002</v>
      </c>
      <c r="I315">
        <v>1318</v>
      </c>
      <c r="J315" s="4" t="str">
        <f>IF(OR(Копия_20206[[#This Row],[Units (in 1000)]]&gt;$R$7,Копия_20206[[#This Row],[Units (in 1000)]]&lt;$R$6),"outlier","not outlier")</f>
        <v>not outlier</v>
      </c>
      <c r="K315" s="4" t="str">
        <f>IF(OR(Копия_20206[[#This Row],[Value (in 1000 rub)]]&gt;$S$7,Копия_20206[[#This Row],[Value (in 1000 rub)]]&lt;$S$6),"outlier","not outlier")</f>
        <v>not outlier</v>
      </c>
      <c r="L315" s="4" t="str">
        <f>IF(OR(Копия_20206[[#This Row],[Volume (in 1000 kg)]]&gt;$T$7,Копия_20206[[#This Row],[Volume (in 1000 kg)]]&lt;$T$6),"outlier","not outlier")</f>
        <v>not outlier</v>
      </c>
      <c r="M315" s="4" t="str">
        <f>IF(OR(Копия_20206[[#This Row],[Number of stores]]&gt;$U$7,Копия_20206[[#This Row],[Number of stores]]&lt;$U$6),"outlier","not outlier")</f>
        <v>not outlier</v>
      </c>
    </row>
    <row r="316" spans="1:13" x14ac:dyDescent="0.25">
      <c r="A316">
        <v>2020</v>
      </c>
      <c r="B316">
        <v>8</v>
      </c>
      <c r="C316" s="1" t="s">
        <v>25</v>
      </c>
      <c r="D316" s="1" t="s">
        <v>9</v>
      </c>
      <c r="E316" s="1" t="s">
        <v>13</v>
      </c>
      <c r="F316" s="5">
        <v>0.36559999999999998</v>
      </c>
      <c r="G316" s="5">
        <v>58.669398000000001</v>
      </c>
      <c r="H316" s="5">
        <v>0.2742</v>
      </c>
      <c r="I316">
        <v>307</v>
      </c>
      <c r="J316" s="4" t="str">
        <f>IF(OR(Копия_20206[[#This Row],[Units (in 1000)]]&gt;$R$7,Копия_20206[[#This Row],[Units (in 1000)]]&lt;$R$6),"outlier","not outlier")</f>
        <v>not outlier</v>
      </c>
      <c r="K316" s="4" t="str">
        <f>IF(OR(Копия_20206[[#This Row],[Value (in 1000 rub)]]&gt;$S$7,Копия_20206[[#This Row],[Value (in 1000 rub)]]&lt;$S$6),"outlier","not outlier")</f>
        <v>not outlier</v>
      </c>
      <c r="L316" s="4" t="str">
        <f>IF(OR(Копия_20206[[#This Row],[Volume (in 1000 kg)]]&gt;$T$7,Копия_20206[[#This Row],[Volume (in 1000 kg)]]&lt;$T$6),"outlier","not outlier")</f>
        <v>not outlier</v>
      </c>
      <c r="M316" s="4" t="str">
        <f>IF(OR(Копия_20206[[#This Row],[Number of stores]]&gt;$U$7,Копия_20206[[#This Row],[Number of stores]]&lt;$U$6),"outlier","not outlier")</f>
        <v>not outlier</v>
      </c>
    </row>
    <row r="317" spans="1:13" x14ac:dyDescent="0.25">
      <c r="A317">
        <v>2020</v>
      </c>
      <c r="B317">
        <v>8</v>
      </c>
      <c r="C317" s="1" t="s">
        <v>29</v>
      </c>
      <c r="D317" s="1" t="s">
        <v>9</v>
      </c>
      <c r="E317" s="1" t="s">
        <v>10</v>
      </c>
      <c r="F317" s="5">
        <v>119.2838</v>
      </c>
      <c r="G317" s="5">
        <v>6709.7453949999999</v>
      </c>
      <c r="H317" s="5">
        <v>25.049600000000002</v>
      </c>
      <c r="I317">
        <v>11510</v>
      </c>
      <c r="J317" s="4" t="str">
        <f>IF(OR(Копия_20206[[#This Row],[Units (in 1000)]]&gt;$R$7,Копия_20206[[#This Row],[Units (in 1000)]]&lt;$R$6),"outlier","not outlier")</f>
        <v>outlier</v>
      </c>
      <c r="K317" s="4" t="str">
        <f>IF(OR(Копия_20206[[#This Row],[Value (in 1000 rub)]]&gt;$S$7,Копия_20206[[#This Row],[Value (in 1000 rub)]]&lt;$S$6),"outlier","not outlier")</f>
        <v>outlier</v>
      </c>
      <c r="L317" s="4" t="str">
        <f>IF(OR(Копия_20206[[#This Row],[Volume (in 1000 kg)]]&gt;$T$7,Копия_20206[[#This Row],[Volume (in 1000 kg)]]&lt;$T$6),"outlier","not outlier")</f>
        <v>outlier</v>
      </c>
      <c r="M317" s="4" t="str">
        <f>IF(OR(Копия_20206[[#This Row],[Number of stores]]&gt;$U$7,Копия_20206[[#This Row],[Number of stores]]&lt;$U$6),"outlier","not outlier")</f>
        <v>outlier</v>
      </c>
    </row>
    <row r="318" spans="1:13" x14ac:dyDescent="0.25">
      <c r="A318">
        <v>2020</v>
      </c>
      <c r="B318">
        <v>8</v>
      </c>
      <c r="C318" s="1" t="s">
        <v>29</v>
      </c>
      <c r="D318" s="1" t="s">
        <v>9</v>
      </c>
      <c r="E318" s="1" t="s">
        <v>11</v>
      </c>
      <c r="F318" s="5">
        <v>88.321100000000001</v>
      </c>
      <c r="G318" s="5">
        <v>7205.2934690000002</v>
      </c>
      <c r="H318" s="5">
        <v>30.912400000000002</v>
      </c>
      <c r="I318">
        <v>7827</v>
      </c>
      <c r="J318" s="4" t="str">
        <f>IF(OR(Копия_20206[[#This Row],[Units (in 1000)]]&gt;$R$7,Копия_20206[[#This Row],[Units (in 1000)]]&lt;$R$6),"outlier","not outlier")</f>
        <v>outlier</v>
      </c>
      <c r="K318" s="4" t="str">
        <f>IF(OR(Копия_20206[[#This Row],[Value (in 1000 rub)]]&gt;$S$7,Копия_20206[[#This Row],[Value (in 1000 rub)]]&lt;$S$6),"outlier","not outlier")</f>
        <v>outlier</v>
      </c>
      <c r="L318" s="4" t="str">
        <f>IF(OR(Копия_20206[[#This Row],[Volume (in 1000 kg)]]&gt;$T$7,Копия_20206[[#This Row],[Volume (in 1000 kg)]]&lt;$T$6),"outlier","not outlier")</f>
        <v>outlier</v>
      </c>
      <c r="M318" s="4" t="str">
        <f>IF(OR(Копия_20206[[#This Row],[Number of stores]]&gt;$U$7,Копия_20206[[#This Row],[Number of stores]]&lt;$U$6),"outlier","not outlier")</f>
        <v>outlier</v>
      </c>
    </row>
    <row r="319" spans="1:13" x14ac:dyDescent="0.25">
      <c r="A319">
        <v>2020</v>
      </c>
      <c r="B319">
        <v>8</v>
      </c>
      <c r="C319" s="1" t="s">
        <v>29</v>
      </c>
      <c r="D319" s="1" t="s">
        <v>9</v>
      </c>
      <c r="E319" s="1" t="s">
        <v>12</v>
      </c>
      <c r="F319" s="5">
        <v>9.9844000000000008</v>
      </c>
      <c r="G319" s="5">
        <v>1220.2290290000001</v>
      </c>
      <c r="H319" s="5">
        <v>4.9923000000000002</v>
      </c>
      <c r="I319">
        <v>1230</v>
      </c>
      <c r="J319" s="4" t="str">
        <f>IF(OR(Копия_20206[[#This Row],[Units (in 1000)]]&gt;$R$7,Копия_20206[[#This Row],[Units (in 1000)]]&lt;$R$6),"outlier","not outlier")</f>
        <v>not outlier</v>
      </c>
      <c r="K319" s="4" t="str">
        <f>IF(OR(Копия_20206[[#This Row],[Value (in 1000 rub)]]&gt;$S$7,Копия_20206[[#This Row],[Value (in 1000 rub)]]&lt;$S$6),"outlier","not outlier")</f>
        <v>not outlier</v>
      </c>
      <c r="L319" s="4" t="str">
        <f>IF(OR(Копия_20206[[#This Row],[Volume (in 1000 kg)]]&gt;$T$7,Копия_20206[[#This Row],[Volume (in 1000 kg)]]&lt;$T$6),"outlier","not outlier")</f>
        <v>not outlier</v>
      </c>
      <c r="M319" s="4" t="str">
        <f>IF(OR(Копия_20206[[#This Row],[Number of stores]]&gt;$U$7,Копия_20206[[#This Row],[Number of stores]]&lt;$U$6),"outlier","not outlier")</f>
        <v>not outlier</v>
      </c>
    </row>
    <row r="320" spans="1:13" x14ac:dyDescent="0.25">
      <c r="A320">
        <v>2020</v>
      </c>
      <c r="B320">
        <v>8</v>
      </c>
      <c r="C320" s="1" t="s">
        <v>29</v>
      </c>
      <c r="D320" s="1" t="s">
        <v>9</v>
      </c>
      <c r="E320" s="1" t="s">
        <v>13</v>
      </c>
      <c r="F320" s="5">
        <v>0.43280000000000002</v>
      </c>
      <c r="G320" s="5">
        <v>66.266283999999999</v>
      </c>
      <c r="H320" s="5">
        <v>0.3246</v>
      </c>
      <c r="I320">
        <v>117</v>
      </c>
      <c r="J320" s="4" t="str">
        <f>IF(OR(Копия_20206[[#This Row],[Units (in 1000)]]&gt;$R$7,Копия_20206[[#This Row],[Units (in 1000)]]&lt;$R$6),"outlier","not outlier")</f>
        <v>not outlier</v>
      </c>
      <c r="K320" s="4" t="str">
        <f>IF(OR(Копия_20206[[#This Row],[Value (in 1000 rub)]]&gt;$S$7,Копия_20206[[#This Row],[Value (in 1000 rub)]]&lt;$S$6),"outlier","not outlier")</f>
        <v>not outlier</v>
      </c>
      <c r="L320" s="4" t="str">
        <f>IF(OR(Копия_20206[[#This Row],[Volume (in 1000 kg)]]&gt;$T$7,Копия_20206[[#This Row],[Volume (in 1000 kg)]]&lt;$T$6),"outlier","not outlier")</f>
        <v>not outlier</v>
      </c>
      <c r="M320" s="4" t="str">
        <f>IF(OR(Копия_20206[[#This Row],[Number of stores]]&gt;$U$7,Копия_20206[[#This Row],[Number of stores]]&lt;$U$6),"outlier","not outlier")</f>
        <v>not outlier</v>
      </c>
    </row>
    <row r="321" spans="1:13" x14ac:dyDescent="0.25">
      <c r="A321">
        <v>2020</v>
      </c>
      <c r="B321">
        <v>9</v>
      </c>
      <c r="C321" s="1" t="s">
        <v>8</v>
      </c>
      <c r="D321" s="1" t="s">
        <v>9</v>
      </c>
      <c r="E321" s="1" t="s">
        <v>10</v>
      </c>
      <c r="F321" s="5">
        <v>11.6793</v>
      </c>
      <c r="G321" s="5">
        <v>692.95661900000005</v>
      </c>
      <c r="H321" s="5">
        <v>2.4527000000000001</v>
      </c>
      <c r="I321">
        <v>532</v>
      </c>
      <c r="J321" s="4" t="str">
        <f>IF(OR(Копия_20206[[#This Row],[Units (in 1000)]]&gt;$R$7,Копия_20206[[#This Row],[Units (in 1000)]]&lt;$R$6),"outlier","not outlier")</f>
        <v>not outlier</v>
      </c>
      <c r="K321" s="4" t="str">
        <f>IF(OR(Копия_20206[[#This Row],[Value (in 1000 rub)]]&gt;$S$7,Копия_20206[[#This Row],[Value (in 1000 rub)]]&lt;$S$6),"outlier","not outlier")</f>
        <v>not outlier</v>
      </c>
      <c r="L321" s="4" t="str">
        <f>IF(OR(Копия_20206[[#This Row],[Volume (in 1000 kg)]]&gt;$T$7,Копия_20206[[#This Row],[Volume (in 1000 kg)]]&lt;$T$6),"outlier","not outlier")</f>
        <v>not outlier</v>
      </c>
      <c r="M321" s="4" t="str">
        <f>IF(OR(Копия_20206[[#This Row],[Number of stores]]&gt;$U$7,Копия_20206[[#This Row],[Number of stores]]&lt;$U$6),"outlier","not outlier")</f>
        <v>not outlier</v>
      </c>
    </row>
    <row r="322" spans="1:13" x14ac:dyDescent="0.25">
      <c r="A322">
        <v>2020</v>
      </c>
      <c r="B322">
        <v>9</v>
      </c>
      <c r="C322" s="1" t="s">
        <v>8</v>
      </c>
      <c r="D322" s="1" t="s">
        <v>9</v>
      </c>
      <c r="E322" s="1" t="s">
        <v>11</v>
      </c>
      <c r="F322" s="5">
        <v>83.769000000000005</v>
      </c>
      <c r="G322" s="5">
        <v>6512.4255009999997</v>
      </c>
      <c r="H322" s="5">
        <v>29.319199999999999</v>
      </c>
      <c r="I322">
        <v>710</v>
      </c>
      <c r="J322" s="4" t="str">
        <f>IF(OR(Копия_20206[[#This Row],[Units (in 1000)]]&gt;$R$7,Копия_20206[[#This Row],[Units (in 1000)]]&lt;$R$6),"outlier","not outlier")</f>
        <v>outlier</v>
      </c>
      <c r="K322" s="4" t="str">
        <f>IF(OR(Копия_20206[[#This Row],[Value (in 1000 rub)]]&gt;$S$7,Копия_20206[[#This Row],[Value (in 1000 rub)]]&lt;$S$6),"outlier","not outlier")</f>
        <v>outlier</v>
      </c>
      <c r="L322" s="4" t="str">
        <f>IF(OR(Копия_20206[[#This Row],[Volume (in 1000 kg)]]&gt;$T$7,Копия_20206[[#This Row],[Volume (in 1000 kg)]]&lt;$T$6),"outlier","not outlier")</f>
        <v>outlier</v>
      </c>
      <c r="M322" s="4" t="str">
        <f>IF(OR(Копия_20206[[#This Row],[Number of stores]]&gt;$U$7,Копия_20206[[#This Row],[Number of stores]]&lt;$U$6),"outlier","not outlier")</f>
        <v>not outlier</v>
      </c>
    </row>
    <row r="323" spans="1:13" x14ac:dyDescent="0.25">
      <c r="A323">
        <v>2020</v>
      </c>
      <c r="B323">
        <v>9</v>
      </c>
      <c r="C323" s="1" t="s">
        <v>8</v>
      </c>
      <c r="D323" s="1" t="s">
        <v>9</v>
      </c>
      <c r="E323" s="1" t="s">
        <v>12</v>
      </c>
      <c r="F323" s="5">
        <v>17.698599999999999</v>
      </c>
      <c r="G323" s="5">
        <v>2124.5435969999999</v>
      </c>
      <c r="H323" s="5">
        <v>8.8491999999999997</v>
      </c>
      <c r="I323">
        <v>508</v>
      </c>
      <c r="J323" s="4" t="str">
        <f>IF(OR(Копия_20206[[#This Row],[Units (in 1000)]]&gt;$R$7,Копия_20206[[#This Row],[Units (in 1000)]]&lt;$R$6),"outlier","not outlier")</f>
        <v>not outlier</v>
      </c>
      <c r="K323" s="4" t="str">
        <f>IF(OR(Копия_20206[[#This Row],[Value (in 1000 rub)]]&gt;$S$7,Копия_20206[[#This Row],[Value (in 1000 rub)]]&lt;$S$6),"outlier","not outlier")</f>
        <v>outlier</v>
      </c>
      <c r="L323" s="4" t="str">
        <f>IF(OR(Копия_20206[[#This Row],[Volume (in 1000 kg)]]&gt;$T$7,Копия_20206[[#This Row],[Volume (in 1000 kg)]]&lt;$T$6),"outlier","not outlier")</f>
        <v>outlier</v>
      </c>
      <c r="M323" s="4" t="str">
        <f>IF(OR(Копия_20206[[#This Row],[Number of stores]]&gt;$U$7,Копия_20206[[#This Row],[Number of stores]]&lt;$U$6),"outlier","not outlier")</f>
        <v>not outlier</v>
      </c>
    </row>
    <row r="324" spans="1:13" x14ac:dyDescent="0.25">
      <c r="A324">
        <v>2020</v>
      </c>
      <c r="B324">
        <v>9</v>
      </c>
      <c r="C324" s="1" t="s">
        <v>8</v>
      </c>
      <c r="D324" s="1" t="s">
        <v>9</v>
      </c>
      <c r="E324" s="1" t="s">
        <v>13</v>
      </c>
      <c r="F324" s="5">
        <v>4.7000000000000002E-3</v>
      </c>
      <c r="G324" s="5">
        <v>1.028076</v>
      </c>
      <c r="H324" s="5">
        <v>3.5999999999999999E-3</v>
      </c>
      <c r="I324">
        <v>5</v>
      </c>
      <c r="J324" s="4" t="str">
        <f>IF(OR(Копия_20206[[#This Row],[Units (in 1000)]]&gt;$R$7,Копия_20206[[#This Row],[Units (in 1000)]]&lt;$R$6),"outlier","not outlier")</f>
        <v>not outlier</v>
      </c>
      <c r="K324" s="4" t="str">
        <f>IF(OR(Копия_20206[[#This Row],[Value (in 1000 rub)]]&gt;$S$7,Копия_20206[[#This Row],[Value (in 1000 rub)]]&lt;$S$6),"outlier","not outlier")</f>
        <v>not outlier</v>
      </c>
      <c r="L324" s="4" t="str">
        <f>IF(OR(Копия_20206[[#This Row],[Volume (in 1000 kg)]]&gt;$T$7,Копия_20206[[#This Row],[Volume (in 1000 kg)]]&lt;$T$6),"outlier","not outlier")</f>
        <v>not outlier</v>
      </c>
      <c r="M324" s="4" t="str">
        <f>IF(OR(Копия_20206[[#This Row],[Number of stores]]&gt;$U$7,Копия_20206[[#This Row],[Number of stores]]&lt;$U$6),"outlier","not outlier")</f>
        <v>not outlier</v>
      </c>
    </row>
    <row r="325" spans="1:13" x14ac:dyDescent="0.25">
      <c r="A325">
        <v>2020</v>
      </c>
      <c r="B325">
        <v>9</v>
      </c>
      <c r="C325" s="1" t="s">
        <v>25</v>
      </c>
      <c r="D325" s="1" t="s">
        <v>9</v>
      </c>
      <c r="E325" s="1" t="s">
        <v>10</v>
      </c>
      <c r="F325" s="5">
        <v>53.578200000000002</v>
      </c>
      <c r="G325" s="5">
        <v>3386.3273669999999</v>
      </c>
      <c r="H325" s="5">
        <v>11.2514</v>
      </c>
      <c r="I325">
        <v>7789</v>
      </c>
      <c r="J325" s="4" t="str">
        <f>IF(OR(Копия_20206[[#This Row],[Units (in 1000)]]&gt;$R$7,Копия_20206[[#This Row],[Units (in 1000)]]&lt;$R$6),"outlier","not outlier")</f>
        <v>outlier</v>
      </c>
      <c r="K325" s="4" t="str">
        <f>IF(OR(Копия_20206[[#This Row],[Value (in 1000 rub)]]&gt;$S$7,Копия_20206[[#This Row],[Value (in 1000 rub)]]&lt;$S$6),"outlier","not outlier")</f>
        <v>outlier</v>
      </c>
      <c r="L325" s="4" t="str">
        <f>IF(OR(Копия_20206[[#This Row],[Volume (in 1000 kg)]]&gt;$T$7,Копия_20206[[#This Row],[Volume (in 1000 kg)]]&lt;$T$6),"outlier","not outlier")</f>
        <v>outlier</v>
      </c>
      <c r="M325" s="4" t="str">
        <f>IF(OR(Копия_20206[[#This Row],[Number of stores]]&gt;$U$7,Копия_20206[[#This Row],[Number of stores]]&lt;$U$6),"outlier","not outlier")</f>
        <v>outlier</v>
      </c>
    </row>
    <row r="326" spans="1:13" x14ac:dyDescent="0.25">
      <c r="A326">
        <v>2020</v>
      </c>
      <c r="B326">
        <v>9</v>
      </c>
      <c r="C326" s="1" t="s">
        <v>25</v>
      </c>
      <c r="D326" s="1" t="s">
        <v>9</v>
      </c>
      <c r="E326" s="1" t="s">
        <v>35</v>
      </c>
      <c r="F326" s="5">
        <v>8.6E-3</v>
      </c>
      <c r="G326" s="5">
        <v>0.98517600000000005</v>
      </c>
      <c r="H326" s="5">
        <v>2.7000000000000001E-3</v>
      </c>
      <c r="I326">
        <v>1</v>
      </c>
      <c r="J326" s="4" t="str">
        <f>IF(OR(Копия_20206[[#This Row],[Units (in 1000)]]&gt;$R$7,Копия_20206[[#This Row],[Units (in 1000)]]&lt;$R$6),"outlier","not outlier")</f>
        <v>not outlier</v>
      </c>
      <c r="K326" s="4" t="str">
        <f>IF(OR(Копия_20206[[#This Row],[Value (in 1000 rub)]]&gt;$S$7,Копия_20206[[#This Row],[Value (in 1000 rub)]]&lt;$S$6),"outlier","not outlier")</f>
        <v>not outlier</v>
      </c>
      <c r="L326" s="4" t="str">
        <f>IF(OR(Копия_20206[[#This Row],[Volume (in 1000 kg)]]&gt;$T$7,Копия_20206[[#This Row],[Volume (in 1000 kg)]]&lt;$T$6),"outlier","not outlier")</f>
        <v>not outlier</v>
      </c>
      <c r="M326" s="4" t="str">
        <f>IF(OR(Копия_20206[[#This Row],[Number of stores]]&gt;$U$7,Копия_20206[[#This Row],[Number of stores]]&lt;$U$6),"outlier","not outlier")</f>
        <v>not outlier</v>
      </c>
    </row>
    <row r="327" spans="1:13" x14ac:dyDescent="0.25">
      <c r="A327">
        <v>2020</v>
      </c>
      <c r="B327">
        <v>9</v>
      </c>
      <c r="C327" s="1" t="s">
        <v>25</v>
      </c>
      <c r="D327" s="1" t="s">
        <v>9</v>
      </c>
      <c r="E327" s="1" t="s">
        <v>11</v>
      </c>
      <c r="F327" s="5">
        <v>68.321799999999996</v>
      </c>
      <c r="G327" s="5">
        <v>6367.3161319999999</v>
      </c>
      <c r="H327" s="5">
        <v>23.912500000000001</v>
      </c>
      <c r="I327">
        <v>9323</v>
      </c>
      <c r="J327" s="4" t="str">
        <f>IF(OR(Копия_20206[[#This Row],[Units (in 1000)]]&gt;$R$7,Копия_20206[[#This Row],[Units (in 1000)]]&lt;$R$6),"outlier","not outlier")</f>
        <v>outlier</v>
      </c>
      <c r="K327" s="4" t="str">
        <f>IF(OR(Копия_20206[[#This Row],[Value (in 1000 rub)]]&gt;$S$7,Копия_20206[[#This Row],[Value (in 1000 rub)]]&lt;$S$6),"outlier","not outlier")</f>
        <v>outlier</v>
      </c>
      <c r="L327" s="4" t="str">
        <f>IF(OR(Копия_20206[[#This Row],[Volume (in 1000 kg)]]&gt;$T$7,Копия_20206[[#This Row],[Volume (in 1000 kg)]]&lt;$T$6),"outlier","not outlier")</f>
        <v>outlier</v>
      </c>
      <c r="M327" s="4" t="str">
        <f>IF(OR(Копия_20206[[#This Row],[Number of stores]]&gt;$U$7,Копия_20206[[#This Row],[Number of stores]]&lt;$U$6),"outlier","not outlier")</f>
        <v>outlier</v>
      </c>
    </row>
    <row r="328" spans="1:13" x14ac:dyDescent="0.25">
      <c r="A328">
        <v>2020</v>
      </c>
      <c r="B328">
        <v>9</v>
      </c>
      <c r="C328" s="1" t="s">
        <v>25</v>
      </c>
      <c r="D328" s="1" t="s">
        <v>9</v>
      </c>
      <c r="E328" s="1" t="s">
        <v>12</v>
      </c>
      <c r="F328" s="5">
        <v>5.7031999999999998</v>
      </c>
      <c r="G328" s="5">
        <v>825.61218299999996</v>
      </c>
      <c r="H328" s="5">
        <v>2.8515999999999999</v>
      </c>
      <c r="I328">
        <v>1288</v>
      </c>
      <c r="J328" s="4" t="str">
        <f>IF(OR(Копия_20206[[#This Row],[Units (in 1000)]]&gt;$R$7,Копия_20206[[#This Row],[Units (in 1000)]]&lt;$R$6),"outlier","not outlier")</f>
        <v>not outlier</v>
      </c>
      <c r="K328" s="4" t="str">
        <f>IF(OR(Копия_20206[[#This Row],[Value (in 1000 rub)]]&gt;$S$7,Копия_20206[[#This Row],[Value (in 1000 rub)]]&lt;$S$6),"outlier","not outlier")</f>
        <v>not outlier</v>
      </c>
      <c r="L328" s="4" t="str">
        <f>IF(OR(Копия_20206[[#This Row],[Volume (in 1000 kg)]]&gt;$T$7,Копия_20206[[#This Row],[Volume (in 1000 kg)]]&lt;$T$6),"outlier","not outlier")</f>
        <v>not outlier</v>
      </c>
      <c r="M328" s="4" t="str">
        <f>IF(OR(Копия_20206[[#This Row],[Number of stores]]&gt;$U$7,Копия_20206[[#This Row],[Number of stores]]&lt;$U$6),"outlier","not outlier")</f>
        <v>not outlier</v>
      </c>
    </row>
    <row r="329" spans="1:13" x14ac:dyDescent="0.25">
      <c r="A329">
        <v>2020</v>
      </c>
      <c r="B329">
        <v>9</v>
      </c>
      <c r="C329" s="1" t="s">
        <v>25</v>
      </c>
      <c r="D329" s="1" t="s">
        <v>9</v>
      </c>
      <c r="E329" s="1" t="s">
        <v>13</v>
      </c>
      <c r="F329" s="5">
        <v>0.39810000000000001</v>
      </c>
      <c r="G329" s="5">
        <v>68.190551999999997</v>
      </c>
      <c r="H329" s="5">
        <v>0.29859999999999998</v>
      </c>
      <c r="I329">
        <v>305</v>
      </c>
      <c r="J329" s="4" t="str">
        <f>IF(OR(Копия_20206[[#This Row],[Units (in 1000)]]&gt;$R$7,Копия_20206[[#This Row],[Units (in 1000)]]&lt;$R$6),"outlier","not outlier")</f>
        <v>not outlier</v>
      </c>
      <c r="K329" s="4" t="str">
        <f>IF(OR(Копия_20206[[#This Row],[Value (in 1000 rub)]]&gt;$S$7,Копия_20206[[#This Row],[Value (in 1000 rub)]]&lt;$S$6),"outlier","not outlier")</f>
        <v>not outlier</v>
      </c>
      <c r="L329" s="4" t="str">
        <f>IF(OR(Копия_20206[[#This Row],[Volume (in 1000 kg)]]&gt;$T$7,Копия_20206[[#This Row],[Volume (in 1000 kg)]]&lt;$T$6),"outlier","not outlier")</f>
        <v>not outlier</v>
      </c>
      <c r="M329" s="4" t="str">
        <f>IF(OR(Копия_20206[[#This Row],[Number of stores]]&gt;$U$7,Копия_20206[[#This Row],[Number of stores]]&lt;$U$6),"outlier","not outlier")</f>
        <v>not outlier</v>
      </c>
    </row>
    <row r="330" spans="1:13" x14ac:dyDescent="0.25">
      <c r="A330">
        <v>2020</v>
      </c>
      <c r="B330">
        <v>9</v>
      </c>
      <c r="C330" s="1" t="s">
        <v>29</v>
      </c>
      <c r="D330" s="1" t="s">
        <v>9</v>
      </c>
      <c r="E330" s="1" t="s">
        <v>10</v>
      </c>
      <c r="F330" s="5">
        <v>137.45570000000001</v>
      </c>
      <c r="G330" s="5">
        <v>7628.5187299999998</v>
      </c>
      <c r="H330" s="5">
        <v>28.8657</v>
      </c>
      <c r="I330">
        <v>11267</v>
      </c>
      <c r="J330" s="4" t="str">
        <f>IF(OR(Копия_20206[[#This Row],[Units (in 1000)]]&gt;$R$7,Копия_20206[[#This Row],[Units (in 1000)]]&lt;$R$6),"outlier","not outlier")</f>
        <v>outlier</v>
      </c>
      <c r="K330" s="4" t="str">
        <f>IF(OR(Копия_20206[[#This Row],[Value (in 1000 rub)]]&gt;$S$7,Копия_20206[[#This Row],[Value (in 1000 rub)]]&lt;$S$6),"outlier","not outlier")</f>
        <v>outlier</v>
      </c>
      <c r="L330" s="4" t="str">
        <f>IF(OR(Копия_20206[[#This Row],[Volume (in 1000 kg)]]&gt;$T$7,Копия_20206[[#This Row],[Volume (in 1000 kg)]]&lt;$T$6),"outlier","not outlier")</f>
        <v>outlier</v>
      </c>
      <c r="M330" s="4" t="str">
        <f>IF(OR(Копия_20206[[#This Row],[Number of stores]]&gt;$U$7,Копия_20206[[#This Row],[Number of stores]]&lt;$U$6),"outlier","not outlier")</f>
        <v>outlier</v>
      </c>
    </row>
    <row r="331" spans="1:13" x14ac:dyDescent="0.25">
      <c r="A331">
        <v>2020</v>
      </c>
      <c r="B331">
        <v>9</v>
      </c>
      <c r="C331" s="1" t="s">
        <v>29</v>
      </c>
      <c r="D331" s="1" t="s">
        <v>9</v>
      </c>
      <c r="E331" s="1" t="s">
        <v>11</v>
      </c>
      <c r="F331" s="5">
        <v>150.47659999999999</v>
      </c>
      <c r="G331" s="5">
        <v>11344.359734</v>
      </c>
      <c r="H331" s="5">
        <v>52.666800000000002</v>
      </c>
      <c r="I331">
        <v>11891</v>
      </c>
      <c r="J331" s="4" t="str">
        <f>IF(OR(Копия_20206[[#This Row],[Units (in 1000)]]&gt;$R$7,Копия_20206[[#This Row],[Units (in 1000)]]&lt;$R$6),"outlier","not outlier")</f>
        <v>outlier</v>
      </c>
      <c r="K331" s="4" t="str">
        <f>IF(OR(Копия_20206[[#This Row],[Value (in 1000 rub)]]&gt;$S$7,Копия_20206[[#This Row],[Value (in 1000 rub)]]&lt;$S$6),"outlier","not outlier")</f>
        <v>outlier</v>
      </c>
      <c r="L331" s="4" t="str">
        <f>IF(OR(Копия_20206[[#This Row],[Volume (in 1000 kg)]]&gt;$T$7,Копия_20206[[#This Row],[Volume (in 1000 kg)]]&lt;$T$6),"outlier","not outlier")</f>
        <v>outlier</v>
      </c>
      <c r="M331" s="4" t="str">
        <f>IF(OR(Копия_20206[[#This Row],[Number of stores]]&gt;$U$7,Копия_20206[[#This Row],[Number of stores]]&lt;$U$6),"outlier","not outlier")</f>
        <v>outlier</v>
      </c>
    </row>
    <row r="332" spans="1:13" x14ac:dyDescent="0.25">
      <c r="A332">
        <v>2020</v>
      </c>
      <c r="B332">
        <v>9</v>
      </c>
      <c r="C332" s="1" t="s">
        <v>29</v>
      </c>
      <c r="D332" s="1" t="s">
        <v>9</v>
      </c>
      <c r="E332" s="1" t="s">
        <v>12</v>
      </c>
      <c r="F332" s="5">
        <v>9.1911000000000005</v>
      </c>
      <c r="G332" s="5">
        <v>1138.4475239999999</v>
      </c>
      <c r="H332" s="5">
        <v>4.5955000000000004</v>
      </c>
      <c r="I332">
        <v>1076</v>
      </c>
      <c r="J332" s="4" t="str">
        <f>IF(OR(Копия_20206[[#This Row],[Units (in 1000)]]&gt;$R$7,Копия_20206[[#This Row],[Units (in 1000)]]&lt;$R$6),"outlier","not outlier")</f>
        <v>not outlier</v>
      </c>
      <c r="K332" s="4" t="str">
        <f>IF(OR(Копия_20206[[#This Row],[Value (in 1000 rub)]]&gt;$S$7,Копия_20206[[#This Row],[Value (in 1000 rub)]]&lt;$S$6),"outlier","not outlier")</f>
        <v>not outlier</v>
      </c>
      <c r="L332" s="4" t="str">
        <f>IF(OR(Копия_20206[[#This Row],[Volume (in 1000 kg)]]&gt;$T$7,Копия_20206[[#This Row],[Volume (in 1000 kg)]]&lt;$T$6),"outlier","not outlier")</f>
        <v>not outlier</v>
      </c>
      <c r="M332" s="4" t="str">
        <f>IF(OR(Копия_20206[[#This Row],[Number of stores]]&gt;$U$7,Копия_20206[[#This Row],[Number of stores]]&lt;$U$6),"outlier","not outlier")</f>
        <v>not outlier</v>
      </c>
    </row>
    <row r="333" spans="1:13" x14ac:dyDescent="0.25">
      <c r="A333">
        <v>2020</v>
      </c>
      <c r="B333">
        <v>9</v>
      </c>
      <c r="C333" s="1" t="s">
        <v>29</v>
      </c>
      <c r="D333" s="1" t="s">
        <v>9</v>
      </c>
      <c r="E333" s="1" t="s">
        <v>13</v>
      </c>
      <c r="F333" s="5">
        <v>0.19900000000000001</v>
      </c>
      <c r="G333" s="5">
        <v>33.195005000000002</v>
      </c>
      <c r="H333" s="5">
        <v>0.14929999999999999</v>
      </c>
      <c r="I333">
        <v>67</v>
      </c>
      <c r="J333" s="4" t="str">
        <f>IF(OR(Копия_20206[[#This Row],[Units (in 1000)]]&gt;$R$7,Копия_20206[[#This Row],[Units (in 1000)]]&lt;$R$6),"outlier","not outlier")</f>
        <v>not outlier</v>
      </c>
      <c r="K333" s="4" t="str">
        <f>IF(OR(Копия_20206[[#This Row],[Value (in 1000 rub)]]&gt;$S$7,Копия_20206[[#This Row],[Value (in 1000 rub)]]&lt;$S$6),"outlier","not outlier")</f>
        <v>not outlier</v>
      </c>
      <c r="L333" s="4" t="str">
        <f>IF(OR(Копия_20206[[#This Row],[Volume (in 1000 kg)]]&gt;$T$7,Копия_20206[[#This Row],[Volume (in 1000 kg)]]&lt;$T$6),"outlier","not outlier")</f>
        <v>not outlier</v>
      </c>
      <c r="M333" s="4" t="str">
        <f>IF(OR(Копия_20206[[#This Row],[Number of stores]]&gt;$U$7,Копия_20206[[#This Row],[Number of stores]]&lt;$U$6),"outlier","not outlier")</f>
        <v>not outlier</v>
      </c>
    </row>
    <row r="334" spans="1:13" x14ac:dyDescent="0.25">
      <c r="A334">
        <v>2020</v>
      </c>
      <c r="B334">
        <v>10</v>
      </c>
      <c r="C334" s="1" t="s">
        <v>8</v>
      </c>
      <c r="D334" s="1" t="s">
        <v>9</v>
      </c>
      <c r="E334" s="1" t="s">
        <v>10</v>
      </c>
      <c r="F334" s="5">
        <v>11.8332</v>
      </c>
      <c r="G334" s="5">
        <v>714.14047900000003</v>
      </c>
      <c r="H334" s="5">
        <v>2.4849999999999999</v>
      </c>
      <c r="I334">
        <v>536</v>
      </c>
      <c r="J334" s="4" t="str">
        <f>IF(OR(Копия_20206[[#This Row],[Units (in 1000)]]&gt;$R$7,Копия_20206[[#This Row],[Units (in 1000)]]&lt;$R$6),"outlier","not outlier")</f>
        <v>not outlier</v>
      </c>
      <c r="K334" s="4" t="str">
        <f>IF(OR(Копия_20206[[#This Row],[Value (in 1000 rub)]]&gt;$S$7,Копия_20206[[#This Row],[Value (in 1000 rub)]]&lt;$S$6),"outlier","not outlier")</f>
        <v>not outlier</v>
      </c>
      <c r="L334" s="4" t="str">
        <f>IF(OR(Копия_20206[[#This Row],[Volume (in 1000 kg)]]&gt;$T$7,Копия_20206[[#This Row],[Volume (in 1000 kg)]]&lt;$T$6),"outlier","not outlier")</f>
        <v>not outlier</v>
      </c>
      <c r="M334" s="4" t="str">
        <f>IF(OR(Копия_20206[[#This Row],[Number of stores]]&gt;$U$7,Копия_20206[[#This Row],[Number of stores]]&lt;$U$6),"outlier","not outlier")</f>
        <v>not outlier</v>
      </c>
    </row>
    <row r="335" spans="1:13" x14ac:dyDescent="0.25">
      <c r="A335">
        <v>2020</v>
      </c>
      <c r="B335">
        <v>10</v>
      </c>
      <c r="C335" s="1" t="s">
        <v>8</v>
      </c>
      <c r="D335" s="1" t="s">
        <v>9</v>
      </c>
      <c r="E335" s="1" t="s">
        <v>11</v>
      </c>
      <c r="F335" s="5">
        <v>60.083199999999998</v>
      </c>
      <c r="G335" s="5">
        <v>5107.3935730000003</v>
      </c>
      <c r="H335" s="5">
        <v>21.0291</v>
      </c>
      <c r="I335">
        <v>776</v>
      </c>
      <c r="J335" s="4" t="str">
        <f>IF(OR(Копия_20206[[#This Row],[Units (in 1000)]]&gt;$R$7,Копия_20206[[#This Row],[Units (in 1000)]]&lt;$R$6),"outlier","not outlier")</f>
        <v>outlier</v>
      </c>
      <c r="K335" s="4" t="str">
        <f>IF(OR(Копия_20206[[#This Row],[Value (in 1000 rub)]]&gt;$S$7,Копия_20206[[#This Row],[Value (in 1000 rub)]]&lt;$S$6),"outlier","not outlier")</f>
        <v>outlier</v>
      </c>
      <c r="L335" s="4" t="str">
        <f>IF(OR(Копия_20206[[#This Row],[Volume (in 1000 kg)]]&gt;$T$7,Копия_20206[[#This Row],[Volume (in 1000 kg)]]&lt;$T$6),"outlier","not outlier")</f>
        <v>outlier</v>
      </c>
      <c r="M335" s="4" t="str">
        <f>IF(OR(Копия_20206[[#This Row],[Number of stores]]&gt;$U$7,Копия_20206[[#This Row],[Number of stores]]&lt;$U$6),"outlier","not outlier")</f>
        <v>not outlier</v>
      </c>
    </row>
    <row r="336" spans="1:13" x14ac:dyDescent="0.25">
      <c r="A336">
        <v>2020</v>
      </c>
      <c r="B336">
        <v>10</v>
      </c>
      <c r="C336" s="1" t="s">
        <v>8</v>
      </c>
      <c r="D336" s="1" t="s">
        <v>9</v>
      </c>
      <c r="E336" s="1" t="s">
        <v>12</v>
      </c>
      <c r="F336" s="5">
        <v>49.139600000000002</v>
      </c>
      <c r="G336" s="5">
        <v>4853.0570250000001</v>
      </c>
      <c r="H336" s="5">
        <v>24.569900000000001</v>
      </c>
      <c r="I336">
        <v>513</v>
      </c>
      <c r="J336" s="4" t="str">
        <f>IF(OR(Копия_20206[[#This Row],[Units (in 1000)]]&gt;$R$7,Копия_20206[[#This Row],[Units (in 1000)]]&lt;$R$6),"outlier","not outlier")</f>
        <v>outlier</v>
      </c>
      <c r="K336" s="4" t="str">
        <f>IF(OR(Копия_20206[[#This Row],[Value (in 1000 rub)]]&gt;$S$7,Копия_20206[[#This Row],[Value (in 1000 rub)]]&lt;$S$6),"outlier","not outlier")</f>
        <v>outlier</v>
      </c>
      <c r="L336" s="4" t="str">
        <f>IF(OR(Копия_20206[[#This Row],[Volume (in 1000 kg)]]&gt;$T$7,Копия_20206[[#This Row],[Volume (in 1000 kg)]]&lt;$T$6),"outlier","not outlier")</f>
        <v>outlier</v>
      </c>
      <c r="M336" s="4" t="str">
        <f>IF(OR(Копия_20206[[#This Row],[Number of stores]]&gt;$U$7,Копия_20206[[#This Row],[Number of stores]]&lt;$U$6),"outlier","not outlier")</f>
        <v>not outlier</v>
      </c>
    </row>
    <row r="337" spans="1:13" x14ac:dyDescent="0.25">
      <c r="A337">
        <v>2020</v>
      </c>
      <c r="B337">
        <v>10</v>
      </c>
      <c r="C337" s="1" t="s">
        <v>8</v>
      </c>
      <c r="D337" s="1" t="s">
        <v>9</v>
      </c>
      <c r="E337" s="1" t="s">
        <v>13</v>
      </c>
      <c r="F337" s="5">
        <v>4.5999999999999999E-3</v>
      </c>
      <c r="G337" s="5">
        <v>1.0102390000000001</v>
      </c>
      <c r="H337" s="5">
        <v>3.5000000000000001E-3</v>
      </c>
      <c r="I337">
        <v>4</v>
      </c>
      <c r="J337" s="4" t="str">
        <f>IF(OR(Копия_20206[[#This Row],[Units (in 1000)]]&gt;$R$7,Копия_20206[[#This Row],[Units (in 1000)]]&lt;$R$6),"outlier","not outlier")</f>
        <v>not outlier</v>
      </c>
      <c r="K337" s="4" t="str">
        <f>IF(OR(Копия_20206[[#This Row],[Value (in 1000 rub)]]&gt;$S$7,Копия_20206[[#This Row],[Value (in 1000 rub)]]&lt;$S$6),"outlier","not outlier")</f>
        <v>not outlier</v>
      </c>
      <c r="L337" s="4" t="str">
        <f>IF(OR(Копия_20206[[#This Row],[Volume (in 1000 kg)]]&gt;$T$7,Копия_20206[[#This Row],[Volume (in 1000 kg)]]&lt;$T$6),"outlier","not outlier")</f>
        <v>not outlier</v>
      </c>
      <c r="M337" s="4" t="str">
        <f>IF(OR(Копия_20206[[#This Row],[Number of stores]]&gt;$U$7,Копия_20206[[#This Row],[Number of stores]]&lt;$U$6),"outlier","not outlier")</f>
        <v>not outlier</v>
      </c>
    </row>
    <row r="338" spans="1:13" x14ac:dyDescent="0.25">
      <c r="A338">
        <v>2020</v>
      </c>
      <c r="B338">
        <v>10</v>
      </c>
      <c r="C338" s="1" t="s">
        <v>25</v>
      </c>
      <c r="D338" s="1" t="s">
        <v>9</v>
      </c>
      <c r="E338" s="1" t="s">
        <v>10</v>
      </c>
      <c r="F338" s="5">
        <v>63.945999999999998</v>
      </c>
      <c r="G338" s="5">
        <v>3988.5210590000002</v>
      </c>
      <c r="H338" s="5">
        <v>13.428599999999999</v>
      </c>
      <c r="I338">
        <v>9001</v>
      </c>
      <c r="J338" s="4" t="str">
        <f>IF(OR(Копия_20206[[#This Row],[Units (in 1000)]]&gt;$R$7,Копия_20206[[#This Row],[Units (in 1000)]]&lt;$R$6),"outlier","not outlier")</f>
        <v>outlier</v>
      </c>
      <c r="K338" s="4" t="str">
        <f>IF(OR(Копия_20206[[#This Row],[Value (in 1000 rub)]]&gt;$S$7,Копия_20206[[#This Row],[Value (in 1000 rub)]]&lt;$S$6),"outlier","not outlier")</f>
        <v>outlier</v>
      </c>
      <c r="L338" s="4" t="str">
        <f>IF(OR(Копия_20206[[#This Row],[Volume (in 1000 kg)]]&gt;$T$7,Копия_20206[[#This Row],[Volume (in 1000 kg)]]&lt;$T$6),"outlier","not outlier")</f>
        <v>outlier</v>
      </c>
      <c r="M338" s="4" t="str">
        <f>IF(OR(Копия_20206[[#This Row],[Number of stores]]&gt;$U$7,Копия_20206[[#This Row],[Number of stores]]&lt;$U$6),"outlier","not outlier")</f>
        <v>outlier</v>
      </c>
    </row>
    <row r="339" spans="1:13" x14ac:dyDescent="0.25">
      <c r="A339">
        <v>2020</v>
      </c>
      <c r="B339">
        <v>10</v>
      </c>
      <c r="C339" s="1" t="s">
        <v>25</v>
      </c>
      <c r="D339" s="1" t="s">
        <v>9</v>
      </c>
      <c r="E339" s="1" t="s">
        <v>11</v>
      </c>
      <c r="F339" s="5">
        <v>68.544200000000004</v>
      </c>
      <c r="G339" s="5">
        <v>6497.5637919999999</v>
      </c>
      <c r="H339" s="5">
        <v>23.990400000000001</v>
      </c>
      <c r="I339">
        <v>9709</v>
      </c>
      <c r="J339" s="4" t="str">
        <f>IF(OR(Копия_20206[[#This Row],[Units (in 1000)]]&gt;$R$7,Копия_20206[[#This Row],[Units (in 1000)]]&lt;$R$6),"outlier","not outlier")</f>
        <v>outlier</v>
      </c>
      <c r="K339" s="4" t="str">
        <f>IF(OR(Копия_20206[[#This Row],[Value (in 1000 rub)]]&gt;$S$7,Копия_20206[[#This Row],[Value (in 1000 rub)]]&lt;$S$6),"outlier","not outlier")</f>
        <v>outlier</v>
      </c>
      <c r="L339" s="4" t="str">
        <f>IF(OR(Копия_20206[[#This Row],[Volume (in 1000 kg)]]&gt;$T$7,Копия_20206[[#This Row],[Volume (in 1000 kg)]]&lt;$T$6),"outlier","not outlier")</f>
        <v>outlier</v>
      </c>
      <c r="M339" s="4" t="str">
        <f>IF(OR(Копия_20206[[#This Row],[Number of stores]]&gt;$U$7,Копия_20206[[#This Row],[Number of stores]]&lt;$U$6),"outlier","not outlier")</f>
        <v>outlier</v>
      </c>
    </row>
    <row r="340" spans="1:13" x14ac:dyDescent="0.25">
      <c r="A340">
        <v>2020</v>
      </c>
      <c r="B340">
        <v>10</v>
      </c>
      <c r="C340" s="1" t="s">
        <v>25</v>
      </c>
      <c r="D340" s="1" t="s">
        <v>9</v>
      </c>
      <c r="E340" s="1" t="s">
        <v>12</v>
      </c>
      <c r="F340" s="5">
        <v>7.1943000000000001</v>
      </c>
      <c r="G340" s="5">
        <v>1051.5509030000001</v>
      </c>
      <c r="H340" s="5">
        <v>3.5971000000000002</v>
      </c>
      <c r="I340">
        <v>1303</v>
      </c>
      <c r="J340" s="4" t="str">
        <f>IF(OR(Копия_20206[[#This Row],[Units (in 1000)]]&gt;$R$7,Копия_20206[[#This Row],[Units (in 1000)]]&lt;$R$6),"outlier","not outlier")</f>
        <v>not outlier</v>
      </c>
      <c r="K340" s="4" t="str">
        <f>IF(OR(Копия_20206[[#This Row],[Value (in 1000 rub)]]&gt;$S$7,Копия_20206[[#This Row],[Value (in 1000 rub)]]&lt;$S$6),"outlier","not outlier")</f>
        <v>not outlier</v>
      </c>
      <c r="L340" s="4" t="str">
        <f>IF(OR(Копия_20206[[#This Row],[Volume (in 1000 kg)]]&gt;$T$7,Копия_20206[[#This Row],[Volume (in 1000 kg)]]&lt;$T$6),"outlier","not outlier")</f>
        <v>not outlier</v>
      </c>
      <c r="M340" s="4" t="str">
        <f>IF(OR(Копия_20206[[#This Row],[Number of stores]]&gt;$U$7,Копия_20206[[#This Row],[Number of stores]]&lt;$U$6),"outlier","not outlier")</f>
        <v>not outlier</v>
      </c>
    </row>
    <row r="341" spans="1:13" x14ac:dyDescent="0.25">
      <c r="A341">
        <v>2020</v>
      </c>
      <c r="B341">
        <v>10</v>
      </c>
      <c r="C341" s="1" t="s">
        <v>25</v>
      </c>
      <c r="D341" s="1" t="s">
        <v>9</v>
      </c>
      <c r="E341" s="1" t="s">
        <v>13</v>
      </c>
      <c r="F341" s="5">
        <v>0.37369999999999998</v>
      </c>
      <c r="G341" s="5">
        <v>60.482140000000001</v>
      </c>
      <c r="H341" s="5">
        <v>0.28029999999999999</v>
      </c>
      <c r="I341">
        <v>252</v>
      </c>
      <c r="J341" s="4" t="str">
        <f>IF(OR(Копия_20206[[#This Row],[Units (in 1000)]]&gt;$R$7,Копия_20206[[#This Row],[Units (in 1000)]]&lt;$R$6),"outlier","not outlier")</f>
        <v>not outlier</v>
      </c>
      <c r="K341" s="4" t="str">
        <f>IF(OR(Копия_20206[[#This Row],[Value (in 1000 rub)]]&gt;$S$7,Копия_20206[[#This Row],[Value (in 1000 rub)]]&lt;$S$6),"outlier","not outlier")</f>
        <v>not outlier</v>
      </c>
      <c r="L341" s="4" t="str">
        <f>IF(OR(Копия_20206[[#This Row],[Volume (in 1000 kg)]]&gt;$T$7,Копия_20206[[#This Row],[Volume (in 1000 kg)]]&lt;$T$6),"outlier","not outlier")</f>
        <v>not outlier</v>
      </c>
      <c r="M341" s="4" t="str">
        <f>IF(OR(Копия_20206[[#This Row],[Number of stores]]&gt;$U$7,Копия_20206[[#This Row],[Number of stores]]&lt;$U$6),"outlier","not outlier")</f>
        <v>not outlier</v>
      </c>
    </row>
    <row r="342" spans="1:13" x14ac:dyDescent="0.25">
      <c r="A342">
        <v>2020</v>
      </c>
      <c r="B342">
        <v>10</v>
      </c>
      <c r="C342" s="1" t="s">
        <v>29</v>
      </c>
      <c r="D342" s="1" t="s">
        <v>9</v>
      </c>
      <c r="E342" s="1" t="s">
        <v>10</v>
      </c>
      <c r="F342" s="5">
        <v>131.0205</v>
      </c>
      <c r="G342" s="5">
        <v>7190.9176500000003</v>
      </c>
      <c r="H342" s="5">
        <v>27.514399999999998</v>
      </c>
      <c r="I342">
        <v>11485</v>
      </c>
      <c r="J342" s="4" t="str">
        <f>IF(OR(Копия_20206[[#This Row],[Units (in 1000)]]&gt;$R$7,Копия_20206[[#This Row],[Units (in 1000)]]&lt;$R$6),"outlier","not outlier")</f>
        <v>outlier</v>
      </c>
      <c r="K342" s="4" t="str">
        <f>IF(OR(Копия_20206[[#This Row],[Value (in 1000 rub)]]&gt;$S$7,Копия_20206[[#This Row],[Value (in 1000 rub)]]&lt;$S$6),"outlier","not outlier")</f>
        <v>outlier</v>
      </c>
      <c r="L342" s="4" t="str">
        <f>IF(OR(Копия_20206[[#This Row],[Volume (in 1000 kg)]]&gt;$T$7,Копия_20206[[#This Row],[Volume (in 1000 kg)]]&lt;$T$6),"outlier","not outlier")</f>
        <v>outlier</v>
      </c>
      <c r="M342" s="4" t="str">
        <f>IF(OR(Копия_20206[[#This Row],[Number of stores]]&gt;$U$7,Копия_20206[[#This Row],[Number of stores]]&lt;$U$6),"outlier","not outlier")</f>
        <v>outlier</v>
      </c>
    </row>
    <row r="343" spans="1:13" x14ac:dyDescent="0.25">
      <c r="A343">
        <v>2020</v>
      </c>
      <c r="B343">
        <v>10</v>
      </c>
      <c r="C343" s="1" t="s">
        <v>29</v>
      </c>
      <c r="D343" s="1" t="s">
        <v>9</v>
      </c>
      <c r="E343" s="1" t="s">
        <v>11</v>
      </c>
      <c r="F343" s="5">
        <v>124.66849999999999</v>
      </c>
      <c r="G343" s="5">
        <v>10831.853884</v>
      </c>
      <c r="H343" s="5">
        <v>43.634</v>
      </c>
      <c r="I343">
        <v>14382</v>
      </c>
      <c r="J343" s="4" t="str">
        <f>IF(OR(Копия_20206[[#This Row],[Units (in 1000)]]&gt;$R$7,Копия_20206[[#This Row],[Units (in 1000)]]&lt;$R$6),"outlier","not outlier")</f>
        <v>outlier</v>
      </c>
      <c r="K343" s="4" t="str">
        <f>IF(OR(Копия_20206[[#This Row],[Value (in 1000 rub)]]&gt;$S$7,Копия_20206[[#This Row],[Value (in 1000 rub)]]&lt;$S$6),"outlier","not outlier")</f>
        <v>outlier</v>
      </c>
      <c r="L343" s="4" t="str">
        <f>IF(OR(Копия_20206[[#This Row],[Volume (in 1000 kg)]]&gt;$T$7,Копия_20206[[#This Row],[Volume (in 1000 kg)]]&lt;$T$6),"outlier","not outlier")</f>
        <v>outlier</v>
      </c>
      <c r="M343" s="4" t="str">
        <f>IF(OR(Копия_20206[[#This Row],[Number of stores]]&gt;$U$7,Копия_20206[[#This Row],[Number of stores]]&lt;$U$6),"outlier","not outlier")</f>
        <v>outlier</v>
      </c>
    </row>
    <row r="344" spans="1:13" x14ac:dyDescent="0.25">
      <c r="A344">
        <v>2020</v>
      </c>
      <c r="B344">
        <v>10</v>
      </c>
      <c r="C344" s="1" t="s">
        <v>29</v>
      </c>
      <c r="D344" s="1" t="s">
        <v>9</v>
      </c>
      <c r="E344" s="1" t="s">
        <v>12</v>
      </c>
      <c r="F344" s="5">
        <v>14.815099999999999</v>
      </c>
      <c r="G344" s="5">
        <v>1659.9578710000001</v>
      </c>
      <c r="H344" s="5">
        <v>7.4076000000000004</v>
      </c>
      <c r="I344">
        <v>1165</v>
      </c>
      <c r="J344" s="4" t="str">
        <f>IF(OR(Копия_20206[[#This Row],[Units (in 1000)]]&gt;$R$7,Копия_20206[[#This Row],[Units (in 1000)]]&lt;$R$6),"outlier","not outlier")</f>
        <v>not outlier</v>
      </c>
      <c r="K344" s="4" t="str">
        <f>IF(OR(Копия_20206[[#This Row],[Value (in 1000 rub)]]&gt;$S$7,Копия_20206[[#This Row],[Value (in 1000 rub)]]&lt;$S$6),"outlier","not outlier")</f>
        <v>not outlier</v>
      </c>
      <c r="L344" s="4" t="str">
        <f>IF(OR(Копия_20206[[#This Row],[Volume (in 1000 kg)]]&gt;$T$7,Копия_20206[[#This Row],[Volume (in 1000 kg)]]&lt;$T$6),"outlier","not outlier")</f>
        <v>outlier</v>
      </c>
      <c r="M344" s="4" t="str">
        <f>IF(OR(Копия_20206[[#This Row],[Number of stores]]&gt;$U$7,Копия_20206[[#This Row],[Number of stores]]&lt;$U$6),"outlier","not outlier")</f>
        <v>not outlier</v>
      </c>
    </row>
    <row r="345" spans="1:13" x14ac:dyDescent="0.25">
      <c r="A345">
        <v>2020</v>
      </c>
      <c r="B345">
        <v>10</v>
      </c>
      <c r="C345" s="1" t="s">
        <v>29</v>
      </c>
      <c r="D345" s="1" t="s">
        <v>9</v>
      </c>
      <c r="E345" s="1" t="s">
        <v>13</v>
      </c>
      <c r="F345" s="5">
        <v>0.1368</v>
      </c>
      <c r="G345" s="5">
        <v>24.417541</v>
      </c>
      <c r="H345" s="5">
        <v>0.1026</v>
      </c>
      <c r="I345">
        <v>52</v>
      </c>
      <c r="J345" s="4" t="str">
        <f>IF(OR(Копия_20206[[#This Row],[Units (in 1000)]]&gt;$R$7,Копия_20206[[#This Row],[Units (in 1000)]]&lt;$R$6),"outlier","not outlier")</f>
        <v>not outlier</v>
      </c>
      <c r="K345" s="4" t="str">
        <f>IF(OR(Копия_20206[[#This Row],[Value (in 1000 rub)]]&gt;$S$7,Копия_20206[[#This Row],[Value (in 1000 rub)]]&lt;$S$6),"outlier","not outlier")</f>
        <v>not outlier</v>
      </c>
      <c r="L345" s="4" t="str">
        <f>IF(OR(Копия_20206[[#This Row],[Volume (in 1000 kg)]]&gt;$T$7,Копия_20206[[#This Row],[Volume (in 1000 kg)]]&lt;$T$6),"outlier","not outlier")</f>
        <v>not outlier</v>
      </c>
      <c r="M345" s="4" t="str">
        <f>IF(OR(Копия_20206[[#This Row],[Number of stores]]&gt;$U$7,Копия_20206[[#This Row],[Number of stores]]&lt;$U$6),"outlier","not outlier")</f>
        <v>not outlier</v>
      </c>
    </row>
    <row r="346" spans="1:13" x14ac:dyDescent="0.25">
      <c r="A346">
        <v>2020</v>
      </c>
      <c r="B346">
        <v>11</v>
      </c>
      <c r="C346" s="1" t="s">
        <v>8</v>
      </c>
      <c r="D346" s="1" t="s">
        <v>9</v>
      </c>
      <c r="E346" s="1" t="s">
        <v>10</v>
      </c>
      <c r="F346" s="5">
        <v>11.162000000000001</v>
      </c>
      <c r="G346" s="5">
        <v>693.52320399999996</v>
      </c>
      <c r="H346" s="5">
        <v>2.3441000000000001</v>
      </c>
      <c r="I346">
        <v>539</v>
      </c>
      <c r="J346" s="4" t="str">
        <f>IF(OR(Копия_20206[[#This Row],[Units (in 1000)]]&gt;$R$7,Копия_20206[[#This Row],[Units (in 1000)]]&lt;$R$6),"outlier","not outlier")</f>
        <v>not outlier</v>
      </c>
      <c r="K346" s="4" t="str">
        <f>IF(OR(Копия_20206[[#This Row],[Value (in 1000 rub)]]&gt;$S$7,Копия_20206[[#This Row],[Value (in 1000 rub)]]&lt;$S$6),"outlier","not outlier")</f>
        <v>not outlier</v>
      </c>
      <c r="L346" s="4" t="str">
        <f>IF(OR(Копия_20206[[#This Row],[Volume (in 1000 kg)]]&gt;$T$7,Копия_20206[[#This Row],[Volume (in 1000 kg)]]&lt;$T$6),"outlier","not outlier")</f>
        <v>not outlier</v>
      </c>
      <c r="M346" s="4" t="str">
        <f>IF(OR(Копия_20206[[#This Row],[Number of stores]]&gt;$U$7,Копия_20206[[#This Row],[Number of stores]]&lt;$U$6),"outlier","not outlier")</f>
        <v>not outlier</v>
      </c>
    </row>
    <row r="347" spans="1:13" x14ac:dyDescent="0.25">
      <c r="A347">
        <v>2020</v>
      </c>
      <c r="B347">
        <v>11</v>
      </c>
      <c r="C347" s="1" t="s">
        <v>8</v>
      </c>
      <c r="D347" s="1" t="s">
        <v>9</v>
      </c>
      <c r="E347" s="1" t="s">
        <v>11</v>
      </c>
      <c r="F347" s="5">
        <v>101.5784</v>
      </c>
      <c r="G347" s="5">
        <v>8077.5133800000003</v>
      </c>
      <c r="H347" s="5">
        <v>35.552500000000002</v>
      </c>
      <c r="I347">
        <v>794</v>
      </c>
      <c r="J347" s="4" t="str">
        <f>IF(OR(Копия_20206[[#This Row],[Units (in 1000)]]&gt;$R$7,Копия_20206[[#This Row],[Units (in 1000)]]&lt;$R$6),"outlier","not outlier")</f>
        <v>outlier</v>
      </c>
      <c r="K347" s="4" t="str">
        <f>IF(OR(Копия_20206[[#This Row],[Value (in 1000 rub)]]&gt;$S$7,Копия_20206[[#This Row],[Value (in 1000 rub)]]&lt;$S$6),"outlier","not outlier")</f>
        <v>outlier</v>
      </c>
      <c r="L347" s="4" t="str">
        <f>IF(OR(Копия_20206[[#This Row],[Volume (in 1000 kg)]]&gt;$T$7,Копия_20206[[#This Row],[Volume (in 1000 kg)]]&lt;$T$6),"outlier","not outlier")</f>
        <v>outlier</v>
      </c>
      <c r="M347" s="4" t="str">
        <f>IF(OR(Копия_20206[[#This Row],[Number of stores]]&gt;$U$7,Копия_20206[[#This Row],[Number of stores]]&lt;$U$6),"outlier","not outlier")</f>
        <v>not outlier</v>
      </c>
    </row>
    <row r="348" spans="1:13" x14ac:dyDescent="0.25">
      <c r="A348">
        <v>2020</v>
      </c>
      <c r="B348">
        <v>11</v>
      </c>
      <c r="C348" s="1" t="s">
        <v>8</v>
      </c>
      <c r="D348" s="1" t="s">
        <v>9</v>
      </c>
      <c r="E348" s="1" t="s">
        <v>12</v>
      </c>
      <c r="F348" s="5">
        <v>33.7729</v>
      </c>
      <c r="G348" s="5">
        <v>3444.5009960000002</v>
      </c>
      <c r="H348" s="5">
        <v>16.886399999999998</v>
      </c>
      <c r="I348">
        <v>551</v>
      </c>
      <c r="J348" s="4" t="str">
        <f>IF(OR(Копия_20206[[#This Row],[Units (in 1000)]]&gt;$R$7,Копия_20206[[#This Row],[Units (in 1000)]]&lt;$R$6),"outlier","not outlier")</f>
        <v>outlier</v>
      </c>
      <c r="K348" s="4" t="str">
        <f>IF(OR(Копия_20206[[#This Row],[Value (in 1000 rub)]]&gt;$S$7,Копия_20206[[#This Row],[Value (in 1000 rub)]]&lt;$S$6),"outlier","not outlier")</f>
        <v>outlier</v>
      </c>
      <c r="L348" s="4" t="str">
        <f>IF(OR(Копия_20206[[#This Row],[Volume (in 1000 kg)]]&gt;$T$7,Копия_20206[[#This Row],[Volume (in 1000 kg)]]&lt;$T$6),"outlier","not outlier")</f>
        <v>outlier</v>
      </c>
      <c r="M348" s="4" t="str">
        <f>IF(OR(Копия_20206[[#This Row],[Number of stores]]&gt;$U$7,Копия_20206[[#This Row],[Number of stores]]&lt;$U$6),"outlier","not outlier")</f>
        <v>not outlier</v>
      </c>
    </row>
    <row r="349" spans="1:13" x14ac:dyDescent="0.25">
      <c r="A349">
        <v>2020</v>
      </c>
      <c r="B349">
        <v>11</v>
      </c>
      <c r="C349" s="1" t="s">
        <v>8</v>
      </c>
      <c r="D349" s="1" t="s">
        <v>9</v>
      </c>
      <c r="E349" s="1" t="s">
        <v>13</v>
      </c>
      <c r="F349" s="5">
        <v>1.2999999999999999E-3</v>
      </c>
      <c r="G349" s="5">
        <v>0.28458600000000001</v>
      </c>
      <c r="H349" s="5">
        <v>1E-3</v>
      </c>
      <c r="I349">
        <v>1</v>
      </c>
      <c r="J349" s="4" t="str">
        <f>IF(OR(Копия_20206[[#This Row],[Units (in 1000)]]&gt;$R$7,Копия_20206[[#This Row],[Units (in 1000)]]&lt;$R$6),"outlier","not outlier")</f>
        <v>not outlier</v>
      </c>
      <c r="K349" s="4" t="str">
        <f>IF(OR(Копия_20206[[#This Row],[Value (in 1000 rub)]]&gt;$S$7,Копия_20206[[#This Row],[Value (in 1000 rub)]]&lt;$S$6),"outlier","not outlier")</f>
        <v>not outlier</v>
      </c>
      <c r="L349" s="4" t="str">
        <f>IF(OR(Копия_20206[[#This Row],[Volume (in 1000 kg)]]&gt;$T$7,Копия_20206[[#This Row],[Volume (in 1000 kg)]]&lt;$T$6),"outlier","not outlier")</f>
        <v>not outlier</v>
      </c>
      <c r="M349" s="4" t="str">
        <f>IF(OR(Копия_20206[[#This Row],[Number of stores]]&gt;$U$7,Копия_20206[[#This Row],[Number of stores]]&lt;$U$6),"outlier","not outlier")</f>
        <v>not outlier</v>
      </c>
    </row>
    <row r="350" spans="1:13" x14ac:dyDescent="0.25">
      <c r="A350">
        <v>2020</v>
      </c>
      <c r="B350">
        <v>11</v>
      </c>
      <c r="C350" s="1" t="s">
        <v>25</v>
      </c>
      <c r="D350" s="1" t="s">
        <v>9</v>
      </c>
      <c r="E350" s="1" t="s">
        <v>10</v>
      </c>
      <c r="F350" s="5">
        <v>57.410200000000003</v>
      </c>
      <c r="G350" s="5">
        <v>3619.51712</v>
      </c>
      <c r="H350" s="5">
        <v>12.056100000000001</v>
      </c>
      <c r="I350">
        <v>8353</v>
      </c>
      <c r="J350" s="4" t="str">
        <f>IF(OR(Копия_20206[[#This Row],[Units (in 1000)]]&gt;$R$7,Копия_20206[[#This Row],[Units (in 1000)]]&lt;$R$6),"outlier","not outlier")</f>
        <v>outlier</v>
      </c>
      <c r="K350" s="4" t="str">
        <f>IF(OR(Копия_20206[[#This Row],[Value (in 1000 rub)]]&gt;$S$7,Копия_20206[[#This Row],[Value (in 1000 rub)]]&lt;$S$6),"outlier","not outlier")</f>
        <v>outlier</v>
      </c>
      <c r="L350" s="4" t="str">
        <f>IF(OR(Копия_20206[[#This Row],[Volume (in 1000 kg)]]&gt;$T$7,Копия_20206[[#This Row],[Volume (in 1000 kg)]]&lt;$T$6),"outlier","not outlier")</f>
        <v>outlier</v>
      </c>
      <c r="M350" s="4" t="str">
        <f>IF(OR(Копия_20206[[#This Row],[Number of stores]]&gt;$U$7,Копия_20206[[#This Row],[Number of stores]]&lt;$U$6),"outlier","not outlier")</f>
        <v>outlier</v>
      </c>
    </row>
    <row r="351" spans="1:13" x14ac:dyDescent="0.25">
      <c r="A351">
        <v>2020</v>
      </c>
      <c r="B351">
        <v>11</v>
      </c>
      <c r="C351" s="1" t="s">
        <v>25</v>
      </c>
      <c r="D351" s="1" t="s">
        <v>9</v>
      </c>
      <c r="E351" s="1" t="s">
        <v>11</v>
      </c>
      <c r="F351" s="5">
        <v>66.791200000000003</v>
      </c>
      <c r="G351" s="5">
        <v>6207.0104730000003</v>
      </c>
      <c r="H351" s="5">
        <v>23.376899999999999</v>
      </c>
      <c r="I351">
        <v>9988</v>
      </c>
      <c r="J351" s="4" t="str">
        <f>IF(OR(Копия_20206[[#This Row],[Units (in 1000)]]&gt;$R$7,Копия_20206[[#This Row],[Units (in 1000)]]&lt;$R$6),"outlier","not outlier")</f>
        <v>outlier</v>
      </c>
      <c r="K351" s="4" t="str">
        <f>IF(OR(Копия_20206[[#This Row],[Value (in 1000 rub)]]&gt;$S$7,Копия_20206[[#This Row],[Value (in 1000 rub)]]&lt;$S$6),"outlier","not outlier")</f>
        <v>outlier</v>
      </c>
      <c r="L351" s="4" t="str">
        <f>IF(OR(Копия_20206[[#This Row],[Volume (in 1000 kg)]]&gt;$T$7,Копия_20206[[#This Row],[Volume (in 1000 kg)]]&lt;$T$6),"outlier","not outlier")</f>
        <v>outlier</v>
      </c>
      <c r="M351" s="4" t="str">
        <f>IF(OR(Копия_20206[[#This Row],[Number of stores]]&gt;$U$7,Копия_20206[[#This Row],[Number of stores]]&lt;$U$6),"outlier","not outlier")</f>
        <v>outlier</v>
      </c>
    </row>
    <row r="352" spans="1:13" x14ac:dyDescent="0.25">
      <c r="A352">
        <v>2020</v>
      </c>
      <c r="B352">
        <v>11</v>
      </c>
      <c r="C352" s="1" t="s">
        <v>25</v>
      </c>
      <c r="D352" s="1" t="s">
        <v>9</v>
      </c>
      <c r="E352" s="1" t="s">
        <v>12</v>
      </c>
      <c r="F352" s="5">
        <v>4.9462000000000002</v>
      </c>
      <c r="G352" s="5">
        <v>718.49784799999998</v>
      </c>
      <c r="H352" s="5">
        <v>2.4733000000000001</v>
      </c>
      <c r="I352">
        <v>1295</v>
      </c>
      <c r="J352" s="4" t="str">
        <f>IF(OR(Копия_20206[[#This Row],[Units (in 1000)]]&gt;$R$7,Копия_20206[[#This Row],[Units (in 1000)]]&lt;$R$6),"outlier","not outlier")</f>
        <v>not outlier</v>
      </c>
      <c r="K352" s="4" t="str">
        <f>IF(OR(Копия_20206[[#This Row],[Value (in 1000 rub)]]&gt;$S$7,Копия_20206[[#This Row],[Value (in 1000 rub)]]&lt;$S$6),"outlier","not outlier")</f>
        <v>not outlier</v>
      </c>
      <c r="L352" s="4" t="str">
        <f>IF(OR(Копия_20206[[#This Row],[Volume (in 1000 kg)]]&gt;$T$7,Копия_20206[[#This Row],[Volume (in 1000 kg)]]&lt;$T$6),"outlier","not outlier")</f>
        <v>not outlier</v>
      </c>
      <c r="M352" s="4" t="str">
        <f>IF(OR(Копия_20206[[#This Row],[Number of stores]]&gt;$U$7,Копия_20206[[#This Row],[Number of stores]]&lt;$U$6),"outlier","not outlier")</f>
        <v>not outlier</v>
      </c>
    </row>
    <row r="353" spans="1:13" x14ac:dyDescent="0.25">
      <c r="A353">
        <v>2020</v>
      </c>
      <c r="B353">
        <v>11</v>
      </c>
      <c r="C353" s="1" t="s">
        <v>25</v>
      </c>
      <c r="D353" s="1" t="s">
        <v>9</v>
      </c>
      <c r="E353" s="1" t="s">
        <v>13</v>
      </c>
      <c r="F353" s="5">
        <v>0.3836</v>
      </c>
      <c r="G353" s="5">
        <v>63.470421999999999</v>
      </c>
      <c r="H353" s="5">
        <v>0.28770000000000001</v>
      </c>
      <c r="I353">
        <v>292</v>
      </c>
      <c r="J353" s="4" t="str">
        <f>IF(OR(Копия_20206[[#This Row],[Units (in 1000)]]&gt;$R$7,Копия_20206[[#This Row],[Units (in 1000)]]&lt;$R$6),"outlier","not outlier")</f>
        <v>not outlier</v>
      </c>
      <c r="K353" s="4" t="str">
        <f>IF(OR(Копия_20206[[#This Row],[Value (in 1000 rub)]]&gt;$S$7,Копия_20206[[#This Row],[Value (in 1000 rub)]]&lt;$S$6),"outlier","not outlier")</f>
        <v>not outlier</v>
      </c>
      <c r="L353" s="4" t="str">
        <f>IF(OR(Копия_20206[[#This Row],[Volume (in 1000 kg)]]&gt;$T$7,Копия_20206[[#This Row],[Volume (in 1000 kg)]]&lt;$T$6),"outlier","not outlier")</f>
        <v>not outlier</v>
      </c>
      <c r="M353" s="4" t="str">
        <f>IF(OR(Копия_20206[[#This Row],[Number of stores]]&gt;$U$7,Копия_20206[[#This Row],[Number of stores]]&lt;$U$6),"outlier","not outlier")</f>
        <v>not outlier</v>
      </c>
    </row>
    <row r="354" spans="1:13" x14ac:dyDescent="0.25">
      <c r="A354">
        <v>2020</v>
      </c>
      <c r="B354">
        <v>11</v>
      </c>
      <c r="C354" s="1" t="s">
        <v>29</v>
      </c>
      <c r="D354" s="1" t="s">
        <v>9</v>
      </c>
      <c r="E354" s="1" t="s">
        <v>10</v>
      </c>
      <c r="F354" s="5">
        <v>79.371300000000005</v>
      </c>
      <c r="G354" s="5">
        <v>5005.1553190000004</v>
      </c>
      <c r="H354" s="5">
        <v>16.667999999999999</v>
      </c>
      <c r="I354">
        <v>10435</v>
      </c>
      <c r="J354" s="4" t="str">
        <f>IF(OR(Копия_20206[[#This Row],[Units (in 1000)]]&gt;$R$7,Копия_20206[[#This Row],[Units (in 1000)]]&lt;$R$6),"outlier","not outlier")</f>
        <v>outlier</v>
      </c>
      <c r="K354" s="4" t="str">
        <f>IF(OR(Копия_20206[[#This Row],[Value (in 1000 rub)]]&gt;$S$7,Копия_20206[[#This Row],[Value (in 1000 rub)]]&lt;$S$6),"outlier","not outlier")</f>
        <v>outlier</v>
      </c>
      <c r="L354" s="4" t="str">
        <f>IF(OR(Копия_20206[[#This Row],[Volume (in 1000 kg)]]&gt;$T$7,Копия_20206[[#This Row],[Volume (in 1000 kg)]]&lt;$T$6),"outlier","not outlier")</f>
        <v>outlier</v>
      </c>
      <c r="M354" s="4" t="str">
        <f>IF(OR(Копия_20206[[#This Row],[Number of stores]]&gt;$U$7,Копия_20206[[#This Row],[Number of stores]]&lt;$U$6),"outlier","not outlier")</f>
        <v>outlier</v>
      </c>
    </row>
    <row r="355" spans="1:13" x14ac:dyDescent="0.25">
      <c r="A355">
        <v>2020</v>
      </c>
      <c r="B355">
        <v>11</v>
      </c>
      <c r="C355" s="1" t="s">
        <v>29</v>
      </c>
      <c r="D355" s="1" t="s">
        <v>9</v>
      </c>
      <c r="E355" s="1" t="s">
        <v>11</v>
      </c>
      <c r="F355" s="5">
        <v>157.79230000000001</v>
      </c>
      <c r="G355" s="5">
        <v>13396.308067</v>
      </c>
      <c r="H355" s="5">
        <v>55.227200000000003</v>
      </c>
      <c r="I355">
        <v>15696</v>
      </c>
      <c r="J355" s="4" t="str">
        <f>IF(OR(Копия_20206[[#This Row],[Units (in 1000)]]&gt;$R$7,Копия_20206[[#This Row],[Units (in 1000)]]&lt;$R$6),"outlier","not outlier")</f>
        <v>outlier</v>
      </c>
      <c r="K355" s="4" t="str">
        <f>IF(OR(Копия_20206[[#This Row],[Value (in 1000 rub)]]&gt;$S$7,Копия_20206[[#This Row],[Value (in 1000 rub)]]&lt;$S$6),"outlier","not outlier")</f>
        <v>outlier</v>
      </c>
      <c r="L355" s="4" t="str">
        <f>IF(OR(Копия_20206[[#This Row],[Volume (in 1000 kg)]]&gt;$T$7,Копия_20206[[#This Row],[Volume (in 1000 kg)]]&lt;$T$6),"outlier","not outlier")</f>
        <v>outlier</v>
      </c>
      <c r="M355" s="4" t="str">
        <f>IF(OR(Копия_20206[[#This Row],[Number of stores]]&gt;$U$7,Копия_20206[[#This Row],[Number of stores]]&lt;$U$6),"outlier","not outlier")</f>
        <v>outlier</v>
      </c>
    </row>
    <row r="356" spans="1:13" x14ac:dyDescent="0.25">
      <c r="A356">
        <v>2020</v>
      </c>
      <c r="B356">
        <v>11</v>
      </c>
      <c r="C356" s="1" t="s">
        <v>29</v>
      </c>
      <c r="D356" s="1" t="s">
        <v>9</v>
      </c>
      <c r="E356" s="1" t="s">
        <v>12</v>
      </c>
      <c r="F356" s="5">
        <v>11.558</v>
      </c>
      <c r="G356" s="5">
        <v>1290.956385</v>
      </c>
      <c r="H356" s="5">
        <v>5.7789999999999999</v>
      </c>
      <c r="I356">
        <v>1071</v>
      </c>
      <c r="J356" s="4" t="str">
        <f>IF(OR(Копия_20206[[#This Row],[Units (in 1000)]]&gt;$R$7,Копия_20206[[#This Row],[Units (in 1000)]]&lt;$R$6),"outlier","not outlier")</f>
        <v>not outlier</v>
      </c>
      <c r="K356" s="4" t="str">
        <f>IF(OR(Копия_20206[[#This Row],[Value (in 1000 rub)]]&gt;$S$7,Копия_20206[[#This Row],[Value (in 1000 rub)]]&lt;$S$6),"outlier","not outlier")</f>
        <v>not outlier</v>
      </c>
      <c r="L356" s="4" t="str">
        <f>IF(OR(Копия_20206[[#This Row],[Volume (in 1000 kg)]]&gt;$T$7,Копия_20206[[#This Row],[Volume (in 1000 kg)]]&lt;$T$6),"outlier","not outlier")</f>
        <v>not outlier</v>
      </c>
      <c r="M356" s="4" t="str">
        <f>IF(OR(Копия_20206[[#This Row],[Number of stores]]&gt;$U$7,Копия_20206[[#This Row],[Number of stores]]&lt;$U$6),"outlier","not outlier")</f>
        <v>not outlier</v>
      </c>
    </row>
    <row r="357" spans="1:13" x14ac:dyDescent="0.25">
      <c r="A357">
        <v>2020</v>
      </c>
      <c r="B357">
        <v>11</v>
      </c>
      <c r="C357" s="1" t="s">
        <v>29</v>
      </c>
      <c r="D357" s="1" t="s">
        <v>9</v>
      </c>
      <c r="E357" s="1" t="s">
        <v>13</v>
      </c>
      <c r="F357" s="5">
        <v>8.6699999999999999E-2</v>
      </c>
      <c r="G357" s="5">
        <v>15.436583000000001</v>
      </c>
      <c r="H357" s="5">
        <v>6.5000000000000002E-2</v>
      </c>
      <c r="I357">
        <v>51</v>
      </c>
      <c r="J357" s="4" t="str">
        <f>IF(OR(Копия_20206[[#This Row],[Units (in 1000)]]&gt;$R$7,Копия_20206[[#This Row],[Units (in 1000)]]&lt;$R$6),"outlier","not outlier")</f>
        <v>not outlier</v>
      </c>
      <c r="K357" s="4" t="str">
        <f>IF(OR(Копия_20206[[#This Row],[Value (in 1000 rub)]]&gt;$S$7,Копия_20206[[#This Row],[Value (in 1000 rub)]]&lt;$S$6),"outlier","not outlier")</f>
        <v>not outlier</v>
      </c>
      <c r="L357" s="4" t="str">
        <f>IF(OR(Копия_20206[[#This Row],[Volume (in 1000 kg)]]&gt;$T$7,Копия_20206[[#This Row],[Volume (in 1000 kg)]]&lt;$T$6),"outlier","not outlier")</f>
        <v>not outlier</v>
      </c>
      <c r="M357" s="4" t="str">
        <f>IF(OR(Копия_20206[[#This Row],[Number of stores]]&gt;$U$7,Копия_20206[[#This Row],[Number of stores]]&lt;$U$6),"outlier","not outlier")</f>
        <v>not outlier</v>
      </c>
    </row>
    <row r="358" spans="1:13" x14ac:dyDescent="0.25">
      <c r="A358">
        <v>2020</v>
      </c>
      <c r="B358">
        <v>12</v>
      </c>
      <c r="C358" s="1" t="s">
        <v>8</v>
      </c>
      <c r="D358" s="1" t="s">
        <v>9</v>
      </c>
      <c r="E358" s="1" t="s">
        <v>10</v>
      </c>
      <c r="F358" s="5">
        <v>12.700200000000001</v>
      </c>
      <c r="G358" s="5">
        <v>789.22792300000003</v>
      </c>
      <c r="H358" s="5">
        <v>2.6669999999999998</v>
      </c>
      <c r="I358">
        <v>543</v>
      </c>
      <c r="J358" s="4" t="str">
        <f>IF(OR(Копия_20206[[#This Row],[Units (in 1000)]]&gt;$R$7,Копия_20206[[#This Row],[Units (in 1000)]]&lt;$R$6),"outlier","not outlier")</f>
        <v>not outlier</v>
      </c>
      <c r="K358" s="4" t="str">
        <f>IF(OR(Копия_20206[[#This Row],[Value (in 1000 rub)]]&gt;$S$7,Копия_20206[[#This Row],[Value (in 1000 rub)]]&lt;$S$6),"outlier","not outlier")</f>
        <v>not outlier</v>
      </c>
      <c r="L358" s="4" t="str">
        <f>IF(OR(Копия_20206[[#This Row],[Volume (in 1000 kg)]]&gt;$T$7,Копия_20206[[#This Row],[Volume (in 1000 kg)]]&lt;$T$6),"outlier","not outlier")</f>
        <v>not outlier</v>
      </c>
      <c r="M358" s="4" t="str">
        <f>IF(OR(Копия_20206[[#This Row],[Number of stores]]&gt;$U$7,Копия_20206[[#This Row],[Number of stores]]&lt;$U$6),"outlier","not outlier")</f>
        <v>not outlier</v>
      </c>
    </row>
    <row r="359" spans="1:13" x14ac:dyDescent="0.25">
      <c r="A359">
        <v>2020</v>
      </c>
      <c r="B359">
        <v>12</v>
      </c>
      <c r="C359" s="1" t="s">
        <v>8</v>
      </c>
      <c r="D359" s="1" t="s">
        <v>9</v>
      </c>
      <c r="E359" s="1" t="s">
        <v>11</v>
      </c>
      <c r="F359" s="5">
        <v>69.803600000000003</v>
      </c>
      <c r="G359" s="5">
        <v>5995.2528309999998</v>
      </c>
      <c r="H359" s="5">
        <v>24.4312</v>
      </c>
      <c r="I359">
        <v>795</v>
      </c>
      <c r="J359" s="4" t="str">
        <f>IF(OR(Копия_20206[[#This Row],[Units (in 1000)]]&gt;$R$7,Копия_20206[[#This Row],[Units (in 1000)]]&lt;$R$6),"outlier","not outlier")</f>
        <v>outlier</v>
      </c>
      <c r="K359" s="4" t="str">
        <f>IF(OR(Копия_20206[[#This Row],[Value (in 1000 rub)]]&gt;$S$7,Копия_20206[[#This Row],[Value (in 1000 rub)]]&lt;$S$6),"outlier","not outlier")</f>
        <v>outlier</v>
      </c>
      <c r="L359" s="4" t="str">
        <f>IF(OR(Копия_20206[[#This Row],[Volume (in 1000 kg)]]&gt;$T$7,Копия_20206[[#This Row],[Volume (in 1000 kg)]]&lt;$T$6),"outlier","not outlier")</f>
        <v>outlier</v>
      </c>
      <c r="M359" s="4" t="str">
        <f>IF(OR(Копия_20206[[#This Row],[Number of stores]]&gt;$U$7,Копия_20206[[#This Row],[Number of stores]]&lt;$U$6),"outlier","not outlier")</f>
        <v>not outlier</v>
      </c>
    </row>
    <row r="360" spans="1:13" x14ac:dyDescent="0.25">
      <c r="A360">
        <v>2020</v>
      </c>
      <c r="B360">
        <v>12</v>
      </c>
      <c r="C360" s="1" t="s">
        <v>8</v>
      </c>
      <c r="D360" s="1" t="s">
        <v>9</v>
      </c>
      <c r="E360" s="1" t="s">
        <v>12</v>
      </c>
      <c r="F360" s="5">
        <v>40.608600000000003</v>
      </c>
      <c r="G360" s="5">
        <v>3857.8111789999998</v>
      </c>
      <c r="H360" s="5">
        <v>20.304400000000001</v>
      </c>
      <c r="I360">
        <v>568</v>
      </c>
      <c r="J360" s="4" t="str">
        <f>IF(OR(Копия_20206[[#This Row],[Units (in 1000)]]&gt;$R$7,Копия_20206[[#This Row],[Units (in 1000)]]&lt;$R$6),"outlier","not outlier")</f>
        <v>outlier</v>
      </c>
      <c r="K360" s="4" t="str">
        <f>IF(OR(Копия_20206[[#This Row],[Value (in 1000 rub)]]&gt;$S$7,Копия_20206[[#This Row],[Value (in 1000 rub)]]&lt;$S$6),"outlier","not outlier")</f>
        <v>outlier</v>
      </c>
      <c r="L360" s="4" t="str">
        <f>IF(OR(Копия_20206[[#This Row],[Volume (in 1000 kg)]]&gt;$T$7,Копия_20206[[#This Row],[Volume (in 1000 kg)]]&lt;$T$6),"outlier","not outlier")</f>
        <v>outlier</v>
      </c>
      <c r="M360" s="4" t="str">
        <f>IF(OR(Копия_20206[[#This Row],[Number of stores]]&gt;$U$7,Копия_20206[[#This Row],[Number of stores]]&lt;$U$6),"outlier","not outlier")</f>
        <v>not outlier</v>
      </c>
    </row>
    <row r="361" spans="1:13" x14ac:dyDescent="0.25">
      <c r="A361">
        <v>2020</v>
      </c>
      <c r="B361">
        <v>12</v>
      </c>
      <c r="C361" s="1" t="s">
        <v>8</v>
      </c>
      <c r="D361" s="1" t="s">
        <v>9</v>
      </c>
      <c r="E361" s="1" t="s">
        <v>13</v>
      </c>
      <c r="F361" s="5">
        <v>2.8999999999999998E-3</v>
      </c>
      <c r="G361" s="5">
        <v>0.23366300000000001</v>
      </c>
      <c r="H361" s="5">
        <v>2.2000000000000001E-3</v>
      </c>
      <c r="I361">
        <v>2</v>
      </c>
      <c r="J361" s="4" t="str">
        <f>IF(OR(Копия_20206[[#This Row],[Units (in 1000)]]&gt;$R$7,Копия_20206[[#This Row],[Units (in 1000)]]&lt;$R$6),"outlier","not outlier")</f>
        <v>not outlier</v>
      </c>
      <c r="K361" s="4" t="str">
        <f>IF(OR(Копия_20206[[#This Row],[Value (in 1000 rub)]]&gt;$S$7,Копия_20206[[#This Row],[Value (in 1000 rub)]]&lt;$S$6),"outlier","not outlier")</f>
        <v>not outlier</v>
      </c>
      <c r="L361" s="4" t="str">
        <f>IF(OR(Копия_20206[[#This Row],[Volume (in 1000 kg)]]&gt;$T$7,Копия_20206[[#This Row],[Volume (in 1000 kg)]]&lt;$T$6),"outlier","not outlier")</f>
        <v>not outlier</v>
      </c>
      <c r="M361" s="4" t="str">
        <f>IF(OR(Копия_20206[[#This Row],[Number of stores]]&gt;$U$7,Копия_20206[[#This Row],[Number of stores]]&lt;$U$6),"outlier","not outlier")</f>
        <v>not outlier</v>
      </c>
    </row>
    <row r="362" spans="1:13" x14ac:dyDescent="0.25">
      <c r="A362">
        <v>2020</v>
      </c>
      <c r="B362">
        <v>12</v>
      </c>
      <c r="C362" s="1" t="s">
        <v>25</v>
      </c>
      <c r="D362" s="1" t="s">
        <v>9</v>
      </c>
      <c r="E362" s="1" t="s">
        <v>10</v>
      </c>
      <c r="F362" s="5">
        <v>74.862899999999996</v>
      </c>
      <c r="G362" s="5">
        <v>4235.5771329999998</v>
      </c>
      <c r="H362" s="5">
        <v>15.7212</v>
      </c>
      <c r="I362">
        <v>8742</v>
      </c>
      <c r="J362" s="4" t="str">
        <f>IF(OR(Копия_20206[[#This Row],[Units (in 1000)]]&gt;$R$7,Копия_20206[[#This Row],[Units (in 1000)]]&lt;$R$6),"outlier","not outlier")</f>
        <v>outlier</v>
      </c>
      <c r="K362" s="4" t="str">
        <f>IF(OR(Копия_20206[[#This Row],[Value (in 1000 rub)]]&gt;$S$7,Копия_20206[[#This Row],[Value (in 1000 rub)]]&lt;$S$6),"outlier","not outlier")</f>
        <v>outlier</v>
      </c>
      <c r="L362" s="4" t="str">
        <f>IF(OR(Копия_20206[[#This Row],[Volume (in 1000 kg)]]&gt;$T$7,Копия_20206[[#This Row],[Volume (in 1000 kg)]]&lt;$T$6),"outlier","not outlier")</f>
        <v>outlier</v>
      </c>
      <c r="M362" s="4" t="str">
        <f>IF(OR(Копия_20206[[#This Row],[Number of stores]]&gt;$U$7,Копия_20206[[#This Row],[Number of stores]]&lt;$U$6),"outlier","not outlier")</f>
        <v>outlier</v>
      </c>
    </row>
    <row r="363" spans="1:13" x14ac:dyDescent="0.25">
      <c r="A363">
        <v>2020</v>
      </c>
      <c r="B363">
        <v>12</v>
      </c>
      <c r="C363" s="1" t="s">
        <v>25</v>
      </c>
      <c r="D363" s="1" t="s">
        <v>9</v>
      </c>
      <c r="E363" s="1" t="s">
        <v>11</v>
      </c>
      <c r="F363" s="5">
        <v>44.227600000000002</v>
      </c>
      <c r="G363" s="5">
        <v>4566.001749</v>
      </c>
      <c r="H363" s="5">
        <v>15.479699999999999</v>
      </c>
      <c r="I363">
        <v>8900</v>
      </c>
      <c r="J363" s="4" t="str">
        <f>IF(OR(Копия_20206[[#This Row],[Units (in 1000)]]&gt;$R$7,Копия_20206[[#This Row],[Units (in 1000)]]&lt;$R$6),"outlier","not outlier")</f>
        <v>outlier</v>
      </c>
      <c r="K363" s="4" t="str">
        <f>IF(OR(Копия_20206[[#This Row],[Value (in 1000 rub)]]&gt;$S$7,Копия_20206[[#This Row],[Value (in 1000 rub)]]&lt;$S$6),"outlier","not outlier")</f>
        <v>outlier</v>
      </c>
      <c r="L363" s="4" t="str">
        <f>IF(OR(Копия_20206[[#This Row],[Volume (in 1000 kg)]]&gt;$T$7,Копия_20206[[#This Row],[Volume (in 1000 kg)]]&lt;$T$6),"outlier","not outlier")</f>
        <v>outlier</v>
      </c>
      <c r="M363" s="4" t="str">
        <f>IF(OR(Копия_20206[[#This Row],[Number of stores]]&gt;$U$7,Копия_20206[[#This Row],[Number of stores]]&lt;$U$6),"outlier","not outlier")</f>
        <v>outlier</v>
      </c>
    </row>
    <row r="364" spans="1:13" x14ac:dyDescent="0.25">
      <c r="A364">
        <v>2020</v>
      </c>
      <c r="B364">
        <v>12</v>
      </c>
      <c r="C364" s="1" t="s">
        <v>25</v>
      </c>
      <c r="D364" s="1" t="s">
        <v>9</v>
      </c>
      <c r="E364" s="1" t="s">
        <v>12</v>
      </c>
      <c r="F364" s="5">
        <v>5.0658000000000003</v>
      </c>
      <c r="G364" s="5">
        <v>764.22907699999996</v>
      </c>
      <c r="H364" s="5">
        <v>2.5329999999999999</v>
      </c>
      <c r="I364">
        <v>869</v>
      </c>
      <c r="J364" s="4" t="str">
        <f>IF(OR(Копия_20206[[#This Row],[Units (in 1000)]]&gt;$R$7,Копия_20206[[#This Row],[Units (in 1000)]]&lt;$R$6),"outlier","not outlier")</f>
        <v>not outlier</v>
      </c>
      <c r="K364" s="4" t="str">
        <f>IF(OR(Копия_20206[[#This Row],[Value (in 1000 rub)]]&gt;$S$7,Копия_20206[[#This Row],[Value (in 1000 rub)]]&lt;$S$6),"outlier","not outlier")</f>
        <v>not outlier</v>
      </c>
      <c r="L364" s="4" t="str">
        <f>IF(OR(Копия_20206[[#This Row],[Volume (in 1000 kg)]]&gt;$T$7,Копия_20206[[#This Row],[Volume (in 1000 kg)]]&lt;$T$6),"outlier","not outlier")</f>
        <v>not outlier</v>
      </c>
      <c r="M364" s="4" t="str">
        <f>IF(OR(Копия_20206[[#This Row],[Number of stores]]&gt;$U$7,Копия_20206[[#This Row],[Number of stores]]&lt;$U$6),"outlier","not outlier")</f>
        <v>not outlier</v>
      </c>
    </row>
    <row r="365" spans="1:13" x14ac:dyDescent="0.25">
      <c r="A365">
        <v>2020</v>
      </c>
      <c r="B365">
        <v>12</v>
      </c>
      <c r="C365" s="1" t="s">
        <v>25</v>
      </c>
      <c r="D365" s="1" t="s">
        <v>9</v>
      </c>
      <c r="E365" s="1" t="s">
        <v>13</v>
      </c>
      <c r="F365" s="5">
        <v>0.27960000000000002</v>
      </c>
      <c r="G365" s="5">
        <v>45.269075000000001</v>
      </c>
      <c r="H365" s="5">
        <v>0.2097</v>
      </c>
      <c r="I365">
        <v>178</v>
      </c>
      <c r="J365" s="4" t="str">
        <f>IF(OR(Копия_20206[[#This Row],[Units (in 1000)]]&gt;$R$7,Копия_20206[[#This Row],[Units (in 1000)]]&lt;$R$6),"outlier","not outlier")</f>
        <v>not outlier</v>
      </c>
      <c r="K365" s="4" t="str">
        <f>IF(OR(Копия_20206[[#This Row],[Value (in 1000 rub)]]&gt;$S$7,Копия_20206[[#This Row],[Value (in 1000 rub)]]&lt;$S$6),"outlier","not outlier")</f>
        <v>not outlier</v>
      </c>
      <c r="L365" s="4" t="str">
        <f>IF(OR(Копия_20206[[#This Row],[Volume (in 1000 kg)]]&gt;$T$7,Копия_20206[[#This Row],[Volume (in 1000 kg)]]&lt;$T$6),"outlier","not outlier")</f>
        <v>not outlier</v>
      </c>
      <c r="M365" s="4" t="str">
        <f>IF(OR(Копия_20206[[#This Row],[Number of stores]]&gt;$U$7,Копия_20206[[#This Row],[Number of stores]]&lt;$U$6),"outlier","not outlier")</f>
        <v>not outlier</v>
      </c>
    </row>
    <row r="366" spans="1:13" x14ac:dyDescent="0.25">
      <c r="A366">
        <v>2020</v>
      </c>
      <c r="B366">
        <v>12</v>
      </c>
      <c r="C366" s="1" t="s">
        <v>29</v>
      </c>
      <c r="D366" s="1" t="s">
        <v>9</v>
      </c>
      <c r="E366" s="1" t="s">
        <v>10</v>
      </c>
      <c r="F366" s="5">
        <v>124.8704</v>
      </c>
      <c r="G366" s="5">
        <v>7039.5640400000002</v>
      </c>
      <c r="H366" s="5">
        <v>26.222799999999999</v>
      </c>
      <c r="I366">
        <v>11727</v>
      </c>
      <c r="J366" s="4" t="str">
        <f>IF(OR(Копия_20206[[#This Row],[Units (in 1000)]]&gt;$R$7,Копия_20206[[#This Row],[Units (in 1000)]]&lt;$R$6),"outlier","not outlier")</f>
        <v>outlier</v>
      </c>
      <c r="K366" s="4" t="str">
        <f>IF(OR(Копия_20206[[#This Row],[Value (in 1000 rub)]]&gt;$S$7,Копия_20206[[#This Row],[Value (in 1000 rub)]]&lt;$S$6),"outlier","not outlier")</f>
        <v>outlier</v>
      </c>
      <c r="L366" s="4" t="str">
        <f>IF(OR(Копия_20206[[#This Row],[Volume (in 1000 kg)]]&gt;$T$7,Копия_20206[[#This Row],[Volume (in 1000 kg)]]&lt;$T$6),"outlier","not outlier")</f>
        <v>outlier</v>
      </c>
      <c r="M366" s="4" t="str">
        <f>IF(OR(Копия_20206[[#This Row],[Number of stores]]&gt;$U$7,Копия_20206[[#This Row],[Number of stores]]&lt;$U$6),"outlier","not outlier")</f>
        <v>outlier</v>
      </c>
    </row>
    <row r="367" spans="1:13" x14ac:dyDescent="0.25">
      <c r="A367">
        <v>2020</v>
      </c>
      <c r="B367">
        <v>12</v>
      </c>
      <c r="C367" s="1" t="s">
        <v>29</v>
      </c>
      <c r="D367" s="1" t="s">
        <v>9</v>
      </c>
      <c r="E367" s="1" t="s">
        <v>11</v>
      </c>
      <c r="F367" s="5">
        <v>110.6414</v>
      </c>
      <c r="G367" s="5">
        <v>10476.185686000001</v>
      </c>
      <c r="H367" s="5">
        <v>38.724499999999999</v>
      </c>
      <c r="I367">
        <v>15236</v>
      </c>
      <c r="J367" s="4" t="str">
        <f>IF(OR(Копия_20206[[#This Row],[Units (in 1000)]]&gt;$R$7,Копия_20206[[#This Row],[Units (in 1000)]]&lt;$R$6),"outlier","not outlier")</f>
        <v>outlier</v>
      </c>
      <c r="K367" s="4" t="str">
        <f>IF(OR(Копия_20206[[#This Row],[Value (in 1000 rub)]]&gt;$S$7,Копия_20206[[#This Row],[Value (in 1000 rub)]]&lt;$S$6),"outlier","not outlier")</f>
        <v>outlier</v>
      </c>
      <c r="L367" s="4" t="str">
        <f>IF(OR(Копия_20206[[#This Row],[Volume (in 1000 kg)]]&gt;$T$7,Копия_20206[[#This Row],[Volume (in 1000 kg)]]&lt;$T$6),"outlier","not outlier")</f>
        <v>outlier</v>
      </c>
      <c r="M367" s="4" t="str">
        <f>IF(OR(Копия_20206[[#This Row],[Number of stores]]&gt;$U$7,Копия_20206[[#This Row],[Number of stores]]&lt;$U$6),"outlier","not outlier")</f>
        <v>outlier</v>
      </c>
    </row>
    <row r="368" spans="1:13" x14ac:dyDescent="0.25">
      <c r="A368">
        <v>2020</v>
      </c>
      <c r="B368">
        <v>12</v>
      </c>
      <c r="C368" s="1" t="s">
        <v>29</v>
      </c>
      <c r="D368" s="1" t="s">
        <v>9</v>
      </c>
      <c r="E368" s="1" t="s">
        <v>12</v>
      </c>
      <c r="F368" s="5">
        <v>9.7353000000000005</v>
      </c>
      <c r="G368" s="5">
        <v>1248.6311000000001</v>
      </c>
      <c r="H368" s="5">
        <v>4.8674999999999997</v>
      </c>
      <c r="I368">
        <v>1006</v>
      </c>
      <c r="J368" s="4" t="str">
        <f>IF(OR(Копия_20206[[#This Row],[Units (in 1000)]]&gt;$R$7,Копия_20206[[#This Row],[Units (in 1000)]]&lt;$R$6),"outlier","not outlier")</f>
        <v>not outlier</v>
      </c>
      <c r="K368" s="4" t="str">
        <f>IF(OR(Копия_20206[[#This Row],[Value (in 1000 rub)]]&gt;$S$7,Копия_20206[[#This Row],[Value (in 1000 rub)]]&lt;$S$6),"outlier","not outlier")</f>
        <v>not outlier</v>
      </c>
      <c r="L368" s="4" t="str">
        <f>IF(OR(Копия_20206[[#This Row],[Volume (in 1000 kg)]]&gt;$T$7,Копия_20206[[#This Row],[Volume (in 1000 kg)]]&lt;$T$6),"outlier","not outlier")</f>
        <v>not outlier</v>
      </c>
      <c r="M368" s="4" t="str">
        <f>IF(OR(Копия_20206[[#This Row],[Number of stores]]&gt;$U$7,Копия_20206[[#This Row],[Number of stores]]&lt;$U$6),"outlier","not outlier")</f>
        <v>not outlier</v>
      </c>
    </row>
    <row r="369" spans="1:13" x14ac:dyDescent="0.25">
      <c r="A369">
        <v>2020</v>
      </c>
      <c r="B369">
        <v>12</v>
      </c>
      <c r="C369" s="1" t="s">
        <v>29</v>
      </c>
      <c r="D369" s="1" t="s">
        <v>9</v>
      </c>
      <c r="E369" s="1" t="s">
        <v>13</v>
      </c>
      <c r="F369" s="5">
        <v>7.5499999999999998E-2</v>
      </c>
      <c r="G369" s="5">
        <v>12.065848000000001</v>
      </c>
      <c r="H369" s="5">
        <v>5.6599999999999998E-2</v>
      </c>
      <c r="I369">
        <v>45</v>
      </c>
      <c r="J369" s="4" t="str">
        <f>IF(OR(Копия_20206[[#This Row],[Units (in 1000)]]&gt;$R$7,Копия_20206[[#This Row],[Units (in 1000)]]&lt;$R$6),"outlier","not outlier")</f>
        <v>not outlier</v>
      </c>
      <c r="K369" s="4" t="str">
        <f>IF(OR(Копия_20206[[#This Row],[Value (in 1000 rub)]]&gt;$S$7,Копия_20206[[#This Row],[Value (in 1000 rub)]]&lt;$S$6),"outlier","not outlier")</f>
        <v>not outlier</v>
      </c>
      <c r="L369" s="4" t="str">
        <f>IF(OR(Копия_20206[[#This Row],[Volume (in 1000 kg)]]&gt;$T$7,Копия_20206[[#This Row],[Volume (in 1000 kg)]]&lt;$T$6),"outlier","not outlier")</f>
        <v>not outlier</v>
      </c>
      <c r="M369" s="4" t="str">
        <f>IF(OR(Копия_20206[[#This Row],[Number of stores]]&gt;$U$7,Копия_20206[[#This Row],[Number of stores]]&lt;$U$6),"outlier","not outlier")</f>
        <v>not outlier</v>
      </c>
    </row>
    <row r="370" spans="1:13" x14ac:dyDescent="0.25">
      <c r="A370">
        <v>2020</v>
      </c>
      <c r="B370">
        <v>10</v>
      </c>
      <c r="C370" s="1" t="s">
        <v>8</v>
      </c>
      <c r="D370" s="1" t="s">
        <v>9</v>
      </c>
      <c r="E370" s="1" t="s">
        <v>18</v>
      </c>
      <c r="F370" s="5">
        <v>0.77529999999999999</v>
      </c>
      <c r="G370" s="5">
        <v>41.856000000000002</v>
      </c>
      <c r="H370" s="5">
        <v>0.155</v>
      </c>
      <c r="I370">
        <v>13</v>
      </c>
      <c r="J370" s="4" t="str">
        <f>IF(OR(Копия_20206[[#This Row],[Units (in 1000)]]&gt;$R$7,Копия_20206[[#This Row],[Units (in 1000)]]&lt;$R$6),"outlier","not outlier")</f>
        <v>not outlier</v>
      </c>
      <c r="K370" s="4" t="str">
        <f>IF(OR(Копия_20206[[#This Row],[Value (in 1000 rub)]]&gt;$S$7,Копия_20206[[#This Row],[Value (in 1000 rub)]]&lt;$S$6),"outlier","not outlier")</f>
        <v>not outlier</v>
      </c>
      <c r="L370" s="4" t="str">
        <f>IF(OR(Копия_20206[[#This Row],[Volume (in 1000 kg)]]&gt;$T$7,Копия_20206[[#This Row],[Volume (in 1000 kg)]]&lt;$T$6),"outlier","not outlier")</f>
        <v>not outlier</v>
      </c>
      <c r="M370" s="4" t="str">
        <f>IF(OR(Копия_20206[[#This Row],[Number of stores]]&gt;$U$7,Копия_20206[[#This Row],[Number of stores]]&lt;$U$6),"outlier","not outlier")</f>
        <v>not outlier</v>
      </c>
    </row>
    <row r="371" spans="1:13" x14ac:dyDescent="0.25">
      <c r="A371">
        <v>2020</v>
      </c>
      <c r="B371">
        <v>10</v>
      </c>
      <c r="C371" s="1" t="s">
        <v>25</v>
      </c>
      <c r="D371" s="1" t="s">
        <v>9</v>
      </c>
      <c r="E371" s="1" t="s">
        <v>18</v>
      </c>
      <c r="F371" s="5">
        <v>1.2061999999999999</v>
      </c>
      <c r="G371" s="5">
        <v>76.909300000000002</v>
      </c>
      <c r="H371" s="5">
        <v>0.2412</v>
      </c>
      <c r="I371">
        <v>367</v>
      </c>
      <c r="J371" s="4" t="str">
        <f>IF(OR(Копия_20206[[#This Row],[Units (in 1000)]]&gt;$R$7,Копия_20206[[#This Row],[Units (in 1000)]]&lt;$R$6),"outlier","not outlier")</f>
        <v>not outlier</v>
      </c>
      <c r="K371" s="4" t="str">
        <f>IF(OR(Копия_20206[[#This Row],[Value (in 1000 rub)]]&gt;$S$7,Копия_20206[[#This Row],[Value (in 1000 rub)]]&lt;$S$6),"outlier","not outlier")</f>
        <v>not outlier</v>
      </c>
      <c r="L371" s="4" t="str">
        <f>IF(OR(Копия_20206[[#This Row],[Volume (in 1000 kg)]]&gt;$T$7,Копия_20206[[#This Row],[Volume (in 1000 kg)]]&lt;$T$6),"outlier","not outlier")</f>
        <v>not outlier</v>
      </c>
      <c r="M371" s="4" t="str">
        <f>IF(OR(Копия_20206[[#This Row],[Number of stores]]&gt;$U$7,Копия_20206[[#This Row],[Number of stores]]&lt;$U$6),"outlier","not outlier")</f>
        <v>not outlier</v>
      </c>
    </row>
    <row r="372" spans="1:13" x14ac:dyDescent="0.25">
      <c r="A372">
        <v>2020</v>
      </c>
      <c r="B372">
        <v>10</v>
      </c>
      <c r="C372" s="1" t="s">
        <v>29</v>
      </c>
      <c r="D372" s="1" t="s">
        <v>9</v>
      </c>
      <c r="E372" s="1" t="s">
        <v>18</v>
      </c>
      <c r="F372" s="5">
        <v>2.4603999999999999</v>
      </c>
      <c r="G372" s="5">
        <v>151.083</v>
      </c>
      <c r="H372" s="5">
        <v>0.49209999999999998</v>
      </c>
      <c r="I372">
        <v>271</v>
      </c>
      <c r="J372" s="4" t="str">
        <f>IF(OR(Копия_20206[[#This Row],[Units (in 1000)]]&gt;$R$7,Копия_20206[[#This Row],[Units (in 1000)]]&lt;$R$6),"outlier","not outlier")</f>
        <v>not outlier</v>
      </c>
      <c r="K372" s="4" t="str">
        <f>IF(OR(Копия_20206[[#This Row],[Value (in 1000 rub)]]&gt;$S$7,Копия_20206[[#This Row],[Value (in 1000 rub)]]&lt;$S$6),"outlier","not outlier")</f>
        <v>not outlier</v>
      </c>
      <c r="L372" s="4" t="str">
        <f>IF(OR(Копия_20206[[#This Row],[Volume (in 1000 kg)]]&gt;$T$7,Копия_20206[[#This Row],[Volume (in 1000 kg)]]&lt;$T$6),"outlier","not outlier")</f>
        <v>not outlier</v>
      </c>
      <c r="M372" s="4" t="str">
        <f>IF(OR(Копия_20206[[#This Row],[Number of stores]]&gt;$U$7,Копия_20206[[#This Row],[Number of stores]]&lt;$U$6),"outlier","not outlier")</f>
        <v>not outlier</v>
      </c>
    </row>
    <row r="373" spans="1:13" x14ac:dyDescent="0.25">
      <c r="A373">
        <v>2020</v>
      </c>
      <c r="B373">
        <v>11</v>
      </c>
      <c r="C373" s="1" t="s">
        <v>8</v>
      </c>
      <c r="D373" s="1" t="s">
        <v>9</v>
      </c>
      <c r="E373" s="1" t="s">
        <v>18</v>
      </c>
      <c r="F373" s="5">
        <v>2.4714999999999998</v>
      </c>
      <c r="G373" s="5">
        <v>173.91480000000001</v>
      </c>
      <c r="H373" s="5">
        <v>0.49430000000000002</v>
      </c>
      <c r="I373">
        <v>170</v>
      </c>
      <c r="J373" s="4" t="str">
        <f>IF(OR(Копия_20206[[#This Row],[Units (in 1000)]]&gt;$R$7,Копия_20206[[#This Row],[Units (in 1000)]]&lt;$R$6),"outlier","not outlier")</f>
        <v>not outlier</v>
      </c>
      <c r="K373" s="4" t="str">
        <f>IF(OR(Копия_20206[[#This Row],[Value (in 1000 rub)]]&gt;$S$7,Копия_20206[[#This Row],[Value (in 1000 rub)]]&lt;$S$6),"outlier","not outlier")</f>
        <v>not outlier</v>
      </c>
      <c r="L373" s="4" t="str">
        <f>IF(OR(Копия_20206[[#This Row],[Volume (in 1000 kg)]]&gt;$T$7,Копия_20206[[#This Row],[Volume (in 1000 kg)]]&lt;$T$6),"outlier","not outlier")</f>
        <v>not outlier</v>
      </c>
      <c r="M373" s="4" t="str">
        <f>IF(OR(Копия_20206[[#This Row],[Number of stores]]&gt;$U$7,Копия_20206[[#This Row],[Number of stores]]&lt;$U$6),"outlier","not outlier")</f>
        <v>not outlier</v>
      </c>
    </row>
    <row r="374" spans="1:13" x14ac:dyDescent="0.25">
      <c r="A374">
        <v>2020</v>
      </c>
      <c r="B374">
        <v>11</v>
      </c>
      <c r="C374" s="1" t="s">
        <v>25</v>
      </c>
      <c r="D374" s="1" t="s">
        <v>9</v>
      </c>
      <c r="E374" s="1" t="s">
        <v>18</v>
      </c>
      <c r="F374" s="5">
        <v>17.7682</v>
      </c>
      <c r="G374" s="5">
        <v>1109.3931</v>
      </c>
      <c r="H374" s="5">
        <v>3.5537000000000001</v>
      </c>
      <c r="I374">
        <v>1713</v>
      </c>
      <c r="J374" s="4" t="str">
        <f>IF(OR(Копия_20206[[#This Row],[Units (in 1000)]]&gt;$R$7,Копия_20206[[#This Row],[Units (in 1000)]]&lt;$R$6),"outlier","not outlier")</f>
        <v>not outlier</v>
      </c>
      <c r="K374" s="4" t="str">
        <f>IF(OR(Копия_20206[[#This Row],[Value (in 1000 rub)]]&gt;$S$7,Копия_20206[[#This Row],[Value (in 1000 rub)]]&lt;$S$6),"outlier","not outlier")</f>
        <v>not outlier</v>
      </c>
      <c r="L374" s="4" t="str">
        <f>IF(OR(Копия_20206[[#This Row],[Volume (in 1000 kg)]]&gt;$T$7,Копия_20206[[#This Row],[Volume (in 1000 kg)]]&lt;$T$6),"outlier","not outlier")</f>
        <v>not outlier</v>
      </c>
      <c r="M374" s="4" t="str">
        <f>IF(OR(Копия_20206[[#This Row],[Number of stores]]&gt;$U$7,Копия_20206[[#This Row],[Number of stores]]&lt;$U$6),"outlier","not outlier")</f>
        <v>not outlier</v>
      </c>
    </row>
    <row r="375" spans="1:13" x14ac:dyDescent="0.25">
      <c r="A375">
        <v>2020</v>
      </c>
      <c r="B375">
        <v>11</v>
      </c>
      <c r="C375" s="1" t="s">
        <v>29</v>
      </c>
      <c r="D375" s="1" t="s">
        <v>9</v>
      </c>
      <c r="E375" s="1" t="s">
        <v>18</v>
      </c>
      <c r="F375" s="5">
        <v>18.8734</v>
      </c>
      <c r="G375" s="5">
        <v>1317.4916000000001</v>
      </c>
      <c r="H375" s="5">
        <v>3.7747000000000002</v>
      </c>
      <c r="I375">
        <v>1607</v>
      </c>
      <c r="J375" s="4" t="str">
        <f>IF(OR(Копия_20206[[#This Row],[Units (in 1000)]]&gt;$R$7,Копия_20206[[#This Row],[Units (in 1000)]]&lt;$R$6),"outlier","not outlier")</f>
        <v>not outlier</v>
      </c>
      <c r="K375" s="4" t="str">
        <f>IF(OR(Копия_20206[[#This Row],[Value (in 1000 rub)]]&gt;$S$7,Копия_20206[[#This Row],[Value (in 1000 rub)]]&lt;$S$6),"outlier","not outlier")</f>
        <v>not outlier</v>
      </c>
      <c r="L375" s="4" t="str">
        <f>IF(OR(Копия_20206[[#This Row],[Volume (in 1000 kg)]]&gt;$T$7,Копия_20206[[#This Row],[Volume (in 1000 kg)]]&lt;$T$6),"outlier","not outlier")</f>
        <v>not outlier</v>
      </c>
      <c r="M375" s="4" t="str">
        <f>IF(OR(Копия_20206[[#This Row],[Number of stores]]&gt;$U$7,Копия_20206[[#This Row],[Number of stores]]&lt;$U$6),"outlier","not outlier")</f>
        <v>not outlier</v>
      </c>
    </row>
    <row r="376" spans="1:13" x14ac:dyDescent="0.25">
      <c r="A376">
        <v>2020</v>
      </c>
      <c r="B376">
        <v>12</v>
      </c>
      <c r="C376" s="1" t="s">
        <v>8</v>
      </c>
      <c r="D376" s="1" t="s">
        <v>9</v>
      </c>
      <c r="E376" s="1" t="s">
        <v>18</v>
      </c>
      <c r="F376" s="5">
        <v>36.907899999999998</v>
      </c>
      <c r="G376" s="5">
        <v>2267.3182999999999</v>
      </c>
      <c r="H376" s="5">
        <v>7.3815999999999997</v>
      </c>
      <c r="I376">
        <v>468</v>
      </c>
      <c r="J376" s="4" t="str">
        <f>IF(OR(Копия_20206[[#This Row],[Units (in 1000)]]&gt;$R$7,Копия_20206[[#This Row],[Units (in 1000)]]&lt;$R$6),"outlier","not outlier")</f>
        <v>outlier</v>
      </c>
      <c r="K376" s="4" t="str">
        <f>IF(OR(Копия_20206[[#This Row],[Value (in 1000 rub)]]&gt;$S$7,Копия_20206[[#This Row],[Value (in 1000 rub)]]&lt;$S$6),"outlier","not outlier")</f>
        <v>outlier</v>
      </c>
      <c r="L376" s="4" t="str">
        <f>IF(OR(Копия_20206[[#This Row],[Volume (in 1000 kg)]]&gt;$T$7,Копия_20206[[#This Row],[Volume (in 1000 kg)]]&lt;$T$6),"outlier","not outlier")</f>
        <v>outlier</v>
      </c>
      <c r="M376" s="4" t="str">
        <f>IF(OR(Копия_20206[[#This Row],[Number of stores]]&gt;$U$7,Копия_20206[[#This Row],[Number of stores]]&lt;$U$6),"outlier","not outlier")</f>
        <v>not outlier</v>
      </c>
    </row>
    <row r="377" spans="1:13" x14ac:dyDescent="0.25">
      <c r="A377">
        <v>2020</v>
      </c>
      <c r="B377">
        <v>12</v>
      </c>
      <c r="C377" s="1" t="s">
        <v>25</v>
      </c>
      <c r="D377" s="1" t="s">
        <v>9</v>
      </c>
      <c r="E377" s="1" t="s">
        <v>18</v>
      </c>
      <c r="F377" s="5">
        <v>20.2285</v>
      </c>
      <c r="G377" s="5">
        <v>1371.2550000000001</v>
      </c>
      <c r="H377" s="5">
        <v>4.0456000000000003</v>
      </c>
      <c r="I377">
        <v>1889</v>
      </c>
      <c r="J377" s="4" t="str">
        <f>IF(OR(Копия_20206[[#This Row],[Units (in 1000)]]&gt;$R$7,Копия_20206[[#This Row],[Units (in 1000)]]&lt;$R$6),"outlier","not outlier")</f>
        <v>not outlier</v>
      </c>
      <c r="K377" s="4" t="str">
        <f>IF(OR(Копия_20206[[#This Row],[Value (in 1000 rub)]]&gt;$S$7,Копия_20206[[#This Row],[Value (in 1000 rub)]]&lt;$S$6),"outlier","not outlier")</f>
        <v>not outlier</v>
      </c>
      <c r="L377" s="4" t="str">
        <f>IF(OR(Копия_20206[[#This Row],[Volume (in 1000 kg)]]&gt;$T$7,Копия_20206[[#This Row],[Volume (in 1000 kg)]]&lt;$T$6),"outlier","not outlier")</f>
        <v>not outlier</v>
      </c>
      <c r="M377" s="4" t="str">
        <f>IF(OR(Копия_20206[[#This Row],[Number of stores]]&gt;$U$7,Копия_20206[[#This Row],[Number of stores]]&lt;$U$6),"outlier","not outlier")</f>
        <v>not outlier</v>
      </c>
    </row>
    <row r="378" spans="1:13" x14ac:dyDescent="0.25">
      <c r="A378">
        <v>2020</v>
      </c>
      <c r="B378">
        <v>12</v>
      </c>
      <c r="C378" s="1" t="s">
        <v>29</v>
      </c>
      <c r="D378" s="1" t="s">
        <v>9</v>
      </c>
      <c r="E378" s="1" t="s">
        <v>18</v>
      </c>
      <c r="F378" s="5">
        <v>40.661700000000003</v>
      </c>
      <c r="G378" s="5">
        <v>2642.1648</v>
      </c>
      <c r="H378" s="5">
        <v>8.1324000000000005</v>
      </c>
      <c r="I378">
        <v>2079</v>
      </c>
      <c r="J378" s="4" t="str">
        <f>IF(OR(Копия_20206[[#This Row],[Units (in 1000)]]&gt;$R$7,Копия_20206[[#This Row],[Units (in 1000)]]&lt;$R$6),"outlier","not outlier")</f>
        <v>outlier</v>
      </c>
      <c r="K378" s="4" t="str">
        <f>IF(OR(Копия_20206[[#This Row],[Value (in 1000 rub)]]&gt;$S$7,Копия_20206[[#This Row],[Value (in 1000 rub)]]&lt;$S$6),"outlier","not outlier")</f>
        <v>outlier</v>
      </c>
      <c r="L378" s="4" t="str">
        <f>IF(OR(Копия_20206[[#This Row],[Volume (in 1000 kg)]]&gt;$T$7,Копия_20206[[#This Row],[Volume (in 1000 kg)]]&lt;$T$6),"outlier","not outlier")</f>
        <v>outlier</v>
      </c>
      <c r="M378" s="4" t="str">
        <f>IF(OR(Копия_20206[[#This Row],[Number of stores]]&gt;$U$7,Копия_20206[[#This Row],[Number of stores]]&lt;$U$6),"outlier","not outlier")</f>
        <v>not outlier</v>
      </c>
    </row>
    <row r="379" spans="1:13" x14ac:dyDescent="0.25">
      <c r="A379">
        <v>2020</v>
      </c>
      <c r="B379">
        <v>1</v>
      </c>
      <c r="C379" s="1" t="s">
        <v>25</v>
      </c>
      <c r="D379" s="1" t="s">
        <v>27</v>
      </c>
      <c r="E379" s="1" t="s">
        <v>11</v>
      </c>
      <c r="F379" s="5">
        <v>0.52439999999999998</v>
      </c>
      <c r="G379" s="5">
        <v>119.596253</v>
      </c>
      <c r="H379" s="5">
        <v>0.1835</v>
      </c>
      <c r="I379">
        <v>71</v>
      </c>
      <c r="J379" s="4" t="str">
        <f>IF(OR(Копия_20206[[#This Row],[Units (in 1000)]]&gt;$R$7,Копия_20206[[#This Row],[Units (in 1000)]]&lt;$R$6),"outlier","not outlier")</f>
        <v>not outlier</v>
      </c>
      <c r="K379" s="4" t="str">
        <f>IF(OR(Копия_20206[[#This Row],[Value (in 1000 rub)]]&gt;$S$7,Копия_20206[[#This Row],[Value (in 1000 rub)]]&lt;$S$6),"outlier","not outlier")</f>
        <v>not outlier</v>
      </c>
      <c r="L379" s="4" t="str">
        <f>IF(OR(Копия_20206[[#This Row],[Volume (in 1000 kg)]]&gt;$T$7,Копия_20206[[#This Row],[Volume (in 1000 kg)]]&lt;$T$6),"outlier","not outlier")</f>
        <v>not outlier</v>
      </c>
      <c r="M379" s="4" t="str">
        <f>IF(OR(Копия_20206[[#This Row],[Number of stores]]&gt;$U$7,Копия_20206[[#This Row],[Number of stores]]&lt;$U$6),"outlier","not outlier")</f>
        <v>not outlier</v>
      </c>
    </row>
    <row r="380" spans="1:13" x14ac:dyDescent="0.25">
      <c r="A380">
        <v>2020</v>
      </c>
      <c r="B380">
        <v>3</v>
      </c>
      <c r="C380" s="1" t="s">
        <v>25</v>
      </c>
      <c r="D380" s="1" t="s">
        <v>27</v>
      </c>
      <c r="E380" s="1" t="s">
        <v>11</v>
      </c>
      <c r="F380" s="5">
        <v>0.51239999999999997</v>
      </c>
      <c r="G380" s="5">
        <v>123.330744</v>
      </c>
      <c r="H380" s="5">
        <v>0.1794</v>
      </c>
      <c r="I380">
        <v>72</v>
      </c>
      <c r="J380" s="4" t="str">
        <f>IF(OR(Копия_20206[[#This Row],[Units (in 1000)]]&gt;$R$7,Копия_20206[[#This Row],[Units (in 1000)]]&lt;$R$6),"outlier","not outlier")</f>
        <v>not outlier</v>
      </c>
      <c r="K380" s="4" t="str">
        <f>IF(OR(Копия_20206[[#This Row],[Value (in 1000 rub)]]&gt;$S$7,Копия_20206[[#This Row],[Value (in 1000 rub)]]&lt;$S$6),"outlier","not outlier")</f>
        <v>not outlier</v>
      </c>
      <c r="L380" s="4" t="str">
        <f>IF(OR(Копия_20206[[#This Row],[Volume (in 1000 kg)]]&gt;$T$7,Копия_20206[[#This Row],[Volume (in 1000 kg)]]&lt;$T$6),"outlier","not outlier")</f>
        <v>not outlier</v>
      </c>
      <c r="M380" s="4" t="str">
        <f>IF(OR(Копия_20206[[#This Row],[Number of stores]]&gt;$U$7,Копия_20206[[#This Row],[Number of stores]]&lt;$U$6),"outlier","not outlier")</f>
        <v>not outlier</v>
      </c>
    </row>
    <row r="381" spans="1:13" x14ac:dyDescent="0.25">
      <c r="A381">
        <v>2020</v>
      </c>
      <c r="B381">
        <v>8</v>
      </c>
      <c r="C381" s="1" t="s">
        <v>25</v>
      </c>
      <c r="D381" s="1" t="s">
        <v>27</v>
      </c>
      <c r="E381" s="1" t="s">
        <v>11</v>
      </c>
      <c r="F381" s="5">
        <v>0.51959999999999995</v>
      </c>
      <c r="G381" s="5">
        <v>112.748627</v>
      </c>
      <c r="H381" s="5">
        <v>0.18179999999999999</v>
      </c>
      <c r="I381">
        <v>0</v>
      </c>
      <c r="J381" s="4" t="str">
        <f>IF(OR(Копия_20206[[#This Row],[Units (in 1000)]]&gt;$R$7,Копия_20206[[#This Row],[Units (in 1000)]]&lt;$R$6),"outlier","not outlier")</f>
        <v>not outlier</v>
      </c>
      <c r="K381" s="4" t="str">
        <f>IF(OR(Копия_20206[[#This Row],[Value (in 1000 rub)]]&gt;$S$7,Копия_20206[[#This Row],[Value (in 1000 rub)]]&lt;$S$6),"outlier","not outlier")</f>
        <v>not outlier</v>
      </c>
      <c r="L381" s="4" t="str">
        <f>IF(OR(Копия_20206[[#This Row],[Volume (in 1000 kg)]]&gt;$T$7,Копия_20206[[#This Row],[Volume (in 1000 kg)]]&lt;$T$6),"outlier","not outlier")</f>
        <v>not outlier</v>
      </c>
      <c r="M381" s="4" t="str">
        <f>IF(OR(Копия_20206[[#This Row],[Number of stores]]&gt;$U$7,Копия_20206[[#This Row],[Number of stores]]&lt;$U$6),"outlier","not outlier")</f>
        <v>not outlier</v>
      </c>
    </row>
    <row r="382" spans="1:13" x14ac:dyDescent="0.25">
      <c r="A382">
        <v>2020</v>
      </c>
      <c r="B382">
        <v>9</v>
      </c>
      <c r="C382" s="1" t="s">
        <v>25</v>
      </c>
      <c r="D382" s="1" t="s">
        <v>27</v>
      </c>
      <c r="E382" s="1" t="s">
        <v>11</v>
      </c>
      <c r="F382" s="5">
        <v>0.28739999999999999</v>
      </c>
      <c r="G382" s="5">
        <v>65.509332999999998</v>
      </c>
      <c r="H382" s="5">
        <v>0.10050000000000001</v>
      </c>
      <c r="I382">
        <v>0</v>
      </c>
      <c r="J382" s="4" t="str">
        <f>IF(OR(Копия_20206[[#This Row],[Units (in 1000)]]&gt;$R$7,Копия_20206[[#This Row],[Units (in 1000)]]&lt;$R$6),"outlier","not outlier")</f>
        <v>not outlier</v>
      </c>
      <c r="K382" s="4" t="str">
        <f>IF(OR(Копия_20206[[#This Row],[Value (in 1000 rub)]]&gt;$S$7,Копия_20206[[#This Row],[Value (in 1000 rub)]]&lt;$S$6),"outlier","not outlier")</f>
        <v>not outlier</v>
      </c>
      <c r="L382" s="4" t="str">
        <f>IF(OR(Копия_20206[[#This Row],[Volume (in 1000 kg)]]&gt;$T$7,Копия_20206[[#This Row],[Volume (in 1000 kg)]]&lt;$T$6),"outlier","not outlier")</f>
        <v>not outlier</v>
      </c>
      <c r="M382" s="4" t="str">
        <f>IF(OR(Копия_20206[[#This Row],[Number of stores]]&gt;$U$7,Копия_20206[[#This Row],[Number of stores]]&lt;$U$6),"outlier","not outlier")</f>
        <v>not outlier</v>
      </c>
    </row>
    <row r="383" spans="1:13" x14ac:dyDescent="0.25">
      <c r="A383">
        <v>2020</v>
      </c>
      <c r="B383">
        <v>10</v>
      </c>
      <c r="C383" s="1" t="s">
        <v>25</v>
      </c>
      <c r="D383" s="1" t="s">
        <v>27</v>
      </c>
      <c r="E383" s="1" t="s">
        <v>11</v>
      </c>
      <c r="F383" s="5">
        <v>0.31890000000000002</v>
      </c>
      <c r="G383" s="5">
        <v>70.952596999999997</v>
      </c>
      <c r="H383" s="5">
        <v>0.11169999999999999</v>
      </c>
      <c r="I383">
        <v>0</v>
      </c>
      <c r="J383" s="4" t="str">
        <f>IF(OR(Копия_20206[[#This Row],[Units (in 1000)]]&gt;$R$7,Копия_20206[[#This Row],[Units (in 1000)]]&lt;$R$6),"outlier","not outlier")</f>
        <v>not outlier</v>
      </c>
      <c r="K383" s="4" t="str">
        <f>IF(OR(Копия_20206[[#This Row],[Value (in 1000 rub)]]&gt;$S$7,Копия_20206[[#This Row],[Value (in 1000 rub)]]&lt;$S$6),"outlier","not outlier")</f>
        <v>not outlier</v>
      </c>
      <c r="L383" s="4" t="str">
        <f>IF(OR(Копия_20206[[#This Row],[Volume (in 1000 kg)]]&gt;$T$7,Копия_20206[[#This Row],[Volume (in 1000 kg)]]&lt;$T$6),"outlier","not outlier")</f>
        <v>not outlier</v>
      </c>
      <c r="M383" s="4" t="str">
        <f>IF(OR(Копия_20206[[#This Row],[Number of stores]]&gt;$U$7,Копия_20206[[#This Row],[Number of stores]]&lt;$U$6),"outlier","not outlier")</f>
        <v>not outlier</v>
      </c>
    </row>
    <row r="384" spans="1:13" x14ac:dyDescent="0.25">
      <c r="A384">
        <v>2020</v>
      </c>
      <c r="B384">
        <v>7</v>
      </c>
      <c r="C384" s="1" t="s">
        <v>25</v>
      </c>
      <c r="D384" s="1" t="s">
        <v>60</v>
      </c>
      <c r="E384" s="1" t="s">
        <v>11</v>
      </c>
      <c r="F384" s="5">
        <v>0.42970000000000003</v>
      </c>
      <c r="G384" s="5">
        <v>86.020452000000006</v>
      </c>
      <c r="H384" s="5">
        <v>0.15040000000000001</v>
      </c>
      <c r="I384">
        <v>0</v>
      </c>
      <c r="J384" s="4" t="str">
        <f>IF(OR(Копия_20206[[#This Row],[Units (in 1000)]]&gt;$R$7,Копия_20206[[#This Row],[Units (in 1000)]]&lt;$R$6),"outlier","not outlier")</f>
        <v>not outlier</v>
      </c>
      <c r="K384" s="4" t="str">
        <f>IF(OR(Копия_20206[[#This Row],[Value (in 1000 rub)]]&gt;$S$7,Копия_20206[[#This Row],[Value (in 1000 rub)]]&lt;$S$6),"outlier","not outlier")</f>
        <v>not outlier</v>
      </c>
      <c r="L384" s="4" t="str">
        <f>IF(OR(Копия_20206[[#This Row],[Volume (in 1000 kg)]]&gt;$T$7,Копия_20206[[#This Row],[Volume (in 1000 kg)]]&lt;$T$6),"outlier","not outlier")</f>
        <v>not outlier</v>
      </c>
      <c r="M384" s="4" t="str">
        <f>IF(OR(Копия_20206[[#This Row],[Number of stores]]&gt;$U$7,Копия_20206[[#This Row],[Number of stores]]&lt;$U$6),"outlier","not outlier")</f>
        <v>not outlier</v>
      </c>
    </row>
    <row r="385" spans="1:13" x14ac:dyDescent="0.25">
      <c r="A385">
        <v>2020</v>
      </c>
      <c r="B385">
        <v>5</v>
      </c>
      <c r="C385" s="1" t="s">
        <v>8</v>
      </c>
      <c r="D385" s="1" t="s">
        <v>34</v>
      </c>
      <c r="E385" s="1" t="s">
        <v>12</v>
      </c>
      <c r="F385" s="5">
        <v>0.1731</v>
      </c>
      <c r="G385" s="5">
        <v>35.477459000000003</v>
      </c>
      <c r="H385" s="5">
        <v>6.93E-2</v>
      </c>
      <c r="I385">
        <v>46</v>
      </c>
      <c r="J385" s="4" t="str">
        <f>IF(OR(Копия_20206[[#This Row],[Units (in 1000)]]&gt;$R$7,Копия_20206[[#This Row],[Units (in 1000)]]&lt;$R$6),"outlier","not outlier")</f>
        <v>not outlier</v>
      </c>
      <c r="K385" s="4" t="str">
        <f>IF(OR(Копия_20206[[#This Row],[Value (in 1000 rub)]]&gt;$S$7,Копия_20206[[#This Row],[Value (in 1000 rub)]]&lt;$S$6),"outlier","not outlier")</f>
        <v>not outlier</v>
      </c>
      <c r="L385" s="4" t="str">
        <f>IF(OR(Копия_20206[[#This Row],[Volume (in 1000 kg)]]&gt;$T$7,Копия_20206[[#This Row],[Volume (in 1000 kg)]]&lt;$T$6),"outlier","not outlier")</f>
        <v>not outlier</v>
      </c>
      <c r="M385" s="4" t="str">
        <f>IF(OR(Копия_20206[[#This Row],[Number of stores]]&gt;$U$7,Копия_20206[[#This Row],[Number of stores]]&lt;$U$6),"outlier","not outlier")</f>
        <v>not outlier</v>
      </c>
    </row>
    <row r="386" spans="1:13" x14ac:dyDescent="0.25">
      <c r="A386">
        <v>2020</v>
      </c>
      <c r="B386">
        <v>6</v>
      </c>
      <c r="C386" s="1" t="s">
        <v>8</v>
      </c>
      <c r="D386" s="1" t="s">
        <v>34</v>
      </c>
      <c r="E386" s="1" t="s">
        <v>12</v>
      </c>
      <c r="F386" s="5">
        <v>0.21099999999999999</v>
      </c>
      <c r="G386" s="5">
        <v>44.131594</v>
      </c>
      <c r="H386" s="5">
        <v>8.43E-2</v>
      </c>
      <c r="I386">
        <v>0</v>
      </c>
      <c r="J386" s="4" t="str">
        <f>IF(OR(Копия_20206[[#This Row],[Units (in 1000)]]&gt;$R$7,Копия_20206[[#This Row],[Units (in 1000)]]&lt;$R$6),"outlier","not outlier")</f>
        <v>not outlier</v>
      </c>
      <c r="K386" s="4" t="str">
        <f>IF(OR(Копия_20206[[#This Row],[Value (in 1000 rub)]]&gt;$S$7,Копия_20206[[#This Row],[Value (in 1000 rub)]]&lt;$S$6),"outlier","not outlier")</f>
        <v>not outlier</v>
      </c>
      <c r="L386" s="4" t="str">
        <f>IF(OR(Копия_20206[[#This Row],[Volume (in 1000 kg)]]&gt;$T$7,Копия_20206[[#This Row],[Volume (in 1000 kg)]]&lt;$T$6),"outlier","not outlier")</f>
        <v>not outlier</v>
      </c>
      <c r="M386" s="4" t="str">
        <f>IF(OR(Копия_20206[[#This Row],[Number of stores]]&gt;$U$7,Копия_20206[[#This Row],[Number of stores]]&lt;$U$6),"outlier","not outlier")</f>
        <v>not outlier</v>
      </c>
    </row>
    <row r="387" spans="1:13" x14ac:dyDescent="0.25">
      <c r="A387">
        <v>2020</v>
      </c>
      <c r="B387">
        <v>7</v>
      </c>
      <c r="C387" s="1" t="s">
        <v>8</v>
      </c>
      <c r="D387" s="1" t="s">
        <v>34</v>
      </c>
      <c r="E387" s="1" t="s">
        <v>12</v>
      </c>
      <c r="F387" s="5">
        <v>0.22650000000000001</v>
      </c>
      <c r="G387" s="5">
        <v>47.412948999999998</v>
      </c>
      <c r="H387" s="5">
        <v>9.06E-2</v>
      </c>
      <c r="I387">
        <v>57</v>
      </c>
      <c r="J387" s="4" t="str">
        <f>IF(OR(Копия_20206[[#This Row],[Units (in 1000)]]&gt;$R$7,Копия_20206[[#This Row],[Units (in 1000)]]&lt;$R$6),"outlier","not outlier")</f>
        <v>not outlier</v>
      </c>
      <c r="K387" s="4" t="str">
        <f>IF(OR(Копия_20206[[#This Row],[Value (in 1000 rub)]]&gt;$S$7,Копия_20206[[#This Row],[Value (in 1000 rub)]]&lt;$S$6),"outlier","not outlier")</f>
        <v>not outlier</v>
      </c>
      <c r="L387" s="4" t="str">
        <f>IF(OR(Копия_20206[[#This Row],[Volume (in 1000 kg)]]&gt;$T$7,Копия_20206[[#This Row],[Volume (in 1000 kg)]]&lt;$T$6),"outlier","not outlier")</f>
        <v>not outlier</v>
      </c>
      <c r="M387" s="4" t="str">
        <f>IF(OR(Копия_20206[[#This Row],[Number of stores]]&gt;$U$7,Копия_20206[[#This Row],[Number of stores]]&lt;$U$6),"outlier","not outlier")</f>
        <v>not outlier</v>
      </c>
    </row>
    <row r="388" spans="1:13" x14ac:dyDescent="0.25">
      <c r="A388">
        <v>2020</v>
      </c>
      <c r="B388">
        <v>8</v>
      </c>
      <c r="C388" s="1" t="s">
        <v>8</v>
      </c>
      <c r="D388" s="1" t="s">
        <v>34</v>
      </c>
      <c r="E388" s="1" t="s">
        <v>12</v>
      </c>
      <c r="F388" s="5">
        <v>0.25180000000000002</v>
      </c>
      <c r="G388" s="5">
        <v>52.956798999999997</v>
      </c>
      <c r="H388" s="5">
        <v>0.1007</v>
      </c>
      <c r="I388">
        <v>57</v>
      </c>
      <c r="J388" s="4" t="str">
        <f>IF(OR(Копия_20206[[#This Row],[Units (in 1000)]]&gt;$R$7,Копия_20206[[#This Row],[Units (in 1000)]]&lt;$R$6),"outlier","not outlier")</f>
        <v>not outlier</v>
      </c>
      <c r="K388" s="4" t="str">
        <f>IF(OR(Копия_20206[[#This Row],[Value (in 1000 rub)]]&gt;$S$7,Копия_20206[[#This Row],[Value (in 1000 rub)]]&lt;$S$6),"outlier","not outlier")</f>
        <v>not outlier</v>
      </c>
      <c r="L388" s="4" t="str">
        <f>IF(OR(Копия_20206[[#This Row],[Volume (in 1000 kg)]]&gt;$T$7,Копия_20206[[#This Row],[Volume (in 1000 kg)]]&lt;$T$6),"outlier","not outlier")</f>
        <v>not outlier</v>
      </c>
      <c r="M388" s="4" t="str">
        <f>IF(OR(Копия_20206[[#This Row],[Number of stores]]&gt;$U$7,Копия_20206[[#This Row],[Number of stores]]&lt;$U$6),"outlier","not outlier")</f>
        <v>not outlier</v>
      </c>
    </row>
    <row r="389" spans="1:13" x14ac:dyDescent="0.25">
      <c r="A389">
        <v>2020</v>
      </c>
      <c r="B389">
        <v>9</v>
      </c>
      <c r="C389" s="1" t="s">
        <v>8</v>
      </c>
      <c r="D389" s="1" t="s">
        <v>34</v>
      </c>
      <c r="E389" s="1" t="s">
        <v>12</v>
      </c>
      <c r="F389" s="5">
        <v>0.24199999999999999</v>
      </c>
      <c r="G389" s="5">
        <v>51.531351000000001</v>
      </c>
      <c r="H389" s="5">
        <v>9.6699999999999994E-2</v>
      </c>
      <c r="I389">
        <v>47</v>
      </c>
      <c r="J389" s="4" t="str">
        <f>IF(OR(Копия_20206[[#This Row],[Units (in 1000)]]&gt;$R$7,Копия_20206[[#This Row],[Units (in 1000)]]&lt;$R$6),"outlier","not outlier")</f>
        <v>not outlier</v>
      </c>
      <c r="K389" s="4" t="str">
        <f>IF(OR(Копия_20206[[#This Row],[Value (in 1000 rub)]]&gt;$S$7,Копия_20206[[#This Row],[Value (in 1000 rub)]]&lt;$S$6),"outlier","not outlier")</f>
        <v>not outlier</v>
      </c>
      <c r="L389" s="4" t="str">
        <f>IF(OR(Копия_20206[[#This Row],[Volume (in 1000 kg)]]&gt;$T$7,Копия_20206[[#This Row],[Volume (in 1000 kg)]]&lt;$T$6),"outlier","not outlier")</f>
        <v>not outlier</v>
      </c>
      <c r="M389" s="4" t="str">
        <f>IF(OR(Копия_20206[[#This Row],[Number of stores]]&gt;$U$7,Копия_20206[[#This Row],[Number of stores]]&lt;$U$6),"outlier","not outlier")</f>
        <v>not outlier</v>
      </c>
    </row>
    <row r="390" spans="1:13" x14ac:dyDescent="0.25">
      <c r="A390">
        <v>2020</v>
      </c>
      <c r="B390">
        <v>10</v>
      </c>
      <c r="C390" s="1" t="s">
        <v>8</v>
      </c>
      <c r="D390" s="1" t="s">
        <v>34</v>
      </c>
      <c r="E390" s="1" t="s">
        <v>12</v>
      </c>
      <c r="F390" s="5">
        <v>0.3019</v>
      </c>
      <c r="G390" s="5">
        <v>52.337632999999997</v>
      </c>
      <c r="H390" s="5">
        <v>0.1207</v>
      </c>
      <c r="I390">
        <v>57</v>
      </c>
      <c r="J390" s="4" t="str">
        <f>IF(OR(Копия_20206[[#This Row],[Units (in 1000)]]&gt;$R$7,Копия_20206[[#This Row],[Units (in 1000)]]&lt;$R$6),"outlier","not outlier")</f>
        <v>not outlier</v>
      </c>
      <c r="K390" s="4" t="str">
        <f>IF(OR(Копия_20206[[#This Row],[Value (in 1000 rub)]]&gt;$S$7,Копия_20206[[#This Row],[Value (in 1000 rub)]]&lt;$S$6),"outlier","not outlier")</f>
        <v>not outlier</v>
      </c>
      <c r="L390" s="4" t="str">
        <f>IF(OR(Копия_20206[[#This Row],[Volume (in 1000 kg)]]&gt;$T$7,Копия_20206[[#This Row],[Volume (in 1000 kg)]]&lt;$T$6),"outlier","not outlier")</f>
        <v>not outlier</v>
      </c>
      <c r="M390" s="4" t="str">
        <f>IF(OR(Копия_20206[[#This Row],[Number of stores]]&gt;$U$7,Копия_20206[[#This Row],[Number of stores]]&lt;$U$6),"outlier","not outlier")</f>
        <v>not outlier</v>
      </c>
    </row>
    <row r="391" spans="1:13" x14ac:dyDescent="0.25">
      <c r="A391">
        <v>2020</v>
      </c>
      <c r="B391">
        <v>11</v>
      </c>
      <c r="C391" s="1" t="s">
        <v>8</v>
      </c>
      <c r="D391" s="1" t="s">
        <v>34</v>
      </c>
      <c r="E391" s="1" t="s">
        <v>12</v>
      </c>
      <c r="F391" s="5">
        <v>0.30549999999999999</v>
      </c>
      <c r="G391" s="5">
        <v>50.607906999999997</v>
      </c>
      <c r="H391" s="5">
        <v>0.1222</v>
      </c>
      <c r="I391">
        <v>61</v>
      </c>
      <c r="J391" s="4" t="str">
        <f>IF(OR(Копия_20206[[#This Row],[Units (in 1000)]]&gt;$R$7,Копия_20206[[#This Row],[Units (in 1000)]]&lt;$R$6),"outlier","not outlier")</f>
        <v>not outlier</v>
      </c>
      <c r="K391" s="4" t="str">
        <f>IF(OR(Копия_20206[[#This Row],[Value (in 1000 rub)]]&gt;$S$7,Копия_20206[[#This Row],[Value (in 1000 rub)]]&lt;$S$6),"outlier","not outlier")</f>
        <v>not outlier</v>
      </c>
      <c r="L391" s="4" t="str">
        <f>IF(OR(Копия_20206[[#This Row],[Volume (in 1000 kg)]]&gt;$T$7,Копия_20206[[#This Row],[Volume (in 1000 kg)]]&lt;$T$6),"outlier","not outlier")</f>
        <v>not outlier</v>
      </c>
      <c r="M391" s="4" t="str">
        <f>IF(OR(Копия_20206[[#This Row],[Number of stores]]&gt;$U$7,Копия_20206[[#This Row],[Number of stores]]&lt;$U$6),"outlier","not outlier")</f>
        <v>not outlier</v>
      </c>
    </row>
    <row r="392" spans="1:13" x14ac:dyDescent="0.25">
      <c r="A392">
        <v>2020</v>
      </c>
      <c r="B392">
        <v>12</v>
      </c>
      <c r="C392" s="1" t="s">
        <v>8</v>
      </c>
      <c r="D392" s="1" t="s">
        <v>34</v>
      </c>
      <c r="E392" s="1" t="s">
        <v>12</v>
      </c>
      <c r="F392" s="5">
        <v>0.2248</v>
      </c>
      <c r="G392" s="5">
        <v>41.788139000000001</v>
      </c>
      <c r="H392" s="5">
        <v>8.9899999999999994E-2</v>
      </c>
      <c r="I392">
        <v>60</v>
      </c>
      <c r="J392" s="4" t="str">
        <f>IF(OR(Копия_20206[[#This Row],[Units (in 1000)]]&gt;$R$7,Копия_20206[[#This Row],[Units (in 1000)]]&lt;$R$6),"outlier","not outlier")</f>
        <v>not outlier</v>
      </c>
      <c r="K392" s="4" t="str">
        <f>IF(OR(Копия_20206[[#This Row],[Value (in 1000 rub)]]&gt;$S$7,Копия_20206[[#This Row],[Value (in 1000 rub)]]&lt;$S$6),"outlier","not outlier")</f>
        <v>not outlier</v>
      </c>
      <c r="L392" s="4" t="str">
        <f>IF(OR(Копия_20206[[#This Row],[Volume (in 1000 kg)]]&gt;$T$7,Копия_20206[[#This Row],[Volume (in 1000 kg)]]&lt;$T$6),"outlier","not outlier")</f>
        <v>not outlier</v>
      </c>
      <c r="M392" s="4" t="str">
        <f>IF(OR(Копия_20206[[#This Row],[Number of stores]]&gt;$U$7,Копия_20206[[#This Row],[Number of stores]]&lt;$U$6),"outlier","not outlier")</f>
        <v>not outlier</v>
      </c>
    </row>
    <row r="393" spans="1:13" x14ac:dyDescent="0.25">
      <c r="A393">
        <v>2020</v>
      </c>
      <c r="B393">
        <v>1</v>
      </c>
      <c r="C393" s="1" t="s">
        <v>25</v>
      </c>
      <c r="D393" s="1" t="s">
        <v>55</v>
      </c>
      <c r="E393" s="1" t="s">
        <v>12</v>
      </c>
      <c r="F393" s="5">
        <v>0.47989999999999999</v>
      </c>
      <c r="G393" s="5">
        <v>43.137400999999997</v>
      </c>
      <c r="H393" s="5">
        <v>0.24</v>
      </c>
      <c r="I393">
        <v>0</v>
      </c>
      <c r="J393" s="4" t="str">
        <f>IF(OR(Копия_20206[[#This Row],[Units (in 1000)]]&gt;$R$7,Копия_20206[[#This Row],[Units (in 1000)]]&lt;$R$6),"outlier","not outlier")</f>
        <v>not outlier</v>
      </c>
      <c r="K393" s="4" t="str">
        <f>IF(OR(Копия_20206[[#This Row],[Value (in 1000 rub)]]&gt;$S$7,Копия_20206[[#This Row],[Value (in 1000 rub)]]&lt;$S$6),"outlier","not outlier")</f>
        <v>not outlier</v>
      </c>
      <c r="L393" s="4" t="str">
        <f>IF(OR(Копия_20206[[#This Row],[Volume (in 1000 kg)]]&gt;$T$7,Копия_20206[[#This Row],[Volume (in 1000 kg)]]&lt;$T$6),"outlier","not outlier")</f>
        <v>not outlier</v>
      </c>
      <c r="M393" s="4" t="str">
        <f>IF(OR(Копия_20206[[#This Row],[Number of stores]]&gt;$U$7,Копия_20206[[#This Row],[Number of stores]]&lt;$U$6),"outlier","not outlier")</f>
        <v>not outlier</v>
      </c>
    </row>
    <row r="394" spans="1:13" x14ac:dyDescent="0.25">
      <c r="A394">
        <v>2020</v>
      </c>
      <c r="B394">
        <v>6</v>
      </c>
      <c r="C394" s="1" t="s">
        <v>25</v>
      </c>
      <c r="D394" s="1" t="s">
        <v>55</v>
      </c>
      <c r="E394" s="1" t="s">
        <v>12</v>
      </c>
      <c r="F394" s="5">
        <v>0.53869999999999996</v>
      </c>
      <c r="G394" s="5">
        <v>47.024197000000001</v>
      </c>
      <c r="H394" s="5">
        <v>0.26929999999999998</v>
      </c>
      <c r="I394">
        <v>121</v>
      </c>
      <c r="J394" s="4" t="str">
        <f>IF(OR(Копия_20206[[#This Row],[Units (in 1000)]]&gt;$R$7,Копия_20206[[#This Row],[Units (in 1000)]]&lt;$R$6),"outlier","not outlier")</f>
        <v>not outlier</v>
      </c>
      <c r="K394" s="4" t="str">
        <f>IF(OR(Копия_20206[[#This Row],[Value (in 1000 rub)]]&gt;$S$7,Копия_20206[[#This Row],[Value (in 1000 rub)]]&lt;$S$6),"outlier","not outlier")</f>
        <v>not outlier</v>
      </c>
      <c r="L394" s="4" t="str">
        <f>IF(OR(Копия_20206[[#This Row],[Volume (in 1000 kg)]]&gt;$T$7,Копия_20206[[#This Row],[Volume (in 1000 kg)]]&lt;$T$6),"outlier","not outlier")</f>
        <v>not outlier</v>
      </c>
      <c r="M394" s="4" t="str">
        <f>IF(OR(Копия_20206[[#This Row],[Number of stores]]&gt;$U$7,Копия_20206[[#This Row],[Number of stores]]&lt;$U$6),"outlier","not outlier")</f>
        <v>not outlier</v>
      </c>
    </row>
    <row r="395" spans="1:13" x14ac:dyDescent="0.25">
      <c r="A395">
        <v>2020</v>
      </c>
      <c r="B395">
        <v>2</v>
      </c>
      <c r="C395" s="1" t="s">
        <v>29</v>
      </c>
      <c r="D395" s="1" t="s">
        <v>31</v>
      </c>
      <c r="E395" s="1" t="s">
        <v>18</v>
      </c>
      <c r="F395" s="5">
        <v>1.6000000000000001E-3</v>
      </c>
      <c r="G395" s="5">
        <v>0.21092</v>
      </c>
      <c r="H395" s="5">
        <v>2.9999999999999997E-4</v>
      </c>
      <c r="I395">
        <v>4</v>
      </c>
      <c r="J395" s="4" t="str">
        <f>IF(OR(Копия_20206[[#This Row],[Units (in 1000)]]&gt;$R$7,Копия_20206[[#This Row],[Units (in 1000)]]&lt;$R$6),"outlier","not outlier")</f>
        <v>not outlier</v>
      </c>
      <c r="K395" s="4" t="str">
        <f>IF(OR(Копия_20206[[#This Row],[Value (in 1000 rub)]]&gt;$S$7,Копия_20206[[#This Row],[Value (in 1000 rub)]]&lt;$S$6),"outlier","not outlier")</f>
        <v>not outlier</v>
      </c>
      <c r="L395" s="4" t="str">
        <f>IF(OR(Копия_20206[[#This Row],[Volume (in 1000 kg)]]&gt;$T$7,Копия_20206[[#This Row],[Volume (in 1000 kg)]]&lt;$T$6),"outlier","not outlier")</f>
        <v>not outlier</v>
      </c>
      <c r="M395" s="4" t="str">
        <f>IF(OR(Копия_20206[[#This Row],[Number of stores]]&gt;$U$7,Копия_20206[[#This Row],[Number of stores]]&lt;$U$6),"outlier","not outlier")</f>
        <v>not outlier</v>
      </c>
    </row>
    <row r="396" spans="1:13" x14ac:dyDescent="0.25">
      <c r="A396">
        <v>2020</v>
      </c>
      <c r="B396">
        <v>2</v>
      </c>
      <c r="C396" s="1" t="s">
        <v>29</v>
      </c>
      <c r="D396" s="1" t="s">
        <v>31</v>
      </c>
      <c r="E396" s="1" t="s">
        <v>11</v>
      </c>
      <c r="F396" s="5">
        <v>2.2326000000000001</v>
      </c>
      <c r="G396" s="5">
        <v>287.86845399999999</v>
      </c>
      <c r="H396" s="5">
        <v>0.78149999999999997</v>
      </c>
      <c r="I396">
        <v>150</v>
      </c>
      <c r="J396" s="4" t="str">
        <f>IF(OR(Копия_20206[[#This Row],[Units (in 1000)]]&gt;$R$7,Копия_20206[[#This Row],[Units (in 1000)]]&lt;$R$6),"outlier","not outlier")</f>
        <v>not outlier</v>
      </c>
      <c r="K396" s="4" t="str">
        <f>IF(OR(Копия_20206[[#This Row],[Value (in 1000 rub)]]&gt;$S$7,Копия_20206[[#This Row],[Value (in 1000 rub)]]&lt;$S$6),"outlier","not outlier")</f>
        <v>not outlier</v>
      </c>
      <c r="L396" s="4" t="str">
        <f>IF(OR(Копия_20206[[#This Row],[Volume (in 1000 kg)]]&gt;$T$7,Копия_20206[[#This Row],[Volume (in 1000 kg)]]&lt;$T$6),"outlier","not outlier")</f>
        <v>not outlier</v>
      </c>
      <c r="M396" s="4" t="str">
        <f>IF(OR(Копия_20206[[#This Row],[Number of stores]]&gt;$U$7,Копия_20206[[#This Row],[Number of stores]]&lt;$U$6),"outlier","not outlier")</f>
        <v>not outlier</v>
      </c>
    </row>
    <row r="397" spans="1:13" x14ac:dyDescent="0.25">
      <c r="A397">
        <v>2020</v>
      </c>
      <c r="B397">
        <v>3</v>
      </c>
      <c r="C397" s="1" t="s">
        <v>29</v>
      </c>
      <c r="D397" s="1" t="s">
        <v>31</v>
      </c>
      <c r="E397" s="1" t="s">
        <v>18</v>
      </c>
      <c r="F397" s="5">
        <v>4.0000000000000002E-4</v>
      </c>
      <c r="G397" s="5">
        <v>4.9662999999999999E-2</v>
      </c>
      <c r="H397" s="5">
        <v>1E-4</v>
      </c>
      <c r="I397">
        <v>1</v>
      </c>
      <c r="J397" s="4" t="str">
        <f>IF(OR(Копия_20206[[#This Row],[Units (in 1000)]]&gt;$R$7,Копия_20206[[#This Row],[Units (in 1000)]]&lt;$R$6),"outlier","not outlier")</f>
        <v>not outlier</v>
      </c>
      <c r="K397" s="4" t="str">
        <f>IF(OR(Копия_20206[[#This Row],[Value (in 1000 rub)]]&gt;$S$7,Копия_20206[[#This Row],[Value (in 1000 rub)]]&lt;$S$6),"outlier","not outlier")</f>
        <v>not outlier</v>
      </c>
      <c r="L397" s="4" t="str">
        <f>IF(OR(Копия_20206[[#This Row],[Volume (in 1000 kg)]]&gt;$T$7,Копия_20206[[#This Row],[Volume (in 1000 kg)]]&lt;$T$6),"outlier","not outlier")</f>
        <v>not outlier</v>
      </c>
      <c r="M397" s="4" t="str">
        <f>IF(OR(Копия_20206[[#This Row],[Number of stores]]&gt;$U$7,Копия_20206[[#This Row],[Number of stores]]&lt;$U$6),"outlier","not outlier")</f>
        <v>not outlier</v>
      </c>
    </row>
    <row r="398" spans="1:13" x14ac:dyDescent="0.25">
      <c r="A398">
        <v>2020</v>
      </c>
      <c r="B398">
        <v>3</v>
      </c>
      <c r="C398" s="1" t="s">
        <v>29</v>
      </c>
      <c r="D398" s="1" t="s">
        <v>31</v>
      </c>
      <c r="E398" s="1" t="s">
        <v>11</v>
      </c>
      <c r="F398" s="5">
        <v>1.3841000000000001</v>
      </c>
      <c r="G398" s="5">
        <v>238.90414200000001</v>
      </c>
      <c r="H398" s="5">
        <v>0.4844</v>
      </c>
      <c r="I398">
        <v>158</v>
      </c>
      <c r="J398" s="4" t="str">
        <f>IF(OR(Копия_20206[[#This Row],[Units (in 1000)]]&gt;$R$7,Копия_20206[[#This Row],[Units (in 1000)]]&lt;$R$6),"outlier","not outlier")</f>
        <v>not outlier</v>
      </c>
      <c r="K398" s="4" t="str">
        <f>IF(OR(Копия_20206[[#This Row],[Value (in 1000 rub)]]&gt;$S$7,Копия_20206[[#This Row],[Value (in 1000 rub)]]&lt;$S$6),"outlier","not outlier")</f>
        <v>not outlier</v>
      </c>
      <c r="L398" s="4" t="str">
        <f>IF(OR(Копия_20206[[#This Row],[Volume (in 1000 kg)]]&gt;$T$7,Копия_20206[[#This Row],[Volume (in 1000 kg)]]&lt;$T$6),"outlier","not outlier")</f>
        <v>not outlier</v>
      </c>
      <c r="M398" s="4" t="str">
        <f>IF(OR(Копия_20206[[#This Row],[Number of stores]]&gt;$U$7,Копия_20206[[#This Row],[Number of stores]]&lt;$U$6),"outlier","not outlier")</f>
        <v>not outlier</v>
      </c>
    </row>
    <row r="399" spans="1:13" x14ac:dyDescent="0.25">
      <c r="A399">
        <v>2020</v>
      </c>
      <c r="B399">
        <v>9</v>
      </c>
      <c r="C399" s="1" t="s">
        <v>29</v>
      </c>
      <c r="D399" s="1" t="s">
        <v>31</v>
      </c>
      <c r="E399" s="1" t="s">
        <v>18</v>
      </c>
      <c r="F399" s="5">
        <v>2.0000000000000001E-4</v>
      </c>
      <c r="G399" s="5">
        <v>2.4798000000000001E-2</v>
      </c>
      <c r="H399" s="5">
        <v>1E-4</v>
      </c>
      <c r="I399">
        <v>2</v>
      </c>
      <c r="J399" s="4" t="str">
        <f>IF(OR(Копия_20206[[#This Row],[Units (in 1000)]]&gt;$R$7,Копия_20206[[#This Row],[Units (in 1000)]]&lt;$R$6),"outlier","not outlier")</f>
        <v>not outlier</v>
      </c>
      <c r="K399" s="4" t="str">
        <f>IF(OR(Копия_20206[[#This Row],[Value (in 1000 rub)]]&gt;$S$7,Копия_20206[[#This Row],[Value (in 1000 rub)]]&lt;$S$6),"outlier","not outlier")</f>
        <v>not outlier</v>
      </c>
      <c r="L399" s="4" t="str">
        <f>IF(OR(Копия_20206[[#This Row],[Volume (in 1000 kg)]]&gt;$T$7,Копия_20206[[#This Row],[Volume (in 1000 kg)]]&lt;$T$6),"outlier","not outlier")</f>
        <v>not outlier</v>
      </c>
      <c r="M399" s="4" t="str">
        <f>IF(OR(Копия_20206[[#This Row],[Number of stores]]&gt;$U$7,Копия_20206[[#This Row],[Number of stores]]&lt;$U$6),"outlier","not outlier")</f>
        <v>not outlier</v>
      </c>
    </row>
    <row r="400" spans="1:13" x14ac:dyDescent="0.25">
      <c r="A400">
        <v>2020</v>
      </c>
      <c r="B400">
        <v>9</v>
      </c>
      <c r="C400" s="1" t="s">
        <v>29</v>
      </c>
      <c r="D400" s="1" t="s">
        <v>31</v>
      </c>
      <c r="E400" s="1" t="s">
        <v>11</v>
      </c>
      <c r="F400" s="5">
        <v>0.76290000000000002</v>
      </c>
      <c r="G400" s="5">
        <v>151.89261300000001</v>
      </c>
      <c r="H400" s="5">
        <v>0.26700000000000002</v>
      </c>
      <c r="I400">
        <v>114</v>
      </c>
      <c r="J400" s="4" t="str">
        <f>IF(OR(Копия_20206[[#This Row],[Units (in 1000)]]&gt;$R$7,Копия_20206[[#This Row],[Units (in 1000)]]&lt;$R$6),"outlier","not outlier")</f>
        <v>not outlier</v>
      </c>
      <c r="K400" s="4" t="str">
        <f>IF(OR(Копия_20206[[#This Row],[Value (in 1000 rub)]]&gt;$S$7,Копия_20206[[#This Row],[Value (in 1000 rub)]]&lt;$S$6),"outlier","not outlier")</f>
        <v>not outlier</v>
      </c>
      <c r="L400" s="4" t="str">
        <f>IF(OR(Копия_20206[[#This Row],[Volume (in 1000 kg)]]&gt;$T$7,Копия_20206[[#This Row],[Volume (in 1000 kg)]]&lt;$T$6),"outlier","not outlier")</f>
        <v>not outlier</v>
      </c>
      <c r="M400" s="4" t="str">
        <f>IF(OR(Копия_20206[[#This Row],[Number of stores]]&gt;$U$7,Копия_20206[[#This Row],[Number of stores]]&lt;$U$6),"outlier","not outlier")</f>
        <v>not outlier</v>
      </c>
    </row>
    <row r="401" spans="1:13" x14ac:dyDescent="0.25">
      <c r="A401">
        <v>2020</v>
      </c>
      <c r="B401">
        <v>10</v>
      </c>
      <c r="C401" s="1" t="s">
        <v>29</v>
      </c>
      <c r="D401" s="1" t="s">
        <v>31</v>
      </c>
      <c r="E401" s="1" t="s">
        <v>11</v>
      </c>
      <c r="F401" s="5">
        <v>0.86809999999999998</v>
      </c>
      <c r="G401" s="5">
        <v>172.28099900000001</v>
      </c>
      <c r="H401" s="5">
        <v>0.3039</v>
      </c>
      <c r="I401">
        <v>121</v>
      </c>
      <c r="J401" s="4" t="str">
        <f>IF(OR(Копия_20206[[#This Row],[Units (in 1000)]]&gt;$R$7,Копия_20206[[#This Row],[Units (in 1000)]]&lt;$R$6),"outlier","not outlier")</f>
        <v>not outlier</v>
      </c>
      <c r="K401" s="4" t="str">
        <f>IF(OR(Копия_20206[[#This Row],[Value (in 1000 rub)]]&gt;$S$7,Копия_20206[[#This Row],[Value (in 1000 rub)]]&lt;$S$6),"outlier","not outlier")</f>
        <v>not outlier</v>
      </c>
      <c r="L401" s="4" t="str">
        <f>IF(OR(Копия_20206[[#This Row],[Volume (in 1000 kg)]]&gt;$T$7,Копия_20206[[#This Row],[Volume (in 1000 kg)]]&lt;$T$6),"outlier","not outlier")</f>
        <v>not outlier</v>
      </c>
      <c r="M401" s="4" t="str">
        <f>IF(OR(Копия_20206[[#This Row],[Number of stores]]&gt;$U$7,Копия_20206[[#This Row],[Number of stores]]&lt;$U$6),"outlier","not outlier")</f>
        <v>not outlier</v>
      </c>
    </row>
    <row r="402" spans="1:13" x14ac:dyDescent="0.25">
      <c r="A402">
        <v>2020</v>
      </c>
      <c r="B402">
        <v>1</v>
      </c>
      <c r="C402" s="1" t="s">
        <v>8</v>
      </c>
      <c r="D402" s="1" t="s">
        <v>20</v>
      </c>
      <c r="E402" s="1" t="s">
        <v>21</v>
      </c>
      <c r="F402" s="5">
        <v>6.7999999999999996E-3</v>
      </c>
      <c r="G402" s="5">
        <v>2.200698</v>
      </c>
      <c r="H402" s="5">
        <v>1.9E-3</v>
      </c>
      <c r="I402">
        <v>4</v>
      </c>
      <c r="J402" s="4" t="str">
        <f>IF(OR(Копия_20206[[#This Row],[Units (in 1000)]]&gt;$R$7,Копия_20206[[#This Row],[Units (in 1000)]]&lt;$R$6),"outlier","not outlier")</f>
        <v>not outlier</v>
      </c>
      <c r="K402" s="4" t="str">
        <f>IF(OR(Копия_20206[[#This Row],[Value (in 1000 rub)]]&gt;$S$7,Копия_20206[[#This Row],[Value (in 1000 rub)]]&lt;$S$6),"outlier","not outlier")</f>
        <v>not outlier</v>
      </c>
      <c r="L402" s="4" t="str">
        <f>IF(OR(Копия_20206[[#This Row],[Volume (in 1000 kg)]]&gt;$T$7,Копия_20206[[#This Row],[Volume (in 1000 kg)]]&lt;$T$6),"outlier","not outlier")</f>
        <v>not outlier</v>
      </c>
      <c r="M402" s="4" t="str">
        <f>IF(OR(Копия_20206[[#This Row],[Number of stores]]&gt;$U$7,Копия_20206[[#This Row],[Number of stores]]&lt;$U$6),"outlier","not outlier")</f>
        <v>not outlier</v>
      </c>
    </row>
    <row r="403" spans="1:13" x14ac:dyDescent="0.25">
      <c r="A403">
        <v>2020</v>
      </c>
      <c r="B403">
        <v>1</v>
      </c>
      <c r="C403" s="1" t="s">
        <v>8</v>
      </c>
      <c r="D403" s="1" t="s">
        <v>20</v>
      </c>
      <c r="E403" s="1" t="s">
        <v>12</v>
      </c>
      <c r="F403" s="5">
        <v>0.56479999999999997</v>
      </c>
      <c r="G403" s="5">
        <v>71.031833000000006</v>
      </c>
      <c r="H403" s="5">
        <v>0.22589999999999999</v>
      </c>
      <c r="I403">
        <v>78</v>
      </c>
      <c r="J403" s="4" t="str">
        <f>IF(OR(Копия_20206[[#This Row],[Units (in 1000)]]&gt;$R$7,Копия_20206[[#This Row],[Units (in 1000)]]&lt;$R$6),"outlier","not outlier")</f>
        <v>not outlier</v>
      </c>
      <c r="K403" s="4" t="str">
        <f>IF(OR(Копия_20206[[#This Row],[Value (in 1000 rub)]]&gt;$S$7,Копия_20206[[#This Row],[Value (in 1000 rub)]]&lt;$S$6),"outlier","not outlier")</f>
        <v>not outlier</v>
      </c>
      <c r="L403" s="4" t="str">
        <f>IF(OR(Копия_20206[[#This Row],[Volume (in 1000 kg)]]&gt;$T$7,Копия_20206[[#This Row],[Volume (in 1000 kg)]]&lt;$T$6),"outlier","not outlier")</f>
        <v>not outlier</v>
      </c>
      <c r="M403" s="4" t="str">
        <f>IF(OR(Копия_20206[[#This Row],[Number of stores]]&gt;$U$7,Копия_20206[[#This Row],[Number of stores]]&lt;$U$6),"outlier","not outlier")</f>
        <v>not outlier</v>
      </c>
    </row>
    <row r="404" spans="1:13" x14ac:dyDescent="0.25">
      <c r="A404">
        <v>2020</v>
      </c>
      <c r="B404">
        <v>2</v>
      </c>
      <c r="C404" s="1" t="s">
        <v>8</v>
      </c>
      <c r="D404" s="1" t="s">
        <v>20</v>
      </c>
      <c r="E404" s="1" t="s">
        <v>21</v>
      </c>
      <c r="F404" s="5">
        <v>6.1999999999999998E-3</v>
      </c>
      <c r="G404" s="5">
        <v>2.0046979999999999</v>
      </c>
      <c r="H404" s="5">
        <v>1.6999999999999999E-3</v>
      </c>
      <c r="I404">
        <v>4</v>
      </c>
      <c r="J404" s="4" t="str">
        <f>IF(OR(Копия_20206[[#This Row],[Units (in 1000)]]&gt;$R$7,Копия_20206[[#This Row],[Units (in 1000)]]&lt;$R$6),"outlier","not outlier")</f>
        <v>not outlier</v>
      </c>
      <c r="K404" s="4" t="str">
        <f>IF(OR(Копия_20206[[#This Row],[Value (in 1000 rub)]]&gt;$S$7,Копия_20206[[#This Row],[Value (in 1000 rub)]]&lt;$S$6),"outlier","not outlier")</f>
        <v>not outlier</v>
      </c>
      <c r="L404" s="4" t="str">
        <f>IF(OR(Копия_20206[[#This Row],[Volume (in 1000 kg)]]&gt;$T$7,Копия_20206[[#This Row],[Volume (in 1000 kg)]]&lt;$T$6),"outlier","not outlier")</f>
        <v>not outlier</v>
      </c>
      <c r="M404" s="4" t="str">
        <f>IF(OR(Копия_20206[[#This Row],[Number of stores]]&gt;$U$7,Копия_20206[[#This Row],[Number of stores]]&lt;$U$6),"outlier","not outlier")</f>
        <v>not outlier</v>
      </c>
    </row>
    <row r="405" spans="1:13" x14ac:dyDescent="0.25">
      <c r="A405">
        <v>2020</v>
      </c>
      <c r="B405">
        <v>2</v>
      </c>
      <c r="C405" s="1" t="s">
        <v>8</v>
      </c>
      <c r="D405" s="1" t="s">
        <v>20</v>
      </c>
      <c r="E405" s="1" t="s">
        <v>12</v>
      </c>
      <c r="F405" s="5">
        <v>0.87439999999999996</v>
      </c>
      <c r="G405" s="5">
        <v>106.29976499999999</v>
      </c>
      <c r="H405" s="5">
        <v>0.3498</v>
      </c>
      <c r="I405">
        <v>108</v>
      </c>
      <c r="J405" s="4" t="str">
        <f>IF(OR(Копия_20206[[#This Row],[Units (in 1000)]]&gt;$R$7,Копия_20206[[#This Row],[Units (in 1000)]]&lt;$R$6),"outlier","not outlier")</f>
        <v>not outlier</v>
      </c>
      <c r="K405" s="4" t="str">
        <f>IF(OR(Копия_20206[[#This Row],[Value (in 1000 rub)]]&gt;$S$7,Копия_20206[[#This Row],[Value (in 1000 rub)]]&lt;$S$6),"outlier","not outlier")</f>
        <v>not outlier</v>
      </c>
      <c r="L405" s="4" t="str">
        <f>IF(OR(Копия_20206[[#This Row],[Volume (in 1000 kg)]]&gt;$T$7,Копия_20206[[#This Row],[Volume (in 1000 kg)]]&lt;$T$6),"outlier","not outlier")</f>
        <v>not outlier</v>
      </c>
      <c r="M405" s="4" t="str">
        <f>IF(OR(Копия_20206[[#This Row],[Number of stores]]&gt;$U$7,Копия_20206[[#This Row],[Number of stores]]&lt;$U$6),"outlier","not outlier")</f>
        <v>not outlier</v>
      </c>
    </row>
    <row r="406" spans="1:13" x14ac:dyDescent="0.25">
      <c r="A406">
        <v>2020</v>
      </c>
      <c r="B406">
        <v>2</v>
      </c>
      <c r="C406" s="1" t="s">
        <v>25</v>
      </c>
      <c r="D406" s="1" t="s">
        <v>20</v>
      </c>
      <c r="E406" s="1" t="s">
        <v>12</v>
      </c>
      <c r="F406" s="5">
        <v>0.3508</v>
      </c>
      <c r="G406" s="5">
        <v>40.453398</v>
      </c>
      <c r="H406" s="5">
        <v>0.14030000000000001</v>
      </c>
      <c r="I406">
        <v>282</v>
      </c>
      <c r="J406" s="4" t="str">
        <f>IF(OR(Копия_20206[[#This Row],[Units (in 1000)]]&gt;$R$7,Копия_20206[[#This Row],[Units (in 1000)]]&lt;$R$6),"outlier","not outlier")</f>
        <v>not outlier</v>
      </c>
      <c r="K406" s="4" t="str">
        <f>IF(OR(Копия_20206[[#This Row],[Value (in 1000 rub)]]&gt;$S$7,Копия_20206[[#This Row],[Value (in 1000 rub)]]&lt;$S$6),"outlier","not outlier")</f>
        <v>not outlier</v>
      </c>
      <c r="L406" s="4" t="str">
        <f>IF(OR(Копия_20206[[#This Row],[Volume (in 1000 kg)]]&gt;$T$7,Копия_20206[[#This Row],[Volume (in 1000 kg)]]&lt;$T$6),"outlier","not outlier")</f>
        <v>not outlier</v>
      </c>
      <c r="M406" s="4" t="str">
        <f>IF(OR(Копия_20206[[#This Row],[Number of stores]]&gt;$U$7,Копия_20206[[#This Row],[Number of stores]]&lt;$U$6),"outlier","not outlier")</f>
        <v>not outlier</v>
      </c>
    </row>
    <row r="407" spans="1:13" x14ac:dyDescent="0.25">
      <c r="A407">
        <v>2020</v>
      </c>
      <c r="B407">
        <v>3</v>
      </c>
      <c r="C407" s="1" t="s">
        <v>8</v>
      </c>
      <c r="D407" s="1" t="s">
        <v>20</v>
      </c>
      <c r="E407" s="1" t="s">
        <v>21</v>
      </c>
      <c r="F407" s="5">
        <v>9.9000000000000008E-3</v>
      </c>
      <c r="G407" s="5">
        <v>3.2036440000000002</v>
      </c>
      <c r="H407" s="5">
        <v>2.7000000000000001E-3</v>
      </c>
      <c r="I407">
        <v>2</v>
      </c>
      <c r="J407" s="4" t="str">
        <f>IF(OR(Копия_20206[[#This Row],[Units (in 1000)]]&gt;$R$7,Копия_20206[[#This Row],[Units (in 1000)]]&lt;$R$6),"outlier","not outlier")</f>
        <v>not outlier</v>
      </c>
      <c r="K407" s="4" t="str">
        <f>IF(OR(Копия_20206[[#This Row],[Value (in 1000 rub)]]&gt;$S$7,Копия_20206[[#This Row],[Value (in 1000 rub)]]&lt;$S$6),"outlier","not outlier")</f>
        <v>not outlier</v>
      </c>
      <c r="L407" s="4" t="str">
        <f>IF(OR(Копия_20206[[#This Row],[Volume (in 1000 kg)]]&gt;$T$7,Копия_20206[[#This Row],[Volume (in 1000 kg)]]&lt;$T$6),"outlier","not outlier")</f>
        <v>not outlier</v>
      </c>
      <c r="M407" s="4" t="str">
        <f>IF(OR(Копия_20206[[#This Row],[Number of stores]]&gt;$U$7,Копия_20206[[#This Row],[Number of stores]]&lt;$U$6),"outlier","not outlier")</f>
        <v>not outlier</v>
      </c>
    </row>
    <row r="408" spans="1:13" x14ac:dyDescent="0.25">
      <c r="A408">
        <v>2020</v>
      </c>
      <c r="B408">
        <v>3</v>
      </c>
      <c r="C408" s="1" t="s">
        <v>8</v>
      </c>
      <c r="D408" s="1" t="s">
        <v>20</v>
      </c>
      <c r="E408" s="1" t="s">
        <v>12</v>
      </c>
      <c r="F408" s="5">
        <v>1.0074000000000001</v>
      </c>
      <c r="G408" s="5">
        <v>121.778651</v>
      </c>
      <c r="H408" s="5">
        <v>0.40289999999999998</v>
      </c>
      <c r="I408">
        <v>114</v>
      </c>
      <c r="J408" s="4" t="str">
        <f>IF(OR(Копия_20206[[#This Row],[Units (in 1000)]]&gt;$R$7,Копия_20206[[#This Row],[Units (in 1000)]]&lt;$R$6),"outlier","not outlier")</f>
        <v>not outlier</v>
      </c>
      <c r="K408" s="4" t="str">
        <f>IF(OR(Копия_20206[[#This Row],[Value (in 1000 rub)]]&gt;$S$7,Копия_20206[[#This Row],[Value (in 1000 rub)]]&lt;$S$6),"outlier","not outlier")</f>
        <v>not outlier</v>
      </c>
      <c r="L408" s="4" t="str">
        <f>IF(OR(Копия_20206[[#This Row],[Volume (in 1000 kg)]]&gt;$T$7,Копия_20206[[#This Row],[Volume (in 1000 kg)]]&lt;$T$6),"outlier","not outlier")</f>
        <v>not outlier</v>
      </c>
      <c r="M408" s="4" t="str">
        <f>IF(OR(Копия_20206[[#This Row],[Number of stores]]&gt;$U$7,Копия_20206[[#This Row],[Number of stores]]&lt;$U$6),"outlier","not outlier")</f>
        <v>not outlier</v>
      </c>
    </row>
    <row r="409" spans="1:13" x14ac:dyDescent="0.25">
      <c r="A409">
        <v>2020</v>
      </c>
      <c r="B409">
        <v>3</v>
      </c>
      <c r="C409" s="1" t="s">
        <v>25</v>
      </c>
      <c r="D409" s="1" t="s">
        <v>20</v>
      </c>
      <c r="E409" s="1" t="s">
        <v>12</v>
      </c>
      <c r="F409" s="5">
        <v>0.42</v>
      </c>
      <c r="G409" s="5">
        <v>48.423850999999999</v>
      </c>
      <c r="H409" s="5">
        <v>0.16800000000000001</v>
      </c>
      <c r="I409">
        <v>292</v>
      </c>
      <c r="J409" s="4" t="str">
        <f>IF(OR(Копия_20206[[#This Row],[Units (in 1000)]]&gt;$R$7,Копия_20206[[#This Row],[Units (in 1000)]]&lt;$R$6),"outlier","not outlier")</f>
        <v>not outlier</v>
      </c>
      <c r="K409" s="4" t="str">
        <f>IF(OR(Копия_20206[[#This Row],[Value (in 1000 rub)]]&gt;$S$7,Копия_20206[[#This Row],[Value (in 1000 rub)]]&lt;$S$6),"outlier","not outlier")</f>
        <v>not outlier</v>
      </c>
      <c r="L409" s="4" t="str">
        <f>IF(OR(Копия_20206[[#This Row],[Volume (in 1000 kg)]]&gt;$T$7,Копия_20206[[#This Row],[Volume (in 1000 kg)]]&lt;$T$6),"outlier","not outlier")</f>
        <v>not outlier</v>
      </c>
      <c r="M409" s="4" t="str">
        <f>IF(OR(Копия_20206[[#This Row],[Number of stores]]&gt;$U$7,Копия_20206[[#This Row],[Number of stores]]&lt;$U$6),"outlier","not outlier")</f>
        <v>not outlier</v>
      </c>
    </row>
    <row r="410" spans="1:13" x14ac:dyDescent="0.25">
      <c r="A410">
        <v>2020</v>
      </c>
      <c r="B410">
        <v>4</v>
      </c>
      <c r="C410" s="1" t="s">
        <v>8</v>
      </c>
      <c r="D410" s="1" t="s">
        <v>20</v>
      </c>
      <c r="E410" s="1" t="s">
        <v>21</v>
      </c>
      <c r="F410" s="5">
        <v>1.11E-2</v>
      </c>
      <c r="G410" s="5">
        <v>3.6488230000000001</v>
      </c>
      <c r="H410" s="5">
        <v>3.0999999999999999E-3</v>
      </c>
      <c r="I410">
        <v>4</v>
      </c>
      <c r="J410" s="4" t="str">
        <f>IF(OR(Копия_20206[[#This Row],[Units (in 1000)]]&gt;$R$7,Копия_20206[[#This Row],[Units (in 1000)]]&lt;$R$6),"outlier","not outlier")</f>
        <v>not outlier</v>
      </c>
      <c r="K410" s="4" t="str">
        <f>IF(OR(Копия_20206[[#This Row],[Value (in 1000 rub)]]&gt;$S$7,Копия_20206[[#This Row],[Value (in 1000 rub)]]&lt;$S$6),"outlier","not outlier")</f>
        <v>not outlier</v>
      </c>
      <c r="L410" s="4" t="str">
        <f>IF(OR(Копия_20206[[#This Row],[Volume (in 1000 kg)]]&gt;$T$7,Копия_20206[[#This Row],[Volume (in 1000 kg)]]&lt;$T$6),"outlier","not outlier")</f>
        <v>not outlier</v>
      </c>
      <c r="M410" s="4" t="str">
        <f>IF(OR(Копия_20206[[#This Row],[Number of stores]]&gt;$U$7,Копия_20206[[#This Row],[Number of stores]]&lt;$U$6),"outlier","not outlier")</f>
        <v>not outlier</v>
      </c>
    </row>
    <row r="411" spans="1:13" x14ac:dyDescent="0.25">
      <c r="A411">
        <v>2020</v>
      </c>
      <c r="B411">
        <v>4</v>
      </c>
      <c r="C411" s="1" t="s">
        <v>8</v>
      </c>
      <c r="D411" s="1" t="s">
        <v>20</v>
      </c>
      <c r="E411" s="1" t="s">
        <v>12</v>
      </c>
      <c r="F411" s="5">
        <v>0.85609999999999997</v>
      </c>
      <c r="G411" s="5">
        <v>102.900452</v>
      </c>
      <c r="H411" s="5">
        <v>0.34239999999999998</v>
      </c>
      <c r="I411">
        <v>113</v>
      </c>
      <c r="J411" s="4" t="str">
        <f>IF(OR(Копия_20206[[#This Row],[Units (in 1000)]]&gt;$R$7,Копия_20206[[#This Row],[Units (in 1000)]]&lt;$R$6),"outlier","not outlier")</f>
        <v>not outlier</v>
      </c>
      <c r="K411" s="4" t="str">
        <f>IF(OR(Копия_20206[[#This Row],[Value (in 1000 rub)]]&gt;$S$7,Копия_20206[[#This Row],[Value (in 1000 rub)]]&lt;$S$6),"outlier","not outlier")</f>
        <v>not outlier</v>
      </c>
      <c r="L411" s="4" t="str">
        <f>IF(OR(Копия_20206[[#This Row],[Volume (in 1000 kg)]]&gt;$T$7,Копия_20206[[#This Row],[Volume (in 1000 kg)]]&lt;$T$6),"outlier","not outlier")</f>
        <v>not outlier</v>
      </c>
      <c r="M411" s="4" t="str">
        <f>IF(OR(Копия_20206[[#This Row],[Number of stores]]&gt;$U$7,Копия_20206[[#This Row],[Number of stores]]&lt;$U$6),"outlier","not outlier")</f>
        <v>not outlier</v>
      </c>
    </row>
    <row r="412" spans="1:13" x14ac:dyDescent="0.25">
      <c r="A412">
        <v>2020</v>
      </c>
      <c r="B412">
        <v>4</v>
      </c>
      <c r="C412" s="1" t="s">
        <v>25</v>
      </c>
      <c r="D412" s="1" t="s">
        <v>20</v>
      </c>
      <c r="E412" s="1" t="s">
        <v>21</v>
      </c>
      <c r="F412" s="5">
        <v>6.9999999999999999E-4</v>
      </c>
      <c r="G412" s="5">
        <v>0.25945600000000002</v>
      </c>
      <c r="H412" s="5">
        <v>2.0000000000000001E-4</v>
      </c>
      <c r="I412">
        <v>2</v>
      </c>
      <c r="J412" s="4" t="str">
        <f>IF(OR(Копия_20206[[#This Row],[Units (in 1000)]]&gt;$R$7,Копия_20206[[#This Row],[Units (in 1000)]]&lt;$R$6),"outlier","not outlier")</f>
        <v>not outlier</v>
      </c>
      <c r="K412" s="4" t="str">
        <f>IF(OR(Копия_20206[[#This Row],[Value (in 1000 rub)]]&gt;$S$7,Копия_20206[[#This Row],[Value (in 1000 rub)]]&lt;$S$6),"outlier","not outlier")</f>
        <v>not outlier</v>
      </c>
      <c r="L412" s="4" t="str">
        <f>IF(OR(Копия_20206[[#This Row],[Volume (in 1000 kg)]]&gt;$T$7,Копия_20206[[#This Row],[Volume (in 1000 kg)]]&lt;$T$6),"outlier","not outlier")</f>
        <v>not outlier</v>
      </c>
      <c r="M412" s="4" t="str">
        <f>IF(OR(Копия_20206[[#This Row],[Number of stores]]&gt;$U$7,Копия_20206[[#This Row],[Number of stores]]&lt;$U$6),"outlier","not outlier")</f>
        <v>not outlier</v>
      </c>
    </row>
    <row r="413" spans="1:13" x14ac:dyDescent="0.25">
      <c r="A413">
        <v>2020</v>
      </c>
      <c r="B413">
        <v>4</v>
      </c>
      <c r="C413" s="1" t="s">
        <v>25</v>
      </c>
      <c r="D413" s="1" t="s">
        <v>20</v>
      </c>
      <c r="E413" s="1" t="s">
        <v>12</v>
      </c>
      <c r="F413" s="5">
        <v>0.46750000000000003</v>
      </c>
      <c r="G413" s="5">
        <v>50.164253000000002</v>
      </c>
      <c r="H413" s="5">
        <v>0.187</v>
      </c>
      <c r="I413">
        <v>307</v>
      </c>
      <c r="J413" s="4" t="str">
        <f>IF(OR(Копия_20206[[#This Row],[Units (in 1000)]]&gt;$R$7,Копия_20206[[#This Row],[Units (in 1000)]]&lt;$R$6),"outlier","not outlier")</f>
        <v>not outlier</v>
      </c>
      <c r="K413" s="4" t="str">
        <f>IF(OR(Копия_20206[[#This Row],[Value (in 1000 rub)]]&gt;$S$7,Копия_20206[[#This Row],[Value (in 1000 rub)]]&lt;$S$6),"outlier","not outlier")</f>
        <v>not outlier</v>
      </c>
      <c r="L413" s="4" t="str">
        <f>IF(OR(Копия_20206[[#This Row],[Volume (in 1000 kg)]]&gt;$T$7,Копия_20206[[#This Row],[Volume (in 1000 kg)]]&lt;$T$6),"outlier","not outlier")</f>
        <v>not outlier</v>
      </c>
      <c r="M413" s="4" t="str">
        <f>IF(OR(Копия_20206[[#This Row],[Number of stores]]&gt;$U$7,Копия_20206[[#This Row],[Number of stores]]&lt;$U$6),"outlier","not outlier")</f>
        <v>not outlier</v>
      </c>
    </row>
    <row r="414" spans="1:13" x14ac:dyDescent="0.25">
      <c r="A414">
        <v>2020</v>
      </c>
      <c r="B414">
        <v>5</v>
      </c>
      <c r="C414" s="1" t="s">
        <v>8</v>
      </c>
      <c r="D414" s="1" t="s">
        <v>20</v>
      </c>
      <c r="E414" s="1" t="s">
        <v>21</v>
      </c>
      <c r="F414" s="5">
        <v>8.0999999999999996E-3</v>
      </c>
      <c r="G414" s="5">
        <v>2.6134539999999999</v>
      </c>
      <c r="H414" s="5">
        <v>2.3E-3</v>
      </c>
      <c r="I414">
        <v>3</v>
      </c>
      <c r="J414" s="4" t="str">
        <f>IF(OR(Копия_20206[[#This Row],[Units (in 1000)]]&gt;$R$7,Копия_20206[[#This Row],[Units (in 1000)]]&lt;$R$6),"outlier","not outlier")</f>
        <v>not outlier</v>
      </c>
      <c r="K414" s="4" t="str">
        <f>IF(OR(Копия_20206[[#This Row],[Value (in 1000 rub)]]&gt;$S$7,Копия_20206[[#This Row],[Value (in 1000 rub)]]&lt;$S$6),"outlier","not outlier")</f>
        <v>not outlier</v>
      </c>
      <c r="L414" s="4" t="str">
        <f>IF(OR(Копия_20206[[#This Row],[Volume (in 1000 kg)]]&gt;$T$7,Копия_20206[[#This Row],[Volume (in 1000 kg)]]&lt;$T$6),"outlier","not outlier")</f>
        <v>not outlier</v>
      </c>
      <c r="M414" s="4" t="str">
        <f>IF(OR(Копия_20206[[#This Row],[Number of stores]]&gt;$U$7,Копия_20206[[#This Row],[Number of stores]]&lt;$U$6),"outlier","not outlier")</f>
        <v>not outlier</v>
      </c>
    </row>
    <row r="415" spans="1:13" x14ac:dyDescent="0.25">
      <c r="A415">
        <v>2020</v>
      </c>
      <c r="B415">
        <v>5</v>
      </c>
      <c r="C415" s="1" t="s">
        <v>8</v>
      </c>
      <c r="D415" s="1" t="s">
        <v>20</v>
      </c>
      <c r="E415" s="1" t="s">
        <v>12</v>
      </c>
      <c r="F415" s="5">
        <v>0.76259999999999994</v>
      </c>
      <c r="G415" s="5">
        <v>92.107812999999993</v>
      </c>
      <c r="H415" s="5">
        <v>0.30499999999999999</v>
      </c>
      <c r="I415">
        <v>115</v>
      </c>
      <c r="J415" s="4" t="str">
        <f>IF(OR(Копия_20206[[#This Row],[Units (in 1000)]]&gt;$R$7,Копия_20206[[#This Row],[Units (in 1000)]]&lt;$R$6),"outlier","not outlier")</f>
        <v>not outlier</v>
      </c>
      <c r="K415" s="4" t="str">
        <f>IF(OR(Копия_20206[[#This Row],[Value (in 1000 rub)]]&gt;$S$7,Копия_20206[[#This Row],[Value (in 1000 rub)]]&lt;$S$6),"outlier","not outlier")</f>
        <v>not outlier</v>
      </c>
      <c r="L415" s="4" t="str">
        <f>IF(OR(Копия_20206[[#This Row],[Volume (in 1000 kg)]]&gt;$T$7,Копия_20206[[#This Row],[Volume (in 1000 kg)]]&lt;$T$6),"outlier","not outlier")</f>
        <v>not outlier</v>
      </c>
      <c r="M415" s="4" t="str">
        <f>IF(OR(Копия_20206[[#This Row],[Number of stores]]&gt;$U$7,Копия_20206[[#This Row],[Number of stores]]&lt;$U$6),"outlier","not outlier")</f>
        <v>not outlier</v>
      </c>
    </row>
    <row r="416" spans="1:13" x14ac:dyDescent="0.25">
      <c r="A416">
        <v>2020</v>
      </c>
      <c r="B416">
        <v>5</v>
      </c>
      <c r="C416" s="1" t="s">
        <v>25</v>
      </c>
      <c r="D416" s="1" t="s">
        <v>20</v>
      </c>
      <c r="E416" s="1" t="s">
        <v>21</v>
      </c>
      <c r="F416" s="5">
        <v>1.2999999999999999E-3</v>
      </c>
      <c r="G416" s="5">
        <v>0.42992900000000001</v>
      </c>
      <c r="H416" s="5">
        <v>2.9999999999999997E-4</v>
      </c>
      <c r="I416">
        <v>2</v>
      </c>
      <c r="J416" s="4" t="str">
        <f>IF(OR(Копия_20206[[#This Row],[Units (in 1000)]]&gt;$R$7,Копия_20206[[#This Row],[Units (in 1000)]]&lt;$R$6),"outlier","not outlier")</f>
        <v>not outlier</v>
      </c>
      <c r="K416" s="4" t="str">
        <f>IF(OR(Копия_20206[[#This Row],[Value (in 1000 rub)]]&gt;$S$7,Копия_20206[[#This Row],[Value (in 1000 rub)]]&lt;$S$6),"outlier","not outlier")</f>
        <v>not outlier</v>
      </c>
      <c r="L416" s="4" t="str">
        <f>IF(OR(Копия_20206[[#This Row],[Volume (in 1000 kg)]]&gt;$T$7,Копия_20206[[#This Row],[Volume (in 1000 kg)]]&lt;$T$6),"outlier","not outlier")</f>
        <v>not outlier</v>
      </c>
      <c r="M416" s="4" t="str">
        <f>IF(OR(Копия_20206[[#This Row],[Number of stores]]&gt;$U$7,Копия_20206[[#This Row],[Number of stores]]&lt;$U$6),"outlier","not outlier")</f>
        <v>not outlier</v>
      </c>
    </row>
    <row r="417" spans="1:13" x14ac:dyDescent="0.25">
      <c r="A417">
        <v>2020</v>
      </c>
      <c r="B417">
        <v>5</v>
      </c>
      <c r="C417" s="1" t="s">
        <v>25</v>
      </c>
      <c r="D417" s="1" t="s">
        <v>20</v>
      </c>
      <c r="E417" s="1" t="s">
        <v>12</v>
      </c>
      <c r="F417" s="5">
        <v>0.55410000000000004</v>
      </c>
      <c r="G417" s="5">
        <v>65.790073000000007</v>
      </c>
      <c r="H417" s="5">
        <v>0.22170000000000001</v>
      </c>
      <c r="I417">
        <v>334</v>
      </c>
      <c r="J417" s="4" t="str">
        <f>IF(OR(Копия_20206[[#This Row],[Units (in 1000)]]&gt;$R$7,Копия_20206[[#This Row],[Units (in 1000)]]&lt;$R$6),"outlier","not outlier")</f>
        <v>not outlier</v>
      </c>
      <c r="K417" s="4" t="str">
        <f>IF(OR(Копия_20206[[#This Row],[Value (in 1000 rub)]]&gt;$S$7,Копия_20206[[#This Row],[Value (in 1000 rub)]]&lt;$S$6),"outlier","not outlier")</f>
        <v>not outlier</v>
      </c>
      <c r="L417" s="4" t="str">
        <f>IF(OR(Копия_20206[[#This Row],[Volume (in 1000 kg)]]&gt;$T$7,Копия_20206[[#This Row],[Volume (in 1000 kg)]]&lt;$T$6),"outlier","not outlier")</f>
        <v>not outlier</v>
      </c>
      <c r="M417" s="4" t="str">
        <f>IF(OR(Копия_20206[[#This Row],[Number of stores]]&gt;$U$7,Копия_20206[[#This Row],[Number of stores]]&lt;$U$6),"outlier","not outlier")</f>
        <v>not outlier</v>
      </c>
    </row>
    <row r="418" spans="1:13" x14ac:dyDescent="0.25">
      <c r="A418">
        <v>2020</v>
      </c>
      <c r="B418">
        <v>6</v>
      </c>
      <c r="C418" s="1" t="s">
        <v>8</v>
      </c>
      <c r="D418" s="1" t="s">
        <v>20</v>
      </c>
      <c r="E418" s="1" t="s">
        <v>21</v>
      </c>
      <c r="F418" s="5">
        <v>4.7999999999999996E-3</v>
      </c>
      <c r="G418" s="5">
        <v>1.560646</v>
      </c>
      <c r="H418" s="5">
        <v>1.4E-3</v>
      </c>
      <c r="I418">
        <v>4</v>
      </c>
      <c r="J418" s="4" t="str">
        <f>IF(OR(Копия_20206[[#This Row],[Units (in 1000)]]&gt;$R$7,Копия_20206[[#This Row],[Units (in 1000)]]&lt;$R$6),"outlier","not outlier")</f>
        <v>not outlier</v>
      </c>
      <c r="K418" s="4" t="str">
        <f>IF(OR(Копия_20206[[#This Row],[Value (in 1000 rub)]]&gt;$S$7,Копия_20206[[#This Row],[Value (in 1000 rub)]]&lt;$S$6),"outlier","not outlier")</f>
        <v>not outlier</v>
      </c>
      <c r="L418" s="4" t="str">
        <f>IF(OR(Копия_20206[[#This Row],[Volume (in 1000 kg)]]&gt;$T$7,Копия_20206[[#This Row],[Volume (in 1000 kg)]]&lt;$T$6),"outlier","not outlier")</f>
        <v>not outlier</v>
      </c>
      <c r="M418" s="4" t="str">
        <f>IF(OR(Копия_20206[[#This Row],[Number of stores]]&gt;$U$7,Копия_20206[[#This Row],[Number of stores]]&lt;$U$6),"outlier","not outlier")</f>
        <v>not outlier</v>
      </c>
    </row>
    <row r="419" spans="1:13" x14ac:dyDescent="0.25">
      <c r="A419">
        <v>2020</v>
      </c>
      <c r="B419">
        <v>6</v>
      </c>
      <c r="C419" s="1" t="s">
        <v>8</v>
      </c>
      <c r="D419" s="1" t="s">
        <v>20</v>
      </c>
      <c r="E419" s="1" t="s">
        <v>12</v>
      </c>
      <c r="F419" s="5">
        <v>0.76719999999999999</v>
      </c>
      <c r="G419" s="5">
        <v>92.905343000000002</v>
      </c>
      <c r="H419" s="5">
        <v>0.30690000000000001</v>
      </c>
      <c r="I419">
        <v>117</v>
      </c>
      <c r="J419" s="4" t="str">
        <f>IF(OR(Копия_20206[[#This Row],[Units (in 1000)]]&gt;$R$7,Копия_20206[[#This Row],[Units (in 1000)]]&lt;$R$6),"outlier","not outlier")</f>
        <v>not outlier</v>
      </c>
      <c r="K419" s="4" t="str">
        <f>IF(OR(Копия_20206[[#This Row],[Value (in 1000 rub)]]&gt;$S$7,Копия_20206[[#This Row],[Value (in 1000 rub)]]&lt;$S$6),"outlier","not outlier")</f>
        <v>not outlier</v>
      </c>
      <c r="L419" s="4" t="str">
        <f>IF(OR(Копия_20206[[#This Row],[Volume (in 1000 kg)]]&gt;$T$7,Копия_20206[[#This Row],[Volume (in 1000 kg)]]&lt;$T$6),"outlier","not outlier")</f>
        <v>not outlier</v>
      </c>
      <c r="M419" s="4" t="str">
        <f>IF(OR(Копия_20206[[#This Row],[Number of stores]]&gt;$U$7,Копия_20206[[#This Row],[Number of stores]]&lt;$U$6),"outlier","not outlier")</f>
        <v>not outlier</v>
      </c>
    </row>
    <row r="420" spans="1:13" x14ac:dyDescent="0.25">
      <c r="A420">
        <v>2020</v>
      </c>
      <c r="B420">
        <v>6</v>
      </c>
      <c r="C420" s="1" t="s">
        <v>25</v>
      </c>
      <c r="D420" s="1" t="s">
        <v>20</v>
      </c>
      <c r="E420" s="1" t="s">
        <v>21</v>
      </c>
      <c r="F420" s="5">
        <v>2.7000000000000001E-3</v>
      </c>
      <c r="G420" s="5">
        <v>1.081717</v>
      </c>
      <c r="H420" s="5">
        <v>6.9999999999999999E-4</v>
      </c>
      <c r="I420">
        <v>2</v>
      </c>
      <c r="J420" s="4" t="str">
        <f>IF(OR(Копия_20206[[#This Row],[Units (in 1000)]]&gt;$R$7,Копия_20206[[#This Row],[Units (in 1000)]]&lt;$R$6),"outlier","not outlier")</f>
        <v>not outlier</v>
      </c>
      <c r="K420" s="4" t="str">
        <f>IF(OR(Копия_20206[[#This Row],[Value (in 1000 rub)]]&gt;$S$7,Копия_20206[[#This Row],[Value (in 1000 rub)]]&lt;$S$6),"outlier","not outlier")</f>
        <v>not outlier</v>
      </c>
      <c r="L420" s="4" t="str">
        <f>IF(OR(Копия_20206[[#This Row],[Volume (in 1000 kg)]]&gt;$T$7,Копия_20206[[#This Row],[Volume (in 1000 kg)]]&lt;$T$6),"outlier","not outlier")</f>
        <v>not outlier</v>
      </c>
      <c r="M420" s="4" t="str">
        <f>IF(OR(Копия_20206[[#This Row],[Number of stores]]&gt;$U$7,Копия_20206[[#This Row],[Number of stores]]&lt;$U$6),"outlier","not outlier")</f>
        <v>not outlier</v>
      </c>
    </row>
    <row r="421" spans="1:13" x14ac:dyDescent="0.25">
      <c r="A421">
        <v>2020</v>
      </c>
      <c r="B421">
        <v>6</v>
      </c>
      <c r="C421" s="1" t="s">
        <v>25</v>
      </c>
      <c r="D421" s="1" t="s">
        <v>20</v>
      </c>
      <c r="E421" s="1" t="s">
        <v>12</v>
      </c>
      <c r="F421" s="5">
        <v>0.51570000000000005</v>
      </c>
      <c r="G421" s="5">
        <v>56.308770000000003</v>
      </c>
      <c r="H421" s="5">
        <v>0.20630000000000001</v>
      </c>
      <c r="I421">
        <v>338</v>
      </c>
      <c r="J421" s="4" t="str">
        <f>IF(OR(Копия_20206[[#This Row],[Units (in 1000)]]&gt;$R$7,Копия_20206[[#This Row],[Units (in 1000)]]&lt;$R$6),"outlier","not outlier")</f>
        <v>not outlier</v>
      </c>
      <c r="K421" s="4" t="str">
        <f>IF(OR(Копия_20206[[#This Row],[Value (in 1000 rub)]]&gt;$S$7,Копия_20206[[#This Row],[Value (in 1000 rub)]]&lt;$S$6),"outlier","not outlier")</f>
        <v>not outlier</v>
      </c>
      <c r="L421" s="4" t="str">
        <f>IF(OR(Копия_20206[[#This Row],[Volume (in 1000 kg)]]&gt;$T$7,Копия_20206[[#This Row],[Volume (in 1000 kg)]]&lt;$T$6),"outlier","not outlier")</f>
        <v>not outlier</v>
      </c>
      <c r="M421" s="4" t="str">
        <f>IF(OR(Копия_20206[[#This Row],[Number of stores]]&gt;$U$7,Копия_20206[[#This Row],[Number of stores]]&lt;$U$6),"outlier","not outlier")</f>
        <v>not outlier</v>
      </c>
    </row>
    <row r="422" spans="1:13" x14ac:dyDescent="0.25">
      <c r="A422">
        <v>2020</v>
      </c>
      <c r="B422">
        <v>7</v>
      </c>
      <c r="C422" s="1" t="s">
        <v>8</v>
      </c>
      <c r="D422" s="1" t="s">
        <v>20</v>
      </c>
      <c r="E422" s="1" t="s">
        <v>21</v>
      </c>
      <c r="F422" s="5">
        <v>6.1999999999999998E-3</v>
      </c>
      <c r="G422" s="5">
        <v>1.9862649999999999</v>
      </c>
      <c r="H422" s="5">
        <v>1.6999999999999999E-3</v>
      </c>
      <c r="I422">
        <v>3</v>
      </c>
      <c r="J422" s="4" t="str">
        <f>IF(OR(Копия_20206[[#This Row],[Units (in 1000)]]&gt;$R$7,Копия_20206[[#This Row],[Units (in 1000)]]&lt;$R$6),"outlier","not outlier")</f>
        <v>not outlier</v>
      </c>
      <c r="K422" s="4" t="str">
        <f>IF(OR(Копия_20206[[#This Row],[Value (in 1000 rub)]]&gt;$S$7,Копия_20206[[#This Row],[Value (in 1000 rub)]]&lt;$S$6),"outlier","not outlier")</f>
        <v>not outlier</v>
      </c>
      <c r="L422" s="4" t="str">
        <f>IF(OR(Копия_20206[[#This Row],[Volume (in 1000 kg)]]&gt;$T$7,Копия_20206[[#This Row],[Volume (in 1000 kg)]]&lt;$T$6),"outlier","not outlier")</f>
        <v>not outlier</v>
      </c>
      <c r="M422" s="4" t="str">
        <f>IF(OR(Копия_20206[[#This Row],[Number of stores]]&gt;$U$7,Копия_20206[[#This Row],[Number of stores]]&lt;$U$6),"outlier","not outlier")</f>
        <v>not outlier</v>
      </c>
    </row>
    <row r="423" spans="1:13" x14ac:dyDescent="0.25">
      <c r="A423">
        <v>2020</v>
      </c>
      <c r="B423">
        <v>7</v>
      </c>
      <c r="C423" s="1" t="s">
        <v>8</v>
      </c>
      <c r="D423" s="1" t="s">
        <v>20</v>
      </c>
      <c r="E423" s="1" t="s">
        <v>12</v>
      </c>
      <c r="F423" s="5">
        <v>0.78590000000000004</v>
      </c>
      <c r="G423" s="5">
        <v>93.897745999999998</v>
      </c>
      <c r="H423" s="5">
        <v>0.31440000000000001</v>
      </c>
      <c r="I423">
        <v>117</v>
      </c>
      <c r="J423" s="4" t="str">
        <f>IF(OR(Копия_20206[[#This Row],[Units (in 1000)]]&gt;$R$7,Копия_20206[[#This Row],[Units (in 1000)]]&lt;$R$6),"outlier","not outlier")</f>
        <v>not outlier</v>
      </c>
      <c r="K423" s="4" t="str">
        <f>IF(OR(Копия_20206[[#This Row],[Value (in 1000 rub)]]&gt;$S$7,Копия_20206[[#This Row],[Value (in 1000 rub)]]&lt;$S$6),"outlier","not outlier")</f>
        <v>not outlier</v>
      </c>
      <c r="L423" s="4" t="str">
        <f>IF(OR(Копия_20206[[#This Row],[Volume (in 1000 kg)]]&gt;$T$7,Копия_20206[[#This Row],[Volume (in 1000 kg)]]&lt;$T$6),"outlier","not outlier")</f>
        <v>not outlier</v>
      </c>
      <c r="M423" s="4" t="str">
        <f>IF(OR(Копия_20206[[#This Row],[Number of stores]]&gt;$U$7,Копия_20206[[#This Row],[Number of stores]]&lt;$U$6),"outlier","not outlier")</f>
        <v>not outlier</v>
      </c>
    </row>
    <row r="424" spans="1:13" x14ac:dyDescent="0.25">
      <c r="A424">
        <v>2020</v>
      </c>
      <c r="B424">
        <v>7</v>
      </c>
      <c r="C424" s="1" t="s">
        <v>25</v>
      </c>
      <c r="D424" s="1" t="s">
        <v>20</v>
      </c>
      <c r="E424" s="1" t="s">
        <v>21</v>
      </c>
      <c r="F424" s="5">
        <v>5.3E-3</v>
      </c>
      <c r="G424" s="5">
        <v>1.9222790000000001</v>
      </c>
      <c r="H424" s="5">
        <v>1.5E-3</v>
      </c>
      <c r="I424">
        <v>2</v>
      </c>
      <c r="J424" s="4" t="str">
        <f>IF(OR(Копия_20206[[#This Row],[Units (in 1000)]]&gt;$R$7,Копия_20206[[#This Row],[Units (in 1000)]]&lt;$R$6),"outlier","not outlier")</f>
        <v>not outlier</v>
      </c>
      <c r="K424" s="4" t="str">
        <f>IF(OR(Копия_20206[[#This Row],[Value (in 1000 rub)]]&gt;$S$7,Копия_20206[[#This Row],[Value (in 1000 rub)]]&lt;$S$6),"outlier","not outlier")</f>
        <v>not outlier</v>
      </c>
      <c r="L424" s="4" t="str">
        <f>IF(OR(Копия_20206[[#This Row],[Volume (in 1000 kg)]]&gt;$T$7,Копия_20206[[#This Row],[Volume (in 1000 kg)]]&lt;$T$6),"outlier","not outlier")</f>
        <v>not outlier</v>
      </c>
      <c r="M424" s="4" t="str">
        <f>IF(OR(Копия_20206[[#This Row],[Number of stores]]&gt;$U$7,Копия_20206[[#This Row],[Number of stores]]&lt;$U$6),"outlier","not outlier")</f>
        <v>not outlier</v>
      </c>
    </row>
    <row r="425" spans="1:13" x14ac:dyDescent="0.25">
      <c r="A425">
        <v>2020</v>
      </c>
      <c r="B425">
        <v>7</v>
      </c>
      <c r="C425" s="1" t="s">
        <v>25</v>
      </c>
      <c r="D425" s="1" t="s">
        <v>20</v>
      </c>
      <c r="E425" s="1" t="s">
        <v>12</v>
      </c>
      <c r="F425" s="5">
        <v>0.64539999999999997</v>
      </c>
      <c r="G425" s="5">
        <v>70.732262000000006</v>
      </c>
      <c r="H425" s="5">
        <v>0.2581</v>
      </c>
      <c r="I425">
        <v>422</v>
      </c>
      <c r="J425" s="4" t="str">
        <f>IF(OR(Копия_20206[[#This Row],[Units (in 1000)]]&gt;$R$7,Копия_20206[[#This Row],[Units (in 1000)]]&lt;$R$6),"outlier","not outlier")</f>
        <v>not outlier</v>
      </c>
      <c r="K425" s="4" t="str">
        <f>IF(OR(Копия_20206[[#This Row],[Value (in 1000 rub)]]&gt;$S$7,Копия_20206[[#This Row],[Value (in 1000 rub)]]&lt;$S$6),"outlier","not outlier")</f>
        <v>not outlier</v>
      </c>
      <c r="L425" s="4" t="str">
        <f>IF(OR(Копия_20206[[#This Row],[Volume (in 1000 kg)]]&gt;$T$7,Копия_20206[[#This Row],[Volume (in 1000 kg)]]&lt;$T$6),"outlier","not outlier")</f>
        <v>not outlier</v>
      </c>
      <c r="M425" s="4" t="str">
        <f>IF(OR(Копия_20206[[#This Row],[Number of stores]]&gt;$U$7,Копия_20206[[#This Row],[Number of stores]]&lt;$U$6),"outlier","not outlier")</f>
        <v>not outlier</v>
      </c>
    </row>
    <row r="426" spans="1:13" x14ac:dyDescent="0.25">
      <c r="A426">
        <v>2020</v>
      </c>
      <c r="B426">
        <v>8</v>
      </c>
      <c r="C426" s="1" t="s">
        <v>8</v>
      </c>
      <c r="D426" s="1" t="s">
        <v>20</v>
      </c>
      <c r="E426" s="1" t="s">
        <v>21</v>
      </c>
      <c r="F426" s="5">
        <v>7.6E-3</v>
      </c>
      <c r="G426" s="5">
        <v>2.4637349999999998</v>
      </c>
      <c r="H426" s="5">
        <v>2.2000000000000001E-3</v>
      </c>
      <c r="I426">
        <v>3</v>
      </c>
      <c r="J426" s="4" t="str">
        <f>IF(OR(Копия_20206[[#This Row],[Units (in 1000)]]&gt;$R$7,Копия_20206[[#This Row],[Units (in 1000)]]&lt;$R$6),"outlier","not outlier")</f>
        <v>not outlier</v>
      </c>
      <c r="K426" s="4" t="str">
        <f>IF(OR(Копия_20206[[#This Row],[Value (in 1000 rub)]]&gt;$S$7,Копия_20206[[#This Row],[Value (in 1000 rub)]]&lt;$S$6),"outlier","not outlier")</f>
        <v>not outlier</v>
      </c>
      <c r="L426" s="4" t="str">
        <f>IF(OR(Копия_20206[[#This Row],[Volume (in 1000 kg)]]&gt;$T$7,Копия_20206[[#This Row],[Volume (in 1000 kg)]]&lt;$T$6),"outlier","not outlier")</f>
        <v>not outlier</v>
      </c>
      <c r="M426" s="4" t="str">
        <f>IF(OR(Копия_20206[[#This Row],[Number of stores]]&gt;$U$7,Копия_20206[[#This Row],[Number of stores]]&lt;$U$6),"outlier","not outlier")</f>
        <v>not outlier</v>
      </c>
    </row>
    <row r="427" spans="1:13" x14ac:dyDescent="0.25">
      <c r="A427">
        <v>2020</v>
      </c>
      <c r="B427">
        <v>8</v>
      </c>
      <c r="C427" s="1" t="s">
        <v>8</v>
      </c>
      <c r="D427" s="1" t="s">
        <v>20</v>
      </c>
      <c r="E427" s="1" t="s">
        <v>12</v>
      </c>
      <c r="F427" s="5">
        <v>0.73160000000000003</v>
      </c>
      <c r="G427" s="5">
        <v>88.740459999999999</v>
      </c>
      <c r="H427" s="5">
        <v>0.29270000000000002</v>
      </c>
      <c r="I427">
        <v>116</v>
      </c>
      <c r="J427" s="4" t="str">
        <f>IF(OR(Копия_20206[[#This Row],[Units (in 1000)]]&gt;$R$7,Копия_20206[[#This Row],[Units (in 1000)]]&lt;$R$6),"outlier","not outlier")</f>
        <v>not outlier</v>
      </c>
      <c r="K427" s="4" t="str">
        <f>IF(OR(Копия_20206[[#This Row],[Value (in 1000 rub)]]&gt;$S$7,Копия_20206[[#This Row],[Value (in 1000 rub)]]&lt;$S$6),"outlier","not outlier")</f>
        <v>not outlier</v>
      </c>
      <c r="L427" s="4" t="str">
        <f>IF(OR(Копия_20206[[#This Row],[Volume (in 1000 kg)]]&gt;$T$7,Копия_20206[[#This Row],[Volume (in 1000 kg)]]&lt;$T$6),"outlier","not outlier")</f>
        <v>not outlier</v>
      </c>
      <c r="M427" s="4" t="str">
        <f>IF(OR(Копия_20206[[#This Row],[Number of stores]]&gt;$U$7,Копия_20206[[#This Row],[Number of stores]]&lt;$U$6),"outlier","not outlier")</f>
        <v>not outlier</v>
      </c>
    </row>
    <row r="428" spans="1:13" x14ac:dyDescent="0.25">
      <c r="A428">
        <v>2020</v>
      </c>
      <c r="B428">
        <v>8</v>
      </c>
      <c r="C428" s="1" t="s">
        <v>25</v>
      </c>
      <c r="D428" s="1" t="s">
        <v>20</v>
      </c>
      <c r="E428" s="1" t="s">
        <v>21</v>
      </c>
      <c r="F428" s="5">
        <v>9.1000000000000004E-3</v>
      </c>
      <c r="G428" s="5">
        <v>3.2979310000000002</v>
      </c>
      <c r="H428" s="5">
        <v>2.5000000000000001E-3</v>
      </c>
      <c r="I428">
        <v>4</v>
      </c>
      <c r="J428" s="4" t="str">
        <f>IF(OR(Копия_20206[[#This Row],[Units (in 1000)]]&gt;$R$7,Копия_20206[[#This Row],[Units (in 1000)]]&lt;$R$6),"outlier","not outlier")</f>
        <v>not outlier</v>
      </c>
      <c r="K428" s="4" t="str">
        <f>IF(OR(Копия_20206[[#This Row],[Value (in 1000 rub)]]&gt;$S$7,Копия_20206[[#This Row],[Value (in 1000 rub)]]&lt;$S$6),"outlier","not outlier")</f>
        <v>not outlier</v>
      </c>
      <c r="L428" s="4" t="str">
        <f>IF(OR(Копия_20206[[#This Row],[Volume (in 1000 kg)]]&gt;$T$7,Копия_20206[[#This Row],[Volume (in 1000 kg)]]&lt;$T$6),"outlier","not outlier")</f>
        <v>not outlier</v>
      </c>
      <c r="M428" s="4" t="str">
        <f>IF(OR(Копия_20206[[#This Row],[Number of stores]]&gt;$U$7,Копия_20206[[#This Row],[Number of stores]]&lt;$U$6),"outlier","not outlier")</f>
        <v>not outlier</v>
      </c>
    </row>
    <row r="429" spans="1:13" x14ac:dyDescent="0.25">
      <c r="A429">
        <v>2020</v>
      </c>
      <c r="B429">
        <v>8</v>
      </c>
      <c r="C429" s="1" t="s">
        <v>25</v>
      </c>
      <c r="D429" s="1" t="s">
        <v>20</v>
      </c>
      <c r="E429" s="1" t="s">
        <v>12</v>
      </c>
      <c r="F429" s="5">
        <v>0.70140000000000002</v>
      </c>
      <c r="G429" s="5">
        <v>85.608891</v>
      </c>
      <c r="H429" s="5">
        <v>0.28050000000000003</v>
      </c>
      <c r="I429">
        <v>397</v>
      </c>
      <c r="J429" s="4" t="str">
        <f>IF(OR(Копия_20206[[#This Row],[Units (in 1000)]]&gt;$R$7,Копия_20206[[#This Row],[Units (in 1000)]]&lt;$R$6),"outlier","not outlier")</f>
        <v>not outlier</v>
      </c>
      <c r="K429" s="4" t="str">
        <f>IF(OR(Копия_20206[[#This Row],[Value (in 1000 rub)]]&gt;$S$7,Копия_20206[[#This Row],[Value (in 1000 rub)]]&lt;$S$6),"outlier","not outlier")</f>
        <v>not outlier</v>
      </c>
      <c r="L429" s="4" t="str">
        <f>IF(OR(Копия_20206[[#This Row],[Volume (in 1000 kg)]]&gt;$T$7,Копия_20206[[#This Row],[Volume (in 1000 kg)]]&lt;$T$6),"outlier","not outlier")</f>
        <v>not outlier</v>
      </c>
      <c r="M429" s="4" t="str">
        <f>IF(OR(Копия_20206[[#This Row],[Number of stores]]&gt;$U$7,Копия_20206[[#This Row],[Number of stores]]&lt;$U$6),"outlier","not outlier")</f>
        <v>not outlier</v>
      </c>
    </row>
    <row r="430" spans="1:13" x14ac:dyDescent="0.25">
      <c r="A430">
        <v>2020</v>
      </c>
      <c r="B430">
        <v>9</v>
      </c>
      <c r="C430" s="1" t="s">
        <v>8</v>
      </c>
      <c r="D430" s="1" t="s">
        <v>20</v>
      </c>
      <c r="E430" s="1" t="s">
        <v>21</v>
      </c>
      <c r="F430" s="5">
        <v>4.3E-3</v>
      </c>
      <c r="G430" s="5">
        <v>1.373928</v>
      </c>
      <c r="H430" s="5">
        <v>1.2999999999999999E-3</v>
      </c>
      <c r="I430">
        <v>3</v>
      </c>
      <c r="J430" s="4" t="str">
        <f>IF(OR(Копия_20206[[#This Row],[Units (in 1000)]]&gt;$R$7,Копия_20206[[#This Row],[Units (in 1000)]]&lt;$R$6),"outlier","not outlier")</f>
        <v>not outlier</v>
      </c>
      <c r="K430" s="4" t="str">
        <f>IF(OR(Копия_20206[[#This Row],[Value (in 1000 rub)]]&gt;$S$7,Копия_20206[[#This Row],[Value (in 1000 rub)]]&lt;$S$6),"outlier","not outlier")</f>
        <v>not outlier</v>
      </c>
      <c r="L430" s="4" t="str">
        <f>IF(OR(Копия_20206[[#This Row],[Volume (in 1000 kg)]]&gt;$T$7,Копия_20206[[#This Row],[Volume (in 1000 kg)]]&lt;$T$6),"outlier","not outlier")</f>
        <v>not outlier</v>
      </c>
      <c r="M430" s="4" t="str">
        <f>IF(OR(Копия_20206[[#This Row],[Number of stores]]&gt;$U$7,Копия_20206[[#This Row],[Number of stores]]&lt;$U$6),"outlier","not outlier")</f>
        <v>not outlier</v>
      </c>
    </row>
    <row r="431" spans="1:13" x14ac:dyDescent="0.25">
      <c r="A431">
        <v>2020</v>
      </c>
      <c r="B431">
        <v>9</v>
      </c>
      <c r="C431" s="1" t="s">
        <v>8</v>
      </c>
      <c r="D431" s="1" t="s">
        <v>20</v>
      </c>
      <c r="E431" s="1" t="s">
        <v>12</v>
      </c>
      <c r="F431" s="5">
        <v>0.76380000000000003</v>
      </c>
      <c r="G431" s="5">
        <v>92.426348000000004</v>
      </c>
      <c r="H431" s="5">
        <v>0.30549999999999999</v>
      </c>
      <c r="I431">
        <v>121</v>
      </c>
      <c r="J431" s="4" t="str">
        <f>IF(OR(Копия_20206[[#This Row],[Units (in 1000)]]&gt;$R$7,Копия_20206[[#This Row],[Units (in 1000)]]&lt;$R$6),"outlier","not outlier")</f>
        <v>not outlier</v>
      </c>
      <c r="K431" s="4" t="str">
        <f>IF(OR(Копия_20206[[#This Row],[Value (in 1000 rub)]]&gt;$S$7,Копия_20206[[#This Row],[Value (in 1000 rub)]]&lt;$S$6),"outlier","not outlier")</f>
        <v>not outlier</v>
      </c>
      <c r="L431" s="4" t="str">
        <f>IF(OR(Копия_20206[[#This Row],[Volume (in 1000 kg)]]&gt;$T$7,Копия_20206[[#This Row],[Volume (in 1000 kg)]]&lt;$T$6),"outlier","not outlier")</f>
        <v>not outlier</v>
      </c>
      <c r="M431" s="4" t="str">
        <f>IF(OR(Копия_20206[[#This Row],[Number of stores]]&gt;$U$7,Копия_20206[[#This Row],[Number of stores]]&lt;$U$6),"outlier","not outlier")</f>
        <v>not outlier</v>
      </c>
    </row>
    <row r="432" spans="1:13" x14ac:dyDescent="0.25">
      <c r="A432">
        <v>2020</v>
      </c>
      <c r="B432">
        <v>9</v>
      </c>
      <c r="C432" s="1" t="s">
        <v>25</v>
      </c>
      <c r="D432" s="1" t="s">
        <v>20</v>
      </c>
      <c r="E432" s="1" t="s">
        <v>21</v>
      </c>
      <c r="F432" s="5">
        <v>2.2000000000000001E-3</v>
      </c>
      <c r="G432" s="5">
        <v>0.85402199999999995</v>
      </c>
      <c r="H432" s="5">
        <v>5.9999999999999995E-4</v>
      </c>
      <c r="I432">
        <v>2</v>
      </c>
      <c r="J432" s="4" t="str">
        <f>IF(OR(Копия_20206[[#This Row],[Units (in 1000)]]&gt;$R$7,Копия_20206[[#This Row],[Units (in 1000)]]&lt;$R$6),"outlier","not outlier")</f>
        <v>not outlier</v>
      </c>
      <c r="K432" s="4" t="str">
        <f>IF(OR(Копия_20206[[#This Row],[Value (in 1000 rub)]]&gt;$S$7,Копия_20206[[#This Row],[Value (in 1000 rub)]]&lt;$S$6),"outlier","not outlier")</f>
        <v>not outlier</v>
      </c>
      <c r="L432" s="4" t="str">
        <f>IF(OR(Копия_20206[[#This Row],[Volume (in 1000 kg)]]&gt;$T$7,Копия_20206[[#This Row],[Volume (in 1000 kg)]]&lt;$T$6),"outlier","not outlier")</f>
        <v>not outlier</v>
      </c>
      <c r="M432" s="4" t="str">
        <f>IF(OR(Копия_20206[[#This Row],[Number of stores]]&gt;$U$7,Копия_20206[[#This Row],[Number of stores]]&lt;$U$6),"outlier","not outlier")</f>
        <v>not outlier</v>
      </c>
    </row>
    <row r="433" spans="1:13" x14ac:dyDescent="0.25">
      <c r="A433">
        <v>2020</v>
      </c>
      <c r="B433">
        <v>9</v>
      </c>
      <c r="C433" s="1" t="s">
        <v>25</v>
      </c>
      <c r="D433" s="1" t="s">
        <v>20</v>
      </c>
      <c r="E433" s="1" t="s">
        <v>12</v>
      </c>
      <c r="F433" s="5">
        <v>0.47610000000000002</v>
      </c>
      <c r="G433" s="5">
        <v>55.913784999999997</v>
      </c>
      <c r="H433" s="5">
        <v>0.19040000000000001</v>
      </c>
      <c r="I433">
        <v>334</v>
      </c>
      <c r="J433" s="4" t="str">
        <f>IF(OR(Копия_20206[[#This Row],[Units (in 1000)]]&gt;$R$7,Копия_20206[[#This Row],[Units (in 1000)]]&lt;$R$6),"outlier","not outlier")</f>
        <v>not outlier</v>
      </c>
      <c r="K433" s="4" t="str">
        <f>IF(OR(Копия_20206[[#This Row],[Value (in 1000 rub)]]&gt;$S$7,Копия_20206[[#This Row],[Value (in 1000 rub)]]&lt;$S$6),"outlier","not outlier")</f>
        <v>not outlier</v>
      </c>
      <c r="L433" s="4" t="str">
        <f>IF(OR(Копия_20206[[#This Row],[Volume (in 1000 kg)]]&gt;$T$7,Копия_20206[[#This Row],[Volume (in 1000 kg)]]&lt;$T$6),"outlier","not outlier")</f>
        <v>not outlier</v>
      </c>
      <c r="M433" s="4" t="str">
        <f>IF(OR(Копия_20206[[#This Row],[Number of stores]]&gt;$U$7,Копия_20206[[#This Row],[Number of stores]]&lt;$U$6),"outlier","not outlier")</f>
        <v>not outlier</v>
      </c>
    </row>
    <row r="434" spans="1:13" x14ac:dyDescent="0.25">
      <c r="A434">
        <v>2020</v>
      </c>
      <c r="B434">
        <v>10</v>
      </c>
      <c r="C434" s="1" t="s">
        <v>8</v>
      </c>
      <c r="D434" s="1" t="s">
        <v>20</v>
      </c>
      <c r="E434" s="1" t="s">
        <v>21</v>
      </c>
      <c r="F434" s="5">
        <v>8.5000000000000006E-3</v>
      </c>
      <c r="G434" s="5">
        <v>2.76735</v>
      </c>
      <c r="H434" s="5">
        <v>2.3999999999999998E-3</v>
      </c>
      <c r="I434">
        <v>2</v>
      </c>
      <c r="J434" s="4" t="str">
        <f>IF(OR(Копия_20206[[#This Row],[Units (in 1000)]]&gt;$R$7,Копия_20206[[#This Row],[Units (in 1000)]]&lt;$R$6),"outlier","not outlier")</f>
        <v>not outlier</v>
      </c>
      <c r="K434" s="4" t="str">
        <f>IF(OR(Копия_20206[[#This Row],[Value (in 1000 rub)]]&gt;$S$7,Копия_20206[[#This Row],[Value (in 1000 rub)]]&lt;$S$6),"outlier","not outlier")</f>
        <v>not outlier</v>
      </c>
      <c r="L434" s="4" t="str">
        <f>IF(OR(Копия_20206[[#This Row],[Volume (in 1000 kg)]]&gt;$T$7,Копия_20206[[#This Row],[Volume (in 1000 kg)]]&lt;$T$6),"outlier","not outlier")</f>
        <v>not outlier</v>
      </c>
      <c r="M434" s="4" t="str">
        <f>IF(OR(Копия_20206[[#This Row],[Number of stores]]&gt;$U$7,Копия_20206[[#This Row],[Number of stores]]&lt;$U$6),"outlier","not outlier")</f>
        <v>not outlier</v>
      </c>
    </row>
    <row r="435" spans="1:13" x14ac:dyDescent="0.25">
      <c r="A435">
        <v>2020</v>
      </c>
      <c r="B435">
        <v>10</v>
      </c>
      <c r="C435" s="1" t="s">
        <v>8</v>
      </c>
      <c r="D435" s="1" t="s">
        <v>20</v>
      </c>
      <c r="E435" s="1" t="s">
        <v>12</v>
      </c>
      <c r="F435" s="5">
        <v>0.86599999999999999</v>
      </c>
      <c r="G435" s="5">
        <v>105.254914</v>
      </c>
      <c r="H435" s="5">
        <v>0.34639999999999999</v>
      </c>
      <c r="I435">
        <v>118</v>
      </c>
      <c r="J435" s="4" t="str">
        <f>IF(OR(Копия_20206[[#This Row],[Units (in 1000)]]&gt;$R$7,Копия_20206[[#This Row],[Units (in 1000)]]&lt;$R$6),"outlier","not outlier")</f>
        <v>not outlier</v>
      </c>
      <c r="K435" s="4" t="str">
        <f>IF(OR(Копия_20206[[#This Row],[Value (in 1000 rub)]]&gt;$S$7,Копия_20206[[#This Row],[Value (in 1000 rub)]]&lt;$S$6),"outlier","not outlier")</f>
        <v>not outlier</v>
      </c>
      <c r="L435" s="4" t="str">
        <f>IF(OR(Копия_20206[[#This Row],[Volume (in 1000 kg)]]&gt;$T$7,Копия_20206[[#This Row],[Volume (in 1000 kg)]]&lt;$T$6),"outlier","not outlier")</f>
        <v>not outlier</v>
      </c>
      <c r="M435" s="4" t="str">
        <f>IF(OR(Копия_20206[[#This Row],[Number of stores]]&gt;$U$7,Копия_20206[[#This Row],[Number of stores]]&lt;$U$6),"outlier","not outlier")</f>
        <v>not outlier</v>
      </c>
    </row>
    <row r="436" spans="1:13" x14ac:dyDescent="0.25">
      <c r="A436">
        <v>2020</v>
      </c>
      <c r="B436">
        <v>10</v>
      </c>
      <c r="C436" s="1" t="s">
        <v>25</v>
      </c>
      <c r="D436" s="1" t="s">
        <v>20</v>
      </c>
      <c r="E436" s="1" t="s">
        <v>21</v>
      </c>
      <c r="F436" s="5">
        <v>1.6000000000000001E-3</v>
      </c>
      <c r="G436" s="5">
        <v>0.64330100000000001</v>
      </c>
      <c r="H436" s="5">
        <v>5.0000000000000001E-4</v>
      </c>
      <c r="I436">
        <v>2</v>
      </c>
      <c r="J436" s="4" t="str">
        <f>IF(OR(Копия_20206[[#This Row],[Units (in 1000)]]&gt;$R$7,Копия_20206[[#This Row],[Units (in 1000)]]&lt;$R$6),"outlier","not outlier")</f>
        <v>not outlier</v>
      </c>
      <c r="K436" s="4" t="str">
        <f>IF(OR(Копия_20206[[#This Row],[Value (in 1000 rub)]]&gt;$S$7,Копия_20206[[#This Row],[Value (in 1000 rub)]]&lt;$S$6),"outlier","not outlier")</f>
        <v>not outlier</v>
      </c>
      <c r="L436" s="4" t="str">
        <f>IF(OR(Копия_20206[[#This Row],[Volume (in 1000 kg)]]&gt;$T$7,Копия_20206[[#This Row],[Volume (in 1000 kg)]]&lt;$T$6),"outlier","not outlier")</f>
        <v>not outlier</v>
      </c>
      <c r="M436" s="4" t="str">
        <f>IF(OR(Копия_20206[[#This Row],[Number of stores]]&gt;$U$7,Копия_20206[[#This Row],[Number of stores]]&lt;$U$6),"outlier","not outlier")</f>
        <v>not outlier</v>
      </c>
    </row>
    <row r="437" spans="1:13" x14ac:dyDescent="0.25">
      <c r="A437">
        <v>2020</v>
      </c>
      <c r="B437">
        <v>10</v>
      </c>
      <c r="C437" s="1" t="s">
        <v>25</v>
      </c>
      <c r="D437" s="1" t="s">
        <v>20</v>
      </c>
      <c r="E437" s="1" t="s">
        <v>12</v>
      </c>
      <c r="F437" s="5">
        <v>0.51939999999999997</v>
      </c>
      <c r="G437" s="5">
        <v>68.158990000000003</v>
      </c>
      <c r="H437" s="5">
        <v>0.2077</v>
      </c>
      <c r="I437">
        <v>270</v>
      </c>
      <c r="J437" s="4" t="str">
        <f>IF(OR(Копия_20206[[#This Row],[Units (in 1000)]]&gt;$R$7,Копия_20206[[#This Row],[Units (in 1000)]]&lt;$R$6),"outlier","not outlier")</f>
        <v>not outlier</v>
      </c>
      <c r="K437" s="4" t="str">
        <f>IF(OR(Копия_20206[[#This Row],[Value (in 1000 rub)]]&gt;$S$7,Копия_20206[[#This Row],[Value (in 1000 rub)]]&lt;$S$6),"outlier","not outlier")</f>
        <v>not outlier</v>
      </c>
      <c r="L437" s="4" t="str">
        <f>IF(OR(Копия_20206[[#This Row],[Volume (in 1000 kg)]]&gt;$T$7,Копия_20206[[#This Row],[Volume (in 1000 kg)]]&lt;$T$6),"outlier","not outlier")</f>
        <v>not outlier</v>
      </c>
      <c r="M437" s="4" t="str">
        <f>IF(OR(Копия_20206[[#This Row],[Number of stores]]&gt;$U$7,Копия_20206[[#This Row],[Number of stores]]&lt;$U$6),"outlier","not outlier")</f>
        <v>not outlier</v>
      </c>
    </row>
    <row r="438" spans="1:13" x14ac:dyDescent="0.25">
      <c r="A438">
        <v>2020</v>
      </c>
      <c r="B438">
        <v>11</v>
      </c>
      <c r="C438" s="1" t="s">
        <v>8</v>
      </c>
      <c r="D438" s="1" t="s">
        <v>20</v>
      </c>
      <c r="E438" s="1" t="s">
        <v>21</v>
      </c>
      <c r="F438" s="5">
        <v>9.2999999999999992E-3</v>
      </c>
      <c r="G438" s="5">
        <v>2.947238</v>
      </c>
      <c r="H438" s="5">
        <v>2.5999999999999999E-3</v>
      </c>
      <c r="I438">
        <v>3</v>
      </c>
      <c r="J438" s="4" t="str">
        <f>IF(OR(Копия_20206[[#This Row],[Units (in 1000)]]&gt;$R$7,Копия_20206[[#This Row],[Units (in 1000)]]&lt;$R$6),"outlier","not outlier")</f>
        <v>not outlier</v>
      </c>
      <c r="K438" s="4" t="str">
        <f>IF(OR(Копия_20206[[#This Row],[Value (in 1000 rub)]]&gt;$S$7,Копия_20206[[#This Row],[Value (in 1000 rub)]]&lt;$S$6),"outlier","not outlier")</f>
        <v>not outlier</v>
      </c>
      <c r="L438" s="4" t="str">
        <f>IF(OR(Копия_20206[[#This Row],[Volume (in 1000 kg)]]&gt;$T$7,Копия_20206[[#This Row],[Volume (in 1000 kg)]]&lt;$T$6),"outlier","not outlier")</f>
        <v>not outlier</v>
      </c>
      <c r="M438" s="4" t="str">
        <f>IF(OR(Копия_20206[[#This Row],[Number of stores]]&gt;$U$7,Копия_20206[[#This Row],[Number of stores]]&lt;$U$6),"outlier","not outlier")</f>
        <v>not outlier</v>
      </c>
    </row>
    <row r="439" spans="1:13" x14ac:dyDescent="0.25">
      <c r="A439">
        <v>2020</v>
      </c>
      <c r="B439">
        <v>11</v>
      </c>
      <c r="C439" s="1" t="s">
        <v>8</v>
      </c>
      <c r="D439" s="1" t="s">
        <v>20</v>
      </c>
      <c r="E439" s="1" t="s">
        <v>12</v>
      </c>
      <c r="F439" s="5">
        <v>0.91449999999999998</v>
      </c>
      <c r="G439" s="5">
        <v>111.77260200000001</v>
      </c>
      <c r="H439" s="5">
        <v>0.36580000000000001</v>
      </c>
      <c r="I439">
        <v>123</v>
      </c>
      <c r="J439" s="4" t="str">
        <f>IF(OR(Копия_20206[[#This Row],[Units (in 1000)]]&gt;$R$7,Копия_20206[[#This Row],[Units (in 1000)]]&lt;$R$6),"outlier","not outlier")</f>
        <v>not outlier</v>
      </c>
      <c r="K439" s="4" t="str">
        <f>IF(OR(Копия_20206[[#This Row],[Value (in 1000 rub)]]&gt;$S$7,Копия_20206[[#This Row],[Value (in 1000 rub)]]&lt;$S$6),"outlier","not outlier")</f>
        <v>not outlier</v>
      </c>
      <c r="L439" s="4" t="str">
        <f>IF(OR(Копия_20206[[#This Row],[Volume (in 1000 kg)]]&gt;$T$7,Копия_20206[[#This Row],[Volume (in 1000 kg)]]&lt;$T$6),"outlier","not outlier")</f>
        <v>not outlier</v>
      </c>
      <c r="M439" s="4" t="str">
        <f>IF(OR(Копия_20206[[#This Row],[Number of stores]]&gt;$U$7,Копия_20206[[#This Row],[Number of stores]]&lt;$U$6),"outlier","not outlier")</f>
        <v>not outlier</v>
      </c>
    </row>
    <row r="440" spans="1:13" x14ac:dyDescent="0.25">
      <c r="A440">
        <v>2020</v>
      </c>
      <c r="B440">
        <v>11</v>
      </c>
      <c r="C440" s="1" t="s">
        <v>25</v>
      </c>
      <c r="D440" s="1" t="s">
        <v>20</v>
      </c>
      <c r="E440" s="1" t="s">
        <v>21</v>
      </c>
      <c r="F440" s="5">
        <v>4.1999999999999997E-3</v>
      </c>
      <c r="G440" s="5">
        <v>1.5446660000000001</v>
      </c>
      <c r="H440" s="5">
        <v>1.1999999999999999E-3</v>
      </c>
      <c r="I440">
        <v>4</v>
      </c>
      <c r="J440" s="4" t="str">
        <f>IF(OR(Копия_20206[[#This Row],[Units (in 1000)]]&gt;$R$7,Копия_20206[[#This Row],[Units (in 1000)]]&lt;$R$6),"outlier","not outlier")</f>
        <v>not outlier</v>
      </c>
      <c r="K440" s="4" t="str">
        <f>IF(OR(Копия_20206[[#This Row],[Value (in 1000 rub)]]&gt;$S$7,Копия_20206[[#This Row],[Value (in 1000 rub)]]&lt;$S$6),"outlier","not outlier")</f>
        <v>not outlier</v>
      </c>
      <c r="L440" s="4" t="str">
        <f>IF(OR(Копия_20206[[#This Row],[Volume (in 1000 kg)]]&gt;$T$7,Копия_20206[[#This Row],[Volume (in 1000 kg)]]&lt;$T$6),"outlier","not outlier")</f>
        <v>not outlier</v>
      </c>
      <c r="M440" s="4" t="str">
        <f>IF(OR(Копия_20206[[#This Row],[Number of stores]]&gt;$U$7,Копия_20206[[#This Row],[Number of stores]]&lt;$U$6),"outlier","not outlier")</f>
        <v>not outlier</v>
      </c>
    </row>
    <row r="441" spans="1:13" x14ac:dyDescent="0.25">
      <c r="A441">
        <v>2020</v>
      </c>
      <c r="B441">
        <v>11</v>
      </c>
      <c r="C441" s="1" t="s">
        <v>25</v>
      </c>
      <c r="D441" s="1" t="s">
        <v>20</v>
      </c>
      <c r="E441" s="1" t="s">
        <v>12</v>
      </c>
      <c r="F441" s="5">
        <v>0.49969999999999998</v>
      </c>
      <c r="G441" s="5">
        <v>65.708517000000001</v>
      </c>
      <c r="H441" s="5">
        <v>0.19989999999999999</v>
      </c>
      <c r="I441">
        <v>272</v>
      </c>
      <c r="J441" s="4" t="str">
        <f>IF(OR(Копия_20206[[#This Row],[Units (in 1000)]]&gt;$R$7,Копия_20206[[#This Row],[Units (in 1000)]]&lt;$R$6),"outlier","not outlier")</f>
        <v>not outlier</v>
      </c>
      <c r="K441" s="4" t="str">
        <f>IF(OR(Копия_20206[[#This Row],[Value (in 1000 rub)]]&gt;$S$7,Копия_20206[[#This Row],[Value (in 1000 rub)]]&lt;$S$6),"outlier","not outlier")</f>
        <v>not outlier</v>
      </c>
      <c r="L441" s="4" t="str">
        <f>IF(OR(Копия_20206[[#This Row],[Volume (in 1000 kg)]]&gt;$T$7,Копия_20206[[#This Row],[Volume (in 1000 kg)]]&lt;$T$6),"outlier","not outlier")</f>
        <v>not outlier</v>
      </c>
      <c r="M441" s="4" t="str">
        <f>IF(OR(Копия_20206[[#This Row],[Number of stores]]&gt;$U$7,Копия_20206[[#This Row],[Number of stores]]&lt;$U$6),"outlier","not outlier")</f>
        <v>not outlier</v>
      </c>
    </row>
    <row r="442" spans="1:13" x14ac:dyDescent="0.25">
      <c r="A442">
        <v>2020</v>
      </c>
      <c r="B442">
        <v>12</v>
      </c>
      <c r="C442" s="1" t="s">
        <v>8</v>
      </c>
      <c r="D442" s="1" t="s">
        <v>20</v>
      </c>
      <c r="E442" s="1" t="s">
        <v>21</v>
      </c>
      <c r="F442" s="5">
        <v>4.7999999999999996E-3</v>
      </c>
      <c r="G442" s="5">
        <v>1.5882289999999999</v>
      </c>
      <c r="H442" s="5">
        <v>1.4E-3</v>
      </c>
      <c r="I442">
        <v>3</v>
      </c>
      <c r="J442" s="4" t="str">
        <f>IF(OR(Копия_20206[[#This Row],[Units (in 1000)]]&gt;$R$7,Копия_20206[[#This Row],[Units (in 1000)]]&lt;$R$6),"outlier","not outlier")</f>
        <v>not outlier</v>
      </c>
      <c r="K442" s="4" t="str">
        <f>IF(OR(Копия_20206[[#This Row],[Value (in 1000 rub)]]&gt;$S$7,Копия_20206[[#This Row],[Value (in 1000 rub)]]&lt;$S$6),"outlier","not outlier")</f>
        <v>not outlier</v>
      </c>
      <c r="L442" s="4" t="str">
        <f>IF(OR(Копия_20206[[#This Row],[Volume (in 1000 kg)]]&gt;$T$7,Копия_20206[[#This Row],[Volume (in 1000 kg)]]&lt;$T$6),"outlier","not outlier")</f>
        <v>not outlier</v>
      </c>
      <c r="M442" s="4" t="str">
        <f>IF(OR(Копия_20206[[#This Row],[Number of stores]]&gt;$U$7,Копия_20206[[#This Row],[Number of stores]]&lt;$U$6),"outlier","not outlier")</f>
        <v>not outlier</v>
      </c>
    </row>
    <row r="443" spans="1:13" x14ac:dyDescent="0.25">
      <c r="A443">
        <v>2020</v>
      </c>
      <c r="B443">
        <v>12</v>
      </c>
      <c r="C443" s="1" t="s">
        <v>8</v>
      </c>
      <c r="D443" s="1" t="s">
        <v>20</v>
      </c>
      <c r="E443" s="1" t="s">
        <v>12</v>
      </c>
      <c r="F443" s="5">
        <v>0.94569999999999999</v>
      </c>
      <c r="G443" s="5">
        <v>117.209566</v>
      </c>
      <c r="H443" s="5">
        <v>0.37830000000000003</v>
      </c>
      <c r="I443">
        <v>119</v>
      </c>
      <c r="J443" s="4" t="str">
        <f>IF(OR(Копия_20206[[#This Row],[Units (in 1000)]]&gt;$R$7,Копия_20206[[#This Row],[Units (in 1000)]]&lt;$R$6),"outlier","not outlier")</f>
        <v>not outlier</v>
      </c>
      <c r="K443" s="4" t="str">
        <f>IF(OR(Копия_20206[[#This Row],[Value (in 1000 rub)]]&gt;$S$7,Копия_20206[[#This Row],[Value (in 1000 rub)]]&lt;$S$6),"outlier","not outlier")</f>
        <v>not outlier</v>
      </c>
      <c r="L443" s="4" t="str">
        <f>IF(OR(Копия_20206[[#This Row],[Volume (in 1000 kg)]]&gt;$T$7,Копия_20206[[#This Row],[Volume (in 1000 kg)]]&lt;$T$6),"outlier","not outlier")</f>
        <v>not outlier</v>
      </c>
      <c r="M443" s="4" t="str">
        <f>IF(OR(Копия_20206[[#This Row],[Number of stores]]&gt;$U$7,Копия_20206[[#This Row],[Number of stores]]&lt;$U$6),"outlier","not outlier")</f>
        <v>not outlier</v>
      </c>
    </row>
    <row r="444" spans="1:13" x14ac:dyDescent="0.25">
      <c r="A444">
        <v>2020</v>
      </c>
      <c r="B444">
        <v>12</v>
      </c>
      <c r="C444" s="1" t="s">
        <v>25</v>
      </c>
      <c r="D444" s="1" t="s">
        <v>20</v>
      </c>
      <c r="E444" s="1" t="s">
        <v>21</v>
      </c>
      <c r="F444" s="5">
        <v>2.8999999999999998E-3</v>
      </c>
      <c r="G444" s="5">
        <v>1.1161300000000001</v>
      </c>
      <c r="H444" s="5">
        <v>8.0000000000000004E-4</v>
      </c>
      <c r="I444">
        <v>2</v>
      </c>
      <c r="J444" s="4" t="str">
        <f>IF(OR(Копия_20206[[#This Row],[Units (in 1000)]]&gt;$R$7,Копия_20206[[#This Row],[Units (in 1000)]]&lt;$R$6),"outlier","not outlier")</f>
        <v>not outlier</v>
      </c>
      <c r="K444" s="4" t="str">
        <f>IF(OR(Копия_20206[[#This Row],[Value (in 1000 rub)]]&gt;$S$7,Копия_20206[[#This Row],[Value (in 1000 rub)]]&lt;$S$6),"outlier","not outlier")</f>
        <v>not outlier</v>
      </c>
      <c r="L444" s="4" t="str">
        <f>IF(OR(Копия_20206[[#This Row],[Volume (in 1000 kg)]]&gt;$T$7,Копия_20206[[#This Row],[Volume (in 1000 kg)]]&lt;$T$6),"outlier","not outlier")</f>
        <v>not outlier</v>
      </c>
      <c r="M444" s="4" t="str">
        <f>IF(OR(Копия_20206[[#This Row],[Number of stores]]&gt;$U$7,Копия_20206[[#This Row],[Number of stores]]&lt;$U$6),"outlier","not outlier")</f>
        <v>not outlier</v>
      </c>
    </row>
    <row r="445" spans="1:13" x14ac:dyDescent="0.25">
      <c r="A445">
        <v>2020</v>
      </c>
      <c r="B445">
        <v>12</v>
      </c>
      <c r="C445" s="1" t="s">
        <v>25</v>
      </c>
      <c r="D445" s="1" t="s">
        <v>20</v>
      </c>
      <c r="E445" s="1" t="s">
        <v>12</v>
      </c>
      <c r="F445" s="5">
        <v>0.3372</v>
      </c>
      <c r="G445" s="5">
        <v>35.861902000000001</v>
      </c>
      <c r="H445" s="5">
        <v>0.13489999999999999</v>
      </c>
      <c r="I445">
        <v>212</v>
      </c>
      <c r="J445" s="4" t="str">
        <f>IF(OR(Копия_20206[[#This Row],[Units (in 1000)]]&gt;$R$7,Копия_20206[[#This Row],[Units (in 1000)]]&lt;$R$6),"outlier","not outlier")</f>
        <v>not outlier</v>
      </c>
      <c r="K445" s="4" t="str">
        <f>IF(OR(Копия_20206[[#This Row],[Value (in 1000 rub)]]&gt;$S$7,Копия_20206[[#This Row],[Value (in 1000 rub)]]&lt;$S$6),"outlier","not outlier")</f>
        <v>not outlier</v>
      </c>
      <c r="L445" s="4" t="str">
        <f>IF(OR(Копия_20206[[#This Row],[Volume (in 1000 kg)]]&gt;$T$7,Копия_20206[[#This Row],[Volume (in 1000 kg)]]&lt;$T$6),"outlier","not outlier")</f>
        <v>not outlier</v>
      </c>
      <c r="M445" s="4" t="str">
        <f>IF(OR(Копия_20206[[#This Row],[Number of stores]]&gt;$U$7,Копия_20206[[#This Row],[Number of stores]]&lt;$U$6),"outlier","not outlier")</f>
        <v>not outlier</v>
      </c>
    </row>
    <row r="446" spans="1:13" x14ac:dyDescent="0.25">
      <c r="A446">
        <v>2020</v>
      </c>
      <c r="B446">
        <v>1</v>
      </c>
      <c r="C446" s="1" t="s">
        <v>25</v>
      </c>
      <c r="D446" s="1" t="s">
        <v>32</v>
      </c>
      <c r="E446" s="1" t="s">
        <v>18</v>
      </c>
      <c r="F446" s="5">
        <v>2.2000000000000001E-3</v>
      </c>
      <c r="G446" s="5">
        <v>0.93014200000000002</v>
      </c>
      <c r="H446" s="5">
        <v>4.0000000000000002E-4</v>
      </c>
      <c r="I446">
        <v>2</v>
      </c>
      <c r="J446" s="4" t="str">
        <f>IF(OR(Копия_20206[[#This Row],[Units (in 1000)]]&gt;$R$7,Копия_20206[[#This Row],[Units (in 1000)]]&lt;$R$6),"outlier","not outlier")</f>
        <v>not outlier</v>
      </c>
      <c r="K446" s="4" t="str">
        <f>IF(OR(Копия_20206[[#This Row],[Value (in 1000 rub)]]&gt;$S$7,Копия_20206[[#This Row],[Value (in 1000 rub)]]&lt;$S$6),"outlier","not outlier")</f>
        <v>not outlier</v>
      </c>
      <c r="L446" s="4" t="str">
        <f>IF(OR(Копия_20206[[#This Row],[Volume (in 1000 kg)]]&gt;$T$7,Копия_20206[[#This Row],[Volume (in 1000 kg)]]&lt;$T$6),"outlier","not outlier")</f>
        <v>not outlier</v>
      </c>
      <c r="M446" s="4" t="str">
        <f>IF(OR(Копия_20206[[#This Row],[Number of stores]]&gt;$U$7,Копия_20206[[#This Row],[Number of stores]]&lt;$U$6),"outlier","not outlier")</f>
        <v>not outlier</v>
      </c>
    </row>
    <row r="447" spans="1:13" x14ac:dyDescent="0.25">
      <c r="A447">
        <v>2020</v>
      </c>
      <c r="B447">
        <v>1</v>
      </c>
      <c r="C447" s="1" t="s">
        <v>25</v>
      </c>
      <c r="D447" s="1" t="s">
        <v>32</v>
      </c>
      <c r="E447" s="1" t="s">
        <v>12</v>
      </c>
      <c r="F447" s="5">
        <v>0.34160000000000001</v>
      </c>
      <c r="G447" s="5">
        <v>108.540446</v>
      </c>
      <c r="H447" s="5">
        <v>0.13669999999999999</v>
      </c>
      <c r="I447">
        <v>49</v>
      </c>
      <c r="J447" s="4" t="str">
        <f>IF(OR(Копия_20206[[#This Row],[Units (in 1000)]]&gt;$R$7,Копия_20206[[#This Row],[Units (in 1000)]]&lt;$R$6),"outlier","not outlier")</f>
        <v>not outlier</v>
      </c>
      <c r="K447" s="4" t="str">
        <f>IF(OR(Копия_20206[[#This Row],[Value (in 1000 rub)]]&gt;$S$7,Копия_20206[[#This Row],[Value (in 1000 rub)]]&lt;$S$6),"outlier","not outlier")</f>
        <v>not outlier</v>
      </c>
      <c r="L447" s="4" t="str">
        <f>IF(OR(Копия_20206[[#This Row],[Volume (in 1000 kg)]]&gt;$T$7,Копия_20206[[#This Row],[Volume (in 1000 kg)]]&lt;$T$6),"outlier","not outlier")</f>
        <v>not outlier</v>
      </c>
      <c r="M447" s="4" t="str">
        <f>IF(OR(Копия_20206[[#This Row],[Number of stores]]&gt;$U$7,Копия_20206[[#This Row],[Number of stores]]&lt;$U$6),"outlier","not outlier")</f>
        <v>not outlier</v>
      </c>
    </row>
    <row r="448" spans="1:13" x14ac:dyDescent="0.25">
      <c r="A448">
        <v>2020</v>
      </c>
      <c r="B448">
        <v>1</v>
      </c>
      <c r="C448" s="1" t="s">
        <v>29</v>
      </c>
      <c r="D448" s="1" t="s">
        <v>32</v>
      </c>
      <c r="E448" s="1" t="s">
        <v>18</v>
      </c>
      <c r="F448" s="5">
        <v>8.8000000000000005E-3</v>
      </c>
      <c r="G448" s="5">
        <v>3.021369</v>
      </c>
      <c r="H448" s="5">
        <v>1.6999999999999999E-3</v>
      </c>
      <c r="I448">
        <v>10</v>
      </c>
      <c r="J448" s="4" t="str">
        <f>IF(OR(Копия_20206[[#This Row],[Units (in 1000)]]&gt;$R$7,Копия_20206[[#This Row],[Units (in 1000)]]&lt;$R$6),"outlier","not outlier")</f>
        <v>not outlier</v>
      </c>
      <c r="K448" s="4" t="str">
        <f>IF(OR(Копия_20206[[#This Row],[Value (in 1000 rub)]]&gt;$S$7,Копия_20206[[#This Row],[Value (in 1000 rub)]]&lt;$S$6),"outlier","not outlier")</f>
        <v>not outlier</v>
      </c>
      <c r="L448" s="4" t="str">
        <f>IF(OR(Копия_20206[[#This Row],[Volume (in 1000 kg)]]&gt;$T$7,Копия_20206[[#This Row],[Volume (in 1000 kg)]]&lt;$T$6),"outlier","not outlier")</f>
        <v>not outlier</v>
      </c>
      <c r="M448" s="4" t="str">
        <f>IF(OR(Копия_20206[[#This Row],[Number of stores]]&gt;$U$7,Копия_20206[[#This Row],[Number of stores]]&lt;$U$6),"outlier","not outlier")</f>
        <v>not outlier</v>
      </c>
    </row>
    <row r="449" spans="1:13" x14ac:dyDescent="0.25">
      <c r="A449">
        <v>2020</v>
      </c>
      <c r="B449">
        <v>1</v>
      </c>
      <c r="C449" s="1" t="s">
        <v>29</v>
      </c>
      <c r="D449" s="1" t="s">
        <v>32</v>
      </c>
      <c r="E449" s="1" t="s">
        <v>12</v>
      </c>
      <c r="F449" s="5">
        <v>1.7346999999999999</v>
      </c>
      <c r="G449" s="5">
        <v>489.01997599999999</v>
      </c>
      <c r="H449" s="5">
        <v>0.69379999999999997</v>
      </c>
      <c r="I449">
        <v>223</v>
      </c>
      <c r="J449" s="4" t="str">
        <f>IF(OR(Копия_20206[[#This Row],[Units (in 1000)]]&gt;$R$7,Копия_20206[[#This Row],[Units (in 1000)]]&lt;$R$6),"outlier","not outlier")</f>
        <v>not outlier</v>
      </c>
      <c r="K449" s="4" t="str">
        <f>IF(OR(Копия_20206[[#This Row],[Value (in 1000 rub)]]&gt;$S$7,Копия_20206[[#This Row],[Value (in 1000 rub)]]&lt;$S$6),"outlier","not outlier")</f>
        <v>not outlier</v>
      </c>
      <c r="L449" s="4" t="str">
        <f>IF(OR(Копия_20206[[#This Row],[Volume (in 1000 kg)]]&gt;$T$7,Копия_20206[[#This Row],[Volume (in 1000 kg)]]&lt;$T$6),"outlier","not outlier")</f>
        <v>not outlier</v>
      </c>
      <c r="M449" s="4" t="str">
        <f>IF(OR(Копия_20206[[#This Row],[Number of stores]]&gt;$U$7,Копия_20206[[#This Row],[Number of stores]]&lt;$U$6),"outlier","not outlier")</f>
        <v>not outlier</v>
      </c>
    </row>
    <row r="450" spans="1:13" x14ac:dyDescent="0.25">
      <c r="A450">
        <v>2020</v>
      </c>
      <c r="B450">
        <v>2</v>
      </c>
      <c r="C450" s="1" t="s">
        <v>25</v>
      </c>
      <c r="D450" s="1" t="s">
        <v>32</v>
      </c>
      <c r="E450" s="1" t="s">
        <v>18</v>
      </c>
      <c r="F450" s="5">
        <v>6.7000000000000004E-2</v>
      </c>
      <c r="G450" s="5">
        <v>22.854507999999999</v>
      </c>
      <c r="H450" s="5">
        <v>1.2699999999999999E-2</v>
      </c>
      <c r="I450">
        <v>51</v>
      </c>
      <c r="J450" s="4" t="str">
        <f>IF(OR(Копия_20206[[#This Row],[Units (in 1000)]]&gt;$R$7,Копия_20206[[#This Row],[Units (in 1000)]]&lt;$R$6),"outlier","not outlier")</f>
        <v>not outlier</v>
      </c>
      <c r="K450" s="4" t="str">
        <f>IF(OR(Копия_20206[[#This Row],[Value (in 1000 rub)]]&gt;$S$7,Копия_20206[[#This Row],[Value (in 1000 rub)]]&lt;$S$6),"outlier","not outlier")</f>
        <v>not outlier</v>
      </c>
      <c r="L450" s="4" t="str">
        <f>IF(OR(Копия_20206[[#This Row],[Volume (in 1000 kg)]]&gt;$T$7,Копия_20206[[#This Row],[Volume (in 1000 kg)]]&lt;$T$6),"outlier","not outlier")</f>
        <v>not outlier</v>
      </c>
      <c r="M450" s="4" t="str">
        <f>IF(OR(Копия_20206[[#This Row],[Number of stores]]&gt;$U$7,Копия_20206[[#This Row],[Number of stores]]&lt;$U$6),"outlier","not outlier")</f>
        <v>not outlier</v>
      </c>
    </row>
    <row r="451" spans="1:13" x14ac:dyDescent="0.25">
      <c r="A451">
        <v>2020</v>
      </c>
      <c r="B451">
        <v>2</v>
      </c>
      <c r="C451" s="1" t="s">
        <v>25</v>
      </c>
      <c r="D451" s="1" t="s">
        <v>32</v>
      </c>
      <c r="E451" s="1" t="s">
        <v>12</v>
      </c>
      <c r="F451" s="5">
        <v>0.41860000000000003</v>
      </c>
      <c r="G451" s="5">
        <v>131.38103000000001</v>
      </c>
      <c r="H451" s="5">
        <v>0.16739999999999999</v>
      </c>
      <c r="I451">
        <v>84</v>
      </c>
      <c r="J451" s="4" t="str">
        <f>IF(OR(Копия_20206[[#This Row],[Units (in 1000)]]&gt;$R$7,Копия_20206[[#This Row],[Units (in 1000)]]&lt;$R$6),"outlier","not outlier")</f>
        <v>not outlier</v>
      </c>
      <c r="K451" s="4" t="str">
        <f>IF(OR(Копия_20206[[#This Row],[Value (in 1000 rub)]]&gt;$S$7,Копия_20206[[#This Row],[Value (in 1000 rub)]]&lt;$S$6),"outlier","not outlier")</f>
        <v>not outlier</v>
      </c>
      <c r="L451" s="4" t="str">
        <f>IF(OR(Копия_20206[[#This Row],[Volume (in 1000 kg)]]&gt;$T$7,Копия_20206[[#This Row],[Volume (in 1000 kg)]]&lt;$T$6),"outlier","not outlier")</f>
        <v>not outlier</v>
      </c>
      <c r="M451" s="4" t="str">
        <f>IF(OR(Копия_20206[[#This Row],[Number of stores]]&gt;$U$7,Копия_20206[[#This Row],[Number of stores]]&lt;$U$6),"outlier","not outlier")</f>
        <v>not outlier</v>
      </c>
    </row>
    <row r="452" spans="1:13" x14ac:dyDescent="0.25">
      <c r="A452">
        <v>2020</v>
      </c>
      <c r="B452">
        <v>2</v>
      </c>
      <c r="C452" s="1" t="s">
        <v>29</v>
      </c>
      <c r="D452" s="1" t="s">
        <v>32</v>
      </c>
      <c r="E452" s="1" t="s">
        <v>18</v>
      </c>
      <c r="F452" s="5">
        <v>1.7500000000000002E-2</v>
      </c>
      <c r="G452" s="5">
        <v>6.4333460000000002</v>
      </c>
      <c r="H452" s="5">
        <v>3.3E-3</v>
      </c>
      <c r="I452">
        <v>13</v>
      </c>
      <c r="J452" s="4" t="str">
        <f>IF(OR(Копия_20206[[#This Row],[Units (in 1000)]]&gt;$R$7,Копия_20206[[#This Row],[Units (in 1000)]]&lt;$R$6),"outlier","not outlier")</f>
        <v>not outlier</v>
      </c>
      <c r="K452" s="4" t="str">
        <f>IF(OR(Копия_20206[[#This Row],[Value (in 1000 rub)]]&gt;$S$7,Копия_20206[[#This Row],[Value (in 1000 rub)]]&lt;$S$6),"outlier","not outlier")</f>
        <v>not outlier</v>
      </c>
      <c r="L452" s="4" t="str">
        <f>IF(OR(Копия_20206[[#This Row],[Volume (in 1000 kg)]]&gt;$T$7,Копия_20206[[#This Row],[Volume (in 1000 kg)]]&lt;$T$6),"outlier","not outlier")</f>
        <v>not outlier</v>
      </c>
      <c r="M452" s="4" t="str">
        <f>IF(OR(Копия_20206[[#This Row],[Number of stores]]&gt;$U$7,Копия_20206[[#This Row],[Number of stores]]&lt;$U$6),"outlier","not outlier")</f>
        <v>not outlier</v>
      </c>
    </row>
    <row r="453" spans="1:13" x14ac:dyDescent="0.25">
      <c r="A453">
        <v>2020</v>
      </c>
      <c r="B453">
        <v>2</v>
      </c>
      <c r="C453" s="1" t="s">
        <v>29</v>
      </c>
      <c r="D453" s="1" t="s">
        <v>32</v>
      </c>
      <c r="E453" s="1" t="s">
        <v>12</v>
      </c>
      <c r="F453" s="5">
        <v>1.8029999999999999</v>
      </c>
      <c r="G453" s="5">
        <v>520.28328699999997</v>
      </c>
      <c r="H453" s="5">
        <v>0.72109999999999996</v>
      </c>
      <c r="I453">
        <v>238</v>
      </c>
      <c r="J453" s="4" t="str">
        <f>IF(OR(Копия_20206[[#This Row],[Units (in 1000)]]&gt;$R$7,Копия_20206[[#This Row],[Units (in 1000)]]&lt;$R$6),"outlier","not outlier")</f>
        <v>not outlier</v>
      </c>
      <c r="K453" s="4" t="str">
        <f>IF(OR(Копия_20206[[#This Row],[Value (in 1000 rub)]]&gt;$S$7,Копия_20206[[#This Row],[Value (in 1000 rub)]]&lt;$S$6),"outlier","not outlier")</f>
        <v>not outlier</v>
      </c>
      <c r="L453" s="4" t="str">
        <f>IF(OR(Копия_20206[[#This Row],[Volume (in 1000 kg)]]&gt;$T$7,Копия_20206[[#This Row],[Volume (in 1000 kg)]]&lt;$T$6),"outlier","not outlier")</f>
        <v>not outlier</v>
      </c>
      <c r="M453" s="4" t="str">
        <f>IF(OR(Копия_20206[[#This Row],[Number of stores]]&gt;$U$7,Копия_20206[[#This Row],[Number of stores]]&lt;$U$6),"outlier","not outlier")</f>
        <v>not outlier</v>
      </c>
    </row>
    <row r="454" spans="1:13" x14ac:dyDescent="0.25">
      <c r="A454">
        <v>2020</v>
      </c>
      <c r="B454">
        <v>3</v>
      </c>
      <c r="C454" s="1" t="s">
        <v>25</v>
      </c>
      <c r="D454" s="1" t="s">
        <v>32</v>
      </c>
      <c r="E454" s="1" t="s">
        <v>18</v>
      </c>
      <c r="F454" s="5">
        <v>5.7999999999999996E-3</v>
      </c>
      <c r="G454" s="5">
        <v>1.6053360000000001</v>
      </c>
      <c r="H454" s="5">
        <v>1.1000000000000001E-3</v>
      </c>
      <c r="I454">
        <v>0</v>
      </c>
      <c r="J454" s="4" t="str">
        <f>IF(OR(Копия_20206[[#This Row],[Units (in 1000)]]&gt;$R$7,Копия_20206[[#This Row],[Units (in 1000)]]&lt;$R$6),"outlier","not outlier")</f>
        <v>not outlier</v>
      </c>
      <c r="K454" s="4" t="str">
        <f>IF(OR(Копия_20206[[#This Row],[Value (in 1000 rub)]]&gt;$S$7,Копия_20206[[#This Row],[Value (in 1000 rub)]]&lt;$S$6),"outlier","not outlier")</f>
        <v>not outlier</v>
      </c>
      <c r="L454" s="4" t="str">
        <f>IF(OR(Копия_20206[[#This Row],[Volume (in 1000 kg)]]&gt;$T$7,Копия_20206[[#This Row],[Volume (in 1000 kg)]]&lt;$T$6),"outlier","not outlier")</f>
        <v>not outlier</v>
      </c>
      <c r="M454" s="4" t="str">
        <f>IF(OR(Копия_20206[[#This Row],[Number of stores]]&gt;$U$7,Копия_20206[[#This Row],[Number of stores]]&lt;$U$6),"outlier","not outlier")</f>
        <v>not outlier</v>
      </c>
    </row>
    <row r="455" spans="1:13" x14ac:dyDescent="0.25">
      <c r="A455">
        <v>2020</v>
      </c>
      <c r="B455">
        <v>3</v>
      </c>
      <c r="C455" s="1" t="s">
        <v>25</v>
      </c>
      <c r="D455" s="1" t="s">
        <v>32</v>
      </c>
      <c r="E455" s="1" t="s">
        <v>12</v>
      </c>
      <c r="F455" s="5">
        <v>0.30649999999999999</v>
      </c>
      <c r="G455" s="5">
        <v>93.23621</v>
      </c>
      <c r="H455" s="5">
        <v>0.1226</v>
      </c>
      <c r="I455">
        <v>0</v>
      </c>
      <c r="J455" s="4" t="str">
        <f>IF(OR(Копия_20206[[#This Row],[Units (in 1000)]]&gt;$R$7,Копия_20206[[#This Row],[Units (in 1000)]]&lt;$R$6),"outlier","not outlier")</f>
        <v>not outlier</v>
      </c>
      <c r="K455" s="4" t="str">
        <f>IF(OR(Копия_20206[[#This Row],[Value (in 1000 rub)]]&gt;$S$7,Копия_20206[[#This Row],[Value (in 1000 rub)]]&lt;$S$6),"outlier","not outlier")</f>
        <v>not outlier</v>
      </c>
      <c r="L455" s="4" t="str">
        <f>IF(OR(Копия_20206[[#This Row],[Volume (in 1000 kg)]]&gt;$T$7,Копия_20206[[#This Row],[Volume (in 1000 kg)]]&lt;$T$6),"outlier","not outlier")</f>
        <v>not outlier</v>
      </c>
      <c r="M455" s="4" t="str">
        <f>IF(OR(Копия_20206[[#This Row],[Number of stores]]&gt;$U$7,Копия_20206[[#This Row],[Number of stores]]&lt;$U$6),"outlier","not outlier")</f>
        <v>not outlier</v>
      </c>
    </row>
    <row r="456" spans="1:13" x14ac:dyDescent="0.25">
      <c r="A456">
        <v>2020</v>
      </c>
      <c r="B456">
        <v>3</v>
      </c>
      <c r="C456" s="1" t="s">
        <v>29</v>
      </c>
      <c r="D456" s="1" t="s">
        <v>32</v>
      </c>
      <c r="E456" s="1" t="s">
        <v>18</v>
      </c>
      <c r="F456" s="5">
        <v>3.2199999999999999E-2</v>
      </c>
      <c r="G456" s="5">
        <v>7.8845869999999998</v>
      </c>
      <c r="H456" s="5">
        <v>6.1000000000000004E-3</v>
      </c>
      <c r="I456">
        <v>21</v>
      </c>
      <c r="J456" s="4" t="str">
        <f>IF(OR(Копия_20206[[#This Row],[Units (in 1000)]]&gt;$R$7,Копия_20206[[#This Row],[Units (in 1000)]]&lt;$R$6),"outlier","not outlier")</f>
        <v>not outlier</v>
      </c>
      <c r="K456" s="4" t="str">
        <f>IF(OR(Копия_20206[[#This Row],[Value (in 1000 rub)]]&gt;$S$7,Копия_20206[[#This Row],[Value (in 1000 rub)]]&lt;$S$6),"outlier","not outlier")</f>
        <v>not outlier</v>
      </c>
      <c r="L456" s="4" t="str">
        <f>IF(OR(Копия_20206[[#This Row],[Volume (in 1000 kg)]]&gt;$T$7,Копия_20206[[#This Row],[Volume (in 1000 kg)]]&lt;$T$6),"outlier","not outlier")</f>
        <v>not outlier</v>
      </c>
      <c r="M456" s="4" t="str">
        <f>IF(OR(Копия_20206[[#This Row],[Number of stores]]&gt;$U$7,Копия_20206[[#This Row],[Number of stores]]&lt;$U$6),"outlier","not outlier")</f>
        <v>not outlier</v>
      </c>
    </row>
    <row r="457" spans="1:13" x14ac:dyDescent="0.25">
      <c r="A457">
        <v>2020</v>
      </c>
      <c r="B457">
        <v>3</v>
      </c>
      <c r="C457" s="1" t="s">
        <v>29</v>
      </c>
      <c r="D457" s="1" t="s">
        <v>32</v>
      </c>
      <c r="E457" s="1" t="s">
        <v>12</v>
      </c>
      <c r="F457" s="5">
        <v>2.1444999999999999</v>
      </c>
      <c r="G457" s="5">
        <v>603.62510699999996</v>
      </c>
      <c r="H457" s="5">
        <v>0.85770000000000002</v>
      </c>
      <c r="I457">
        <v>257</v>
      </c>
      <c r="J457" s="4" t="str">
        <f>IF(OR(Копия_20206[[#This Row],[Units (in 1000)]]&gt;$R$7,Копия_20206[[#This Row],[Units (in 1000)]]&lt;$R$6),"outlier","not outlier")</f>
        <v>not outlier</v>
      </c>
      <c r="K457" s="4" t="str">
        <f>IF(OR(Копия_20206[[#This Row],[Value (in 1000 rub)]]&gt;$S$7,Копия_20206[[#This Row],[Value (in 1000 rub)]]&lt;$S$6),"outlier","not outlier")</f>
        <v>not outlier</v>
      </c>
      <c r="L457" s="4" t="str">
        <f>IF(OR(Копия_20206[[#This Row],[Volume (in 1000 kg)]]&gt;$T$7,Копия_20206[[#This Row],[Volume (in 1000 kg)]]&lt;$T$6),"outlier","not outlier")</f>
        <v>not outlier</v>
      </c>
      <c r="M457" s="4" t="str">
        <f>IF(OR(Копия_20206[[#This Row],[Number of stores]]&gt;$U$7,Копия_20206[[#This Row],[Number of stores]]&lt;$U$6),"outlier","not outlier")</f>
        <v>not outlier</v>
      </c>
    </row>
    <row r="458" spans="1:13" x14ac:dyDescent="0.25">
      <c r="A458">
        <v>2020</v>
      </c>
      <c r="B458">
        <v>4</v>
      </c>
      <c r="C458" s="1" t="s">
        <v>29</v>
      </c>
      <c r="D458" s="1" t="s">
        <v>32</v>
      </c>
      <c r="E458" s="1" t="s">
        <v>18</v>
      </c>
      <c r="F458" s="5">
        <v>8.77E-2</v>
      </c>
      <c r="G458" s="5">
        <v>10.945539999999999</v>
      </c>
      <c r="H458" s="5">
        <v>1.66E-2</v>
      </c>
      <c r="I458">
        <v>28</v>
      </c>
      <c r="J458" s="4" t="str">
        <f>IF(OR(Копия_20206[[#This Row],[Units (in 1000)]]&gt;$R$7,Копия_20206[[#This Row],[Units (in 1000)]]&lt;$R$6),"outlier","not outlier")</f>
        <v>not outlier</v>
      </c>
      <c r="K458" s="4" t="str">
        <f>IF(OR(Копия_20206[[#This Row],[Value (in 1000 rub)]]&gt;$S$7,Копия_20206[[#This Row],[Value (in 1000 rub)]]&lt;$S$6),"outlier","not outlier")</f>
        <v>not outlier</v>
      </c>
      <c r="L458" s="4" t="str">
        <f>IF(OR(Копия_20206[[#This Row],[Volume (in 1000 kg)]]&gt;$T$7,Копия_20206[[#This Row],[Volume (in 1000 kg)]]&lt;$T$6),"outlier","not outlier")</f>
        <v>not outlier</v>
      </c>
      <c r="M458" s="4" t="str">
        <f>IF(OR(Копия_20206[[#This Row],[Number of stores]]&gt;$U$7,Копия_20206[[#This Row],[Number of stores]]&lt;$U$6),"outlier","not outlier")</f>
        <v>not outlier</v>
      </c>
    </row>
    <row r="459" spans="1:13" x14ac:dyDescent="0.25">
      <c r="A459">
        <v>2020</v>
      </c>
      <c r="B459">
        <v>4</v>
      </c>
      <c r="C459" s="1" t="s">
        <v>29</v>
      </c>
      <c r="D459" s="1" t="s">
        <v>32</v>
      </c>
      <c r="E459" s="1" t="s">
        <v>11</v>
      </c>
      <c r="F459" s="5">
        <v>6.9999999999999999E-4</v>
      </c>
      <c r="G459" s="5">
        <v>0.250637</v>
      </c>
      <c r="H459" s="5">
        <v>2.0000000000000001E-4</v>
      </c>
      <c r="I459">
        <v>1</v>
      </c>
      <c r="J459" s="4" t="str">
        <f>IF(OR(Копия_20206[[#This Row],[Units (in 1000)]]&gt;$R$7,Копия_20206[[#This Row],[Units (in 1000)]]&lt;$R$6),"outlier","not outlier")</f>
        <v>not outlier</v>
      </c>
      <c r="K459" s="4" t="str">
        <f>IF(OR(Копия_20206[[#This Row],[Value (in 1000 rub)]]&gt;$S$7,Копия_20206[[#This Row],[Value (in 1000 rub)]]&lt;$S$6),"outlier","not outlier")</f>
        <v>not outlier</v>
      </c>
      <c r="L459" s="4" t="str">
        <f>IF(OR(Копия_20206[[#This Row],[Volume (in 1000 kg)]]&gt;$T$7,Копия_20206[[#This Row],[Volume (in 1000 kg)]]&lt;$T$6),"outlier","not outlier")</f>
        <v>not outlier</v>
      </c>
      <c r="M459" s="4" t="str">
        <f>IF(OR(Копия_20206[[#This Row],[Number of stores]]&gt;$U$7,Копия_20206[[#This Row],[Number of stores]]&lt;$U$6),"outlier","not outlier")</f>
        <v>not outlier</v>
      </c>
    </row>
    <row r="460" spans="1:13" x14ac:dyDescent="0.25">
      <c r="A460">
        <v>2020</v>
      </c>
      <c r="B460">
        <v>4</v>
      </c>
      <c r="C460" s="1" t="s">
        <v>29</v>
      </c>
      <c r="D460" s="1" t="s">
        <v>32</v>
      </c>
      <c r="E460" s="1" t="s">
        <v>12</v>
      </c>
      <c r="F460" s="5">
        <v>1.7914000000000001</v>
      </c>
      <c r="G460" s="5">
        <v>455.09659900000003</v>
      </c>
      <c r="H460" s="5">
        <v>0.71660000000000001</v>
      </c>
      <c r="I460">
        <v>262</v>
      </c>
      <c r="J460" s="4" t="str">
        <f>IF(OR(Копия_20206[[#This Row],[Units (in 1000)]]&gt;$R$7,Копия_20206[[#This Row],[Units (in 1000)]]&lt;$R$6),"outlier","not outlier")</f>
        <v>not outlier</v>
      </c>
      <c r="K460" s="4" t="str">
        <f>IF(OR(Копия_20206[[#This Row],[Value (in 1000 rub)]]&gt;$S$7,Копия_20206[[#This Row],[Value (in 1000 rub)]]&lt;$S$6),"outlier","not outlier")</f>
        <v>not outlier</v>
      </c>
      <c r="L460" s="4" t="str">
        <f>IF(OR(Копия_20206[[#This Row],[Volume (in 1000 kg)]]&gt;$T$7,Копия_20206[[#This Row],[Volume (in 1000 kg)]]&lt;$T$6),"outlier","not outlier")</f>
        <v>not outlier</v>
      </c>
      <c r="M460" s="4" t="str">
        <f>IF(OR(Копия_20206[[#This Row],[Number of stores]]&gt;$U$7,Копия_20206[[#This Row],[Number of stores]]&lt;$U$6),"outlier","not outlier")</f>
        <v>not outlier</v>
      </c>
    </row>
    <row r="461" spans="1:13" x14ac:dyDescent="0.25">
      <c r="A461">
        <v>2020</v>
      </c>
      <c r="B461">
        <v>5</v>
      </c>
      <c r="C461" s="1" t="s">
        <v>29</v>
      </c>
      <c r="D461" s="1" t="s">
        <v>32</v>
      </c>
      <c r="E461" s="1" t="s">
        <v>18</v>
      </c>
      <c r="F461" s="5">
        <v>3.5700000000000003E-2</v>
      </c>
      <c r="G461" s="5">
        <v>5.7183679999999999</v>
      </c>
      <c r="H461" s="5">
        <v>6.7999999999999996E-3</v>
      </c>
      <c r="I461">
        <v>14</v>
      </c>
      <c r="J461" s="4" t="str">
        <f>IF(OR(Копия_20206[[#This Row],[Units (in 1000)]]&gt;$R$7,Копия_20206[[#This Row],[Units (in 1000)]]&lt;$R$6),"outlier","not outlier")</f>
        <v>not outlier</v>
      </c>
      <c r="K461" s="4" t="str">
        <f>IF(OR(Копия_20206[[#This Row],[Value (in 1000 rub)]]&gt;$S$7,Копия_20206[[#This Row],[Value (in 1000 rub)]]&lt;$S$6),"outlier","not outlier")</f>
        <v>not outlier</v>
      </c>
      <c r="L461" s="4" t="str">
        <f>IF(OR(Копия_20206[[#This Row],[Volume (in 1000 kg)]]&gt;$T$7,Копия_20206[[#This Row],[Volume (in 1000 kg)]]&lt;$T$6),"outlier","not outlier")</f>
        <v>not outlier</v>
      </c>
      <c r="M461" s="4" t="str">
        <f>IF(OR(Копия_20206[[#This Row],[Number of stores]]&gt;$U$7,Копия_20206[[#This Row],[Number of stores]]&lt;$U$6),"outlier","not outlier")</f>
        <v>not outlier</v>
      </c>
    </row>
    <row r="462" spans="1:13" x14ac:dyDescent="0.25">
      <c r="A462">
        <v>2020</v>
      </c>
      <c r="B462">
        <v>5</v>
      </c>
      <c r="C462" s="1" t="s">
        <v>29</v>
      </c>
      <c r="D462" s="1" t="s">
        <v>32</v>
      </c>
      <c r="E462" s="1" t="s">
        <v>12</v>
      </c>
      <c r="F462" s="5">
        <v>1.3731</v>
      </c>
      <c r="G462" s="5">
        <v>365.60741100000001</v>
      </c>
      <c r="H462" s="5">
        <v>0.54910000000000003</v>
      </c>
      <c r="I462">
        <v>202</v>
      </c>
      <c r="J462" s="4" t="str">
        <f>IF(OR(Копия_20206[[#This Row],[Units (in 1000)]]&gt;$R$7,Копия_20206[[#This Row],[Units (in 1000)]]&lt;$R$6),"outlier","not outlier")</f>
        <v>not outlier</v>
      </c>
      <c r="K462" s="4" t="str">
        <f>IF(OR(Копия_20206[[#This Row],[Value (in 1000 rub)]]&gt;$S$7,Копия_20206[[#This Row],[Value (in 1000 rub)]]&lt;$S$6),"outlier","not outlier")</f>
        <v>not outlier</v>
      </c>
      <c r="L462" s="4" t="str">
        <f>IF(OR(Копия_20206[[#This Row],[Volume (in 1000 kg)]]&gt;$T$7,Копия_20206[[#This Row],[Volume (in 1000 kg)]]&lt;$T$6),"outlier","not outlier")</f>
        <v>not outlier</v>
      </c>
      <c r="M462" s="4" t="str">
        <f>IF(OR(Копия_20206[[#This Row],[Number of stores]]&gt;$U$7,Копия_20206[[#This Row],[Number of stores]]&lt;$U$6),"outlier","not outlier")</f>
        <v>not outlier</v>
      </c>
    </row>
    <row r="463" spans="1:13" x14ac:dyDescent="0.25">
      <c r="A463">
        <v>2020</v>
      </c>
      <c r="B463">
        <v>6</v>
      </c>
      <c r="C463" s="1" t="s">
        <v>29</v>
      </c>
      <c r="D463" s="1" t="s">
        <v>32</v>
      </c>
      <c r="E463" s="1" t="s">
        <v>18</v>
      </c>
      <c r="F463" s="5">
        <v>1.35E-2</v>
      </c>
      <c r="G463" s="5">
        <v>3.2805589999999998</v>
      </c>
      <c r="H463" s="5">
        <v>2.5999999999999999E-3</v>
      </c>
      <c r="I463">
        <v>7</v>
      </c>
      <c r="J463" s="4" t="str">
        <f>IF(OR(Копия_20206[[#This Row],[Units (in 1000)]]&gt;$R$7,Копия_20206[[#This Row],[Units (in 1000)]]&lt;$R$6),"outlier","not outlier")</f>
        <v>not outlier</v>
      </c>
      <c r="K463" s="4" t="str">
        <f>IF(OR(Копия_20206[[#This Row],[Value (in 1000 rub)]]&gt;$S$7,Копия_20206[[#This Row],[Value (in 1000 rub)]]&lt;$S$6),"outlier","not outlier")</f>
        <v>not outlier</v>
      </c>
      <c r="L463" s="4" t="str">
        <f>IF(OR(Копия_20206[[#This Row],[Volume (in 1000 kg)]]&gt;$T$7,Копия_20206[[#This Row],[Volume (in 1000 kg)]]&lt;$T$6),"outlier","not outlier")</f>
        <v>not outlier</v>
      </c>
      <c r="M463" s="4" t="str">
        <f>IF(OR(Копия_20206[[#This Row],[Number of stores]]&gt;$U$7,Копия_20206[[#This Row],[Number of stores]]&lt;$U$6),"outlier","not outlier")</f>
        <v>not outlier</v>
      </c>
    </row>
    <row r="464" spans="1:13" x14ac:dyDescent="0.25">
      <c r="A464">
        <v>2020</v>
      </c>
      <c r="B464">
        <v>6</v>
      </c>
      <c r="C464" s="1" t="s">
        <v>29</v>
      </c>
      <c r="D464" s="1" t="s">
        <v>32</v>
      </c>
      <c r="E464" s="1" t="s">
        <v>12</v>
      </c>
      <c r="F464" s="5">
        <v>1.3282</v>
      </c>
      <c r="G464" s="5">
        <v>371.495588</v>
      </c>
      <c r="H464" s="5">
        <v>0.53129999999999999</v>
      </c>
      <c r="I464">
        <v>220</v>
      </c>
      <c r="J464" s="4" t="str">
        <f>IF(OR(Копия_20206[[#This Row],[Units (in 1000)]]&gt;$R$7,Копия_20206[[#This Row],[Units (in 1000)]]&lt;$R$6),"outlier","not outlier")</f>
        <v>not outlier</v>
      </c>
      <c r="K464" s="4" t="str">
        <f>IF(OR(Копия_20206[[#This Row],[Value (in 1000 rub)]]&gt;$S$7,Копия_20206[[#This Row],[Value (in 1000 rub)]]&lt;$S$6),"outlier","not outlier")</f>
        <v>not outlier</v>
      </c>
      <c r="L464" s="4" t="str">
        <f>IF(OR(Копия_20206[[#This Row],[Volume (in 1000 kg)]]&gt;$T$7,Копия_20206[[#This Row],[Volume (in 1000 kg)]]&lt;$T$6),"outlier","not outlier")</f>
        <v>not outlier</v>
      </c>
      <c r="M464" s="4" t="str">
        <f>IF(OR(Копия_20206[[#This Row],[Number of stores]]&gt;$U$7,Копия_20206[[#This Row],[Number of stores]]&lt;$U$6),"outlier","not outlier")</f>
        <v>not outlier</v>
      </c>
    </row>
    <row r="465" spans="1:13" x14ac:dyDescent="0.25">
      <c r="A465">
        <v>2020</v>
      </c>
      <c r="B465">
        <v>7</v>
      </c>
      <c r="C465" s="1" t="s">
        <v>25</v>
      </c>
      <c r="D465" s="1" t="s">
        <v>32</v>
      </c>
      <c r="E465" s="1" t="s">
        <v>18</v>
      </c>
      <c r="F465" s="5">
        <v>2.9899999999999999E-2</v>
      </c>
      <c r="G465" s="5">
        <v>10.112935</v>
      </c>
      <c r="H465" s="5">
        <v>5.7000000000000002E-3</v>
      </c>
      <c r="I465">
        <v>0</v>
      </c>
      <c r="J465" s="4" t="str">
        <f>IF(OR(Копия_20206[[#This Row],[Units (in 1000)]]&gt;$R$7,Копия_20206[[#This Row],[Units (in 1000)]]&lt;$R$6),"outlier","not outlier")</f>
        <v>not outlier</v>
      </c>
      <c r="K465" s="4" t="str">
        <f>IF(OR(Копия_20206[[#This Row],[Value (in 1000 rub)]]&gt;$S$7,Копия_20206[[#This Row],[Value (in 1000 rub)]]&lt;$S$6),"outlier","not outlier")</f>
        <v>not outlier</v>
      </c>
      <c r="L465" s="4" t="str">
        <f>IF(OR(Копия_20206[[#This Row],[Volume (in 1000 kg)]]&gt;$T$7,Копия_20206[[#This Row],[Volume (in 1000 kg)]]&lt;$T$6),"outlier","not outlier")</f>
        <v>not outlier</v>
      </c>
      <c r="M465" s="4" t="str">
        <f>IF(OR(Копия_20206[[#This Row],[Number of stores]]&gt;$U$7,Копия_20206[[#This Row],[Number of stores]]&lt;$U$6),"outlier","not outlier")</f>
        <v>not outlier</v>
      </c>
    </row>
    <row r="466" spans="1:13" x14ac:dyDescent="0.25">
      <c r="A466">
        <v>2020</v>
      </c>
      <c r="B466">
        <v>7</v>
      </c>
      <c r="C466" s="1" t="s">
        <v>25</v>
      </c>
      <c r="D466" s="1" t="s">
        <v>32</v>
      </c>
      <c r="E466" s="1" t="s">
        <v>12</v>
      </c>
      <c r="F466" s="5">
        <v>0.1454</v>
      </c>
      <c r="G466" s="5">
        <v>46.945756000000003</v>
      </c>
      <c r="H466" s="5">
        <v>5.8200000000000002E-2</v>
      </c>
      <c r="I466">
        <v>0</v>
      </c>
      <c r="J466" s="4" t="str">
        <f>IF(OR(Копия_20206[[#This Row],[Units (in 1000)]]&gt;$R$7,Копия_20206[[#This Row],[Units (in 1000)]]&lt;$R$6),"outlier","not outlier")</f>
        <v>not outlier</v>
      </c>
      <c r="K466" s="4" t="str">
        <f>IF(OR(Копия_20206[[#This Row],[Value (in 1000 rub)]]&gt;$S$7,Копия_20206[[#This Row],[Value (in 1000 rub)]]&lt;$S$6),"outlier","not outlier")</f>
        <v>not outlier</v>
      </c>
      <c r="L466" s="4" t="str">
        <f>IF(OR(Копия_20206[[#This Row],[Volume (in 1000 kg)]]&gt;$T$7,Копия_20206[[#This Row],[Volume (in 1000 kg)]]&lt;$T$6),"outlier","not outlier")</f>
        <v>not outlier</v>
      </c>
      <c r="M466" s="4" t="str">
        <f>IF(OR(Копия_20206[[#This Row],[Number of stores]]&gt;$U$7,Копия_20206[[#This Row],[Number of stores]]&lt;$U$6),"outlier","not outlier")</f>
        <v>not outlier</v>
      </c>
    </row>
    <row r="467" spans="1:13" x14ac:dyDescent="0.25">
      <c r="A467">
        <v>2020</v>
      </c>
      <c r="B467">
        <v>7</v>
      </c>
      <c r="C467" s="1" t="s">
        <v>29</v>
      </c>
      <c r="D467" s="1" t="s">
        <v>32</v>
      </c>
      <c r="E467" s="1" t="s">
        <v>18</v>
      </c>
      <c r="F467" s="5">
        <v>0.02</v>
      </c>
      <c r="G467" s="5">
        <v>3.3484560000000001</v>
      </c>
      <c r="H467" s="5">
        <v>3.8E-3</v>
      </c>
      <c r="I467">
        <v>7</v>
      </c>
      <c r="J467" s="4" t="str">
        <f>IF(OR(Копия_20206[[#This Row],[Units (in 1000)]]&gt;$R$7,Копия_20206[[#This Row],[Units (in 1000)]]&lt;$R$6),"outlier","not outlier")</f>
        <v>not outlier</v>
      </c>
      <c r="K467" s="4" t="str">
        <f>IF(OR(Копия_20206[[#This Row],[Value (in 1000 rub)]]&gt;$S$7,Копия_20206[[#This Row],[Value (in 1000 rub)]]&lt;$S$6),"outlier","not outlier")</f>
        <v>not outlier</v>
      </c>
      <c r="L467" s="4" t="str">
        <f>IF(OR(Копия_20206[[#This Row],[Volume (in 1000 kg)]]&gt;$T$7,Копия_20206[[#This Row],[Volume (in 1000 kg)]]&lt;$T$6),"outlier","not outlier")</f>
        <v>not outlier</v>
      </c>
      <c r="M467" s="4" t="str">
        <f>IF(OR(Копия_20206[[#This Row],[Number of stores]]&gt;$U$7,Копия_20206[[#This Row],[Number of stores]]&lt;$U$6),"outlier","not outlier")</f>
        <v>not outlier</v>
      </c>
    </row>
    <row r="468" spans="1:13" x14ac:dyDescent="0.25">
      <c r="A468">
        <v>2020</v>
      </c>
      <c r="B468">
        <v>7</v>
      </c>
      <c r="C468" s="1" t="s">
        <v>29</v>
      </c>
      <c r="D468" s="1" t="s">
        <v>32</v>
      </c>
      <c r="E468" s="1" t="s">
        <v>11</v>
      </c>
      <c r="F468" s="5">
        <v>6.9999999999999999E-4</v>
      </c>
      <c r="G468" s="5">
        <v>0.24201700000000001</v>
      </c>
      <c r="H468" s="5">
        <v>2.0000000000000001E-4</v>
      </c>
      <c r="I468">
        <v>1</v>
      </c>
      <c r="J468" s="4" t="str">
        <f>IF(OR(Копия_20206[[#This Row],[Units (in 1000)]]&gt;$R$7,Копия_20206[[#This Row],[Units (in 1000)]]&lt;$R$6),"outlier","not outlier")</f>
        <v>not outlier</v>
      </c>
      <c r="K468" s="4" t="str">
        <f>IF(OR(Копия_20206[[#This Row],[Value (in 1000 rub)]]&gt;$S$7,Копия_20206[[#This Row],[Value (in 1000 rub)]]&lt;$S$6),"outlier","not outlier")</f>
        <v>not outlier</v>
      </c>
      <c r="L468" s="4" t="str">
        <f>IF(OR(Копия_20206[[#This Row],[Volume (in 1000 kg)]]&gt;$T$7,Копия_20206[[#This Row],[Volume (in 1000 kg)]]&lt;$T$6),"outlier","not outlier")</f>
        <v>not outlier</v>
      </c>
      <c r="M468" s="4" t="str">
        <f>IF(OR(Копия_20206[[#This Row],[Number of stores]]&gt;$U$7,Копия_20206[[#This Row],[Number of stores]]&lt;$U$6),"outlier","not outlier")</f>
        <v>not outlier</v>
      </c>
    </row>
    <row r="469" spans="1:13" x14ac:dyDescent="0.25">
      <c r="A469">
        <v>2020</v>
      </c>
      <c r="B469">
        <v>7</v>
      </c>
      <c r="C469" s="1" t="s">
        <v>29</v>
      </c>
      <c r="D469" s="1" t="s">
        <v>32</v>
      </c>
      <c r="E469" s="1" t="s">
        <v>12</v>
      </c>
      <c r="F469" s="5">
        <v>1.3619000000000001</v>
      </c>
      <c r="G469" s="5">
        <v>374.90537799999998</v>
      </c>
      <c r="H469" s="5">
        <v>0.54479999999999995</v>
      </c>
      <c r="I469">
        <v>235</v>
      </c>
      <c r="J469" s="4" t="str">
        <f>IF(OR(Копия_20206[[#This Row],[Units (in 1000)]]&gt;$R$7,Копия_20206[[#This Row],[Units (in 1000)]]&lt;$R$6),"outlier","not outlier")</f>
        <v>not outlier</v>
      </c>
      <c r="K469" s="4" t="str">
        <f>IF(OR(Копия_20206[[#This Row],[Value (in 1000 rub)]]&gt;$S$7,Копия_20206[[#This Row],[Value (in 1000 rub)]]&lt;$S$6),"outlier","not outlier")</f>
        <v>not outlier</v>
      </c>
      <c r="L469" s="4" t="str">
        <f>IF(OR(Копия_20206[[#This Row],[Volume (in 1000 kg)]]&gt;$T$7,Копия_20206[[#This Row],[Volume (in 1000 kg)]]&lt;$T$6),"outlier","not outlier")</f>
        <v>not outlier</v>
      </c>
      <c r="M469" s="4" t="str">
        <f>IF(OR(Копия_20206[[#This Row],[Number of stores]]&gt;$U$7,Копия_20206[[#This Row],[Number of stores]]&lt;$U$6),"outlier","not outlier")</f>
        <v>not outlier</v>
      </c>
    </row>
    <row r="470" spans="1:13" x14ac:dyDescent="0.25">
      <c r="A470">
        <v>2020</v>
      </c>
      <c r="B470">
        <v>8</v>
      </c>
      <c r="C470" s="1" t="s">
        <v>25</v>
      </c>
      <c r="D470" s="1" t="s">
        <v>32</v>
      </c>
      <c r="E470" s="1" t="s">
        <v>18</v>
      </c>
      <c r="F470" s="5">
        <v>6.6500000000000004E-2</v>
      </c>
      <c r="G470" s="5">
        <v>22.486045000000001</v>
      </c>
      <c r="H470" s="5">
        <v>1.26E-2</v>
      </c>
      <c r="I470">
        <v>0</v>
      </c>
      <c r="J470" s="4" t="str">
        <f>IF(OR(Копия_20206[[#This Row],[Units (in 1000)]]&gt;$R$7,Копия_20206[[#This Row],[Units (in 1000)]]&lt;$R$6),"outlier","not outlier")</f>
        <v>not outlier</v>
      </c>
      <c r="K470" s="4" t="str">
        <f>IF(OR(Копия_20206[[#This Row],[Value (in 1000 rub)]]&gt;$S$7,Копия_20206[[#This Row],[Value (in 1000 rub)]]&lt;$S$6),"outlier","not outlier")</f>
        <v>not outlier</v>
      </c>
      <c r="L470" s="4" t="str">
        <f>IF(OR(Копия_20206[[#This Row],[Volume (in 1000 kg)]]&gt;$T$7,Копия_20206[[#This Row],[Volume (in 1000 kg)]]&lt;$T$6),"outlier","not outlier")</f>
        <v>not outlier</v>
      </c>
      <c r="M470" s="4" t="str">
        <f>IF(OR(Копия_20206[[#This Row],[Number of stores]]&gt;$U$7,Копия_20206[[#This Row],[Number of stores]]&lt;$U$6),"outlier","not outlier")</f>
        <v>not outlier</v>
      </c>
    </row>
    <row r="471" spans="1:13" x14ac:dyDescent="0.25">
      <c r="A471">
        <v>2020</v>
      </c>
      <c r="B471">
        <v>8</v>
      </c>
      <c r="C471" s="1" t="s">
        <v>25</v>
      </c>
      <c r="D471" s="1" t="s">
        <v>32</v>
      </c>
      <c r="E471" s="1" t="s">
        <v>12</v>
      </c>
      <c r="F471" s="5">
        <v>0.15840000000000001</v>
      </c>
      <c r="G471" s="5">
        <v>50.113329999999998</v>
      </c>
      <c r="H471" s="5">
        <v>6.3500000000000001E-2</v>
      </c>
      <c r="I471">
        <v>0</v>
      </c>
      <c r="J471" s="4" t="str">
        <f>IF(OR(Копия_20206[[#This Row],[Units (in 1000)]]&gt;$R$7,Копия_20206[[#This Row],[Units (in 1000)]]&lt;$R$6),"outlier","not outlier")</f>
        <v>not outlier</v>
      </c>
      <c r="K471" s="4" t="str">
        <f>IF(OR(Копия_20206[[#This Row],[Value (in 1000 rub)]]&gt;$S$7,Копия_20206[[#This Row],[Value (in 1000 rub)]]&lt;$S$6),"outlier","not outlier")</f>
        <v>not outlier</v>
      </c>
      <c r="L471" s="4" t="str">
        <f>IF(OR(Копия_20206[[#This Row],[Volume (in 1000 kg)]]&gt;$T$7,Копия_20206[[#This Row],[Volume (in 1000 kg)]]&lt;$T$6),"outlier","not outlier")</f>
        <v>not outlier</v>
      </c>
      <c r="M471" s="4" t="str">
        <f>IF(OR(Копия_20206[[#This Row],[Number of stores]]&gt;$U$7,Копия_20206[[#This Row],[Number of stores]]&lt;$U$6),"outlier","not outlier")</f>
        <v>not outlier</v>
      </c>
    </row>
    <row r="472" spans="1:13" x14ac:dyDescent="0.25">
      <c r="A472">
        <v>2020</v>
      </c>
      <c r="B472">
        <v>8</v>
      </c>
      <c r="C472" s="1" t="s">
        <v>29</v>
      </c>
      <c r="D472" s="1" t="s">
        <v>32</v>
      </c>
      <c r="E472" s="1" t="s">
        <v>18</v>
      </c>
      <c r="F472" s="5">
        <v>1.6400000000000001E-2</v>
      </c>
      <c r="G472" s="5">
        <v>2.9158759999999999</v>
      </c>
      <c r="H472" s="5">
        <v>3.0999999999999999E-3</v>
      </c>
      <c r="I472">
        <v>7</v>
      </c>
      <c r="J472" s="4" t="str">
        <f>IF(OR(Копия_20206[[#This Row],[Units (in 1000)]]&gt;$R$7,Копия_20206[[#This Row],[Units (in 1000)]]&lt;$R$6),"outlier","not outlier")</f>
        <v>not outlier</v>
      </c>
      <c r="K472" s="4" t="str">
        <f>IF(OR(Копия_20206[[#This Row],[Value (in 1000 rub)]]&gt;$S$7,Копия_20206[[#This Row],[Value (in 1000 rub)]]&lt;$S$6),"outlier","not outlier")</f>
        <v>not outlier</v>
      </c>
      <c r="L472" s="4" t="str">
        <f>IF(OR(Копия_20206[[#This Row],[Volume (in 1000 kg)]]&gt;$T$7,Копия_20206[[#This Row],[Volume (in 1000 kg)]]&lt;$T$6),"outlier","not outlier")</f>
        <v>not outlier</v>
      </c>
      <c r="M472" s="4" t="str">
        <f>IF(OR(Копия_20206[[#This Row],[Number of stores]]&gt;$U$7,Копия_20206[[#This Row],[Number of stores]]&lt;$U$6),"outlier","not outlier")</f>
        <v>not outlier</v>
      </c>
    </row>
    <row r="473" spans="1:13" x14ac:dyDescent="0.25">
      <c r="A473">
        <v>2020</v>
      </c>
      <c r="B473">
        <v>8</v>
      </c>
      <c r="C473" s="1" t="s">
        <v>29</v>
      </c>
      <c r="D473" s="1" t="s">
        <v>32</v>
      </c>
      <c r="E473" s="1" t="s">
        <v>11</v>
      </c>
      <c r="F473" s="5">
        <v>6.9999999999999999E-4</v>
      </c>
      <c r="G473" s="5">
        <v>0.183668</v>
      </c>
      <c r="H473" s="5">
        <v>2.0000000000000001E-4</v>
      </c>
      <c r="I473">
        <v>1</v>
      </c>
      <c r="J473" s="4" t="str">
        <f>IF(OR(Копия_20206[[#This Row],[Units (in 1000)]]&gt;$R$7,Копия_20206[[#This Row],[Units (in 1000)]]&lt;$R$6),"outlier","not outlier")</f>
        <v>not outlier</v>
      </c>
      <c r="K473" s="4" t="str">
        <f>IF(OR(Копия_20206[[#This Row],[Value (in 1000 rub)]]&gt;$S$7,Копия_20206[[#This Row],[Value (in 1000 rub)]]&lt;$S$6),"outlier","not outlier")</f>
        <v>not outlier</v>
      </c>
      <c r="L473" s="4" t="str">
        <f>IF(OR(Копия_20206[[#This Row],[Volume (in 1000 kg)]]&gt;$T$7,Копия_20206[[#This Row],[Volume (in 1000 kg)]]&lt;$T$6),"outlier","not outlier")</f>
        <v>not outlier</v>
      </c>
      <c r="M473" s="4" t="str">
        <f>IF(OR(Копия_20206[[#This Row],[Number of stores]]&gt;$U$7,Копия_20206[[#This Row],[Number of stores]]&lt;$U$6),"outlier","not outlier")</f>
        <v>not outlier</v>
      </c>
    </row>
    <row r="474" spans="1:13" x14ac:dyDescent="0.25">
      <c r="A474">
        <v>2020</v>
      </c>
      <c r="B474">
        <v>8</v>
      </c>
      <c r="C474" s="1" t="s">
        <v>29</v>
      </c>
      <c r="D474" s="1" t="s">
        <v>32</v>
      </c>
      <c r="E474" s="1" t="s">
        <v>12</v>
      </c>
      <c r="F474" s="5">
        <v>1.1977</v>
      </c>
      <c r="G474" s="5">
        <v>345.45659899999998</v>
      </c>
      <c r="H474" s="5">
        <v>0.47920000000000001</v>
      </c>
      <c r="I474">
        <v>201</v>
      </c>
      <c r="J474" s="4" t="str">
        <f>IF(OR(Копия_20206[[#This Row],[Units (in 1000)]]&gt;$R$7,Копия_20206[[#This Row],[Units (in 1000)]]&lt;$R$6),"outlier","not outlier")</f>
        <v>not outlier</v>
      </c>
      <c r="K474" s="4" t="str">
        <f>IF(OR(Копия_20206[[#This Row],[Value (in 1000 rub)]]&gt;$S$7,Копия_20206[[#This Row],[Value (in 1000 rub)]]&lt;$S$6),"outlier","not outlier")</f>
        <v>not outlier</v>
      </c>
      <c r="L474" s="4" t="str">
        <f>IF(OR(Копия_20206[[#This Row],[Volume (in 1000 kg)]]&gt;$T$7,Копия_20206[[#This Row],[Volume (in 1000 kg)]]&lt;$T$6),"outlier","not outlier")</f>
        <v>not outlier</v>
      </c>
      <c r="M474" s="4" t="str">
        <f>IF(OR(Копия_20206[[#This Row],[Number of stores]]&gt;$U$7,Копия_20206[[#This Row],[Number of stores]]&lt;$U$6),"outlier","not outlier")</f>
        <v>not outlier</v>
      </c>
    </row>
    <row r="475" spans="1:13" x14ac:dyDescent="0.25">
      <c r="A475">
        <v>2020</v>
      </c>
      <c r="B475">
        <v>9</v>
      </c>
      <c r="C475" s="1" t="s">
        <v>25</v>
      </c>
      <c r="D475" s="1" t="s">
        <v>32</v>
      </c>
      <c r="E475" s="1" t="s">
        <v>18</v>
      </c>
      <c r="F475" s="5">
        <v>6.2199999999999998E-2</v>
      </c>
      <c r="G475" s="5">
        <v>20.959745999999999</v>
      </c>
      <c r="H475" s="5">
        <v>1.18E-2</v>
      </c>
      <c r="I475">
        <v>73</v>
      </c>
      <c r="J475" s="4" t="str">
        <f>IF(OR(Копия_20206[[#This Row],[Units (in 1000)]]&gt;$R$7,Копия_20206[[#This Row],[Units (in 1000)]]&lt;$R$6),"outlier","not outlier")</f>
        <v>not outlier</v>
      </c>
      <c r="K475" s="4" t="str">
        <f>IF(OR(Копия_20206[[#This Row],[Value (in 1000 rub)]]&gt;$S$7,Копия_20206[[#This Row],[Value (in 1000 rub)]]&lt;$S$6),"outlier","not outlier")</f>
        <v>not outlier</v>
      </c>
      <c r="L475" s="4" t="str">
        <f>IF(OR(Копия_20206[[#This Row],[Volume (in 1000 kg)]]&gt;$T$7,Копия_20206[[#This Row],[Volume (in 1000 kg)]]&lt;$T$6),"outlier","not outlier")</f>
        <v>not outlier</v>
      </c>
      <c r="M475" s="4" t="str">
        <f>IF(OR(Копия_20206[[#This Row],[Number of stores]]&gt;$U$7,Копия_20206[[#This Row],[Number of stores]]&lt;$U$6),"outlier","not outlier")</f>
        <v>not outlier</v>
      </c>
    </row>
    <row r="476" spans="1:13" x14ac:dyDescent="0.25">
      <c r="A476">
        <v>2020</v>
      </c>
      <c r="B476">
        <v>9</v>
      </c>
      <c r="C476" s="1" t="s">
        <v>25</v>
      </c>
      <c r="D476" s="1" t="s">
        <v>32</v>
      </c>
      <c r="E476" s="1" t="s">
        <v>12</v>
      </c>
      <c r="F476" s="5">
        <v>0.17460000000000001</v>
      </c>
      <c r="G476" s="5">
        <v>59.082552</v>
      </c>
      <c r="H476" s="5">
        <v>6.9800000000000001E-2</v>
      </c>
      <c r="I476">
        <v>74</v>
      </c>
      <c r="J476" s="4" t="str">
        <f>IF(OR(Копия_20206[[#This Row],[Units (in 1000)]]&gt;$R$7,Копия_20206[[#This Row],[Units (in 1000)]]&lt;$R$6),"outlier","not outlier")</f>
        <v>not outlier</v>
      </c>
      <c r="K476" s="4" t="str">
        <f>IF(OR(Копия_20206[[#This Row],[Value (in 1000 rub)]]&gt;$S$7,Копия_20206[[#This Row],[Value (in 1000 rub)]]&lt;$S$6),"outlier","not outlier")</f>
        <v>not outlier</v>
      </c>
      <c r="L476" s="4" t="str">
        <f>IF(OR(Копия_20206[[#This Row],[Volume (in 1000 kg)]]&gt;$T$7,Копия_20206[[#This Row],[Volume (in 1000 kg)]]&lt;$T$6),"outlier","not outlier")</f>
        <v>not outlier</v>
      </c>
      <c r="M476" s="4" t="str">
        <f>IF(OR(Копия_20206[[#This Row],[Number of stores]]&gt;$U$7,Копия_20206[[#This Row],[Number of stores]]&lt;$U$6),"outlier","not outlier")</f>
        <v>not outlier</v>
      </c>
    </row>
    <row r="477" spans="1:13" x14ac:dyDescent="0.25">
      <c r="A477">
        <v>2020</v>
      </c>
      <c r="B477">
        <v>9</v>
      </c>
      <c r="C477" s="1" t="s">
        <v>29</v>
      </c>
      <c r="D477" s="1" t="s">
        <v>32</v>
      </c>
      <c r="E477" s="1" t="s">
        <v>18</v>
      </c>
      <c r="F477" s="5">
        <v>1.6299999999999999E-2</v>
      </c>
      <c r="G477" s="5">
        <v>2.0425580000000001</v>
      </c>
      <c r="H477" s="5">
        <v>3.0999999999999999E-3</v>
      </c>
      <c r="I477">
        <v>4</v>
      </c>
      <c r="J477" s="4" t="str">
        <f>IF(OR(Копия_20206[[#This Row],[Units (in 1000)]]&gt;$R$7,Копия_20206[[#This Row],[Units (in 1000)]]&lt;$R$6),"outlier","not outlier")</f>
        <v>not outlier</v>
      </c>
      <c r="K477" s="4" t="str">
        <f>IF(OR(Копия_20206[[#This Row],[Value (in 1000 rub)]]&gt;$S$7,Копия_20206[[#This Row],[Value (in 1000 rub)]]&lt;$S$6),"outlier","not outlier")</f>
        <v>not outlier</v>
      </c>
      <c r="L477" s="4" t="str">
        <f>IF(OR(Копия_20206[[#This Row],[Volume (in 1000 kg)]]&gt;$T$7,Копия_20206[[#This Row],[Volume (in 1000 kg)]]&lt;$T$6),"outlier","not outlier")</f>
        <v>not outlier</v>
      </c>
      <c r="M477" s="4" t="str">
        <f>IF(OR(Копия_20206[[#This Row],[Number of stores]]&gt;$U$7,Копия_20206[[#This Row],[Number of stores]]&lt;$U$6),"outlier","not outlier")</f>
        <v>not outlier</v>
      </c>
    </row>
    <row r="478" spans="1:13" x14ac:dyDescent="0.25">
      <c r="A478">
        <v>2020</v>
      </c>
      <c r="B478">
        <v>9</v>
      </c>
      <c r="C478" s="1" t="s">
        <v>29</v>
      </c>
      <c r="D478" s="1" t="s">
        <v>32</v>
      </c>
      <c r="E478" s="1" t="s">
        <v>11</v>
      </c>
      <c r="F478" s="5">
        <v>6.9999999999999999E-4</v>
      </c>
      <c r="G478" s="5">
        <v>0.25594099999999997</v>
      </c>
      <c r="H478" s="5">
        <v>2.0000000000000001E-4</v>
      </c>
      <c r="I478">
        <v>1</v>
      </c>
      <c r="J478" s="4" t="str">
        <f>IF(OR(Копия_20206[[#This Row],[Units (in 1000)]]&gt;$R$7,Копия_20206[[#This Row],[Units (in 1000)]]&lt;$R$6),"outlier","not outlier")</f>
        <v>not outlier</v>
      </c>
      <c r="K478" s="4" t="str">
        <f>IF(OR(Копия_20206[[#This Row],[Value (in 1000 rub)]]&gt;$S$7,Копия_20206[[#This Row],[Value (in 1000 rub)]]&lt;$S$6),"outlier","not outlier")</f>
        <v>not outlier</v>
      </c>
      <c r="L478" s="4" t="str">
        <f>IF(OR(Копия_20206[[#This Row],[Volume (in 1000 kg)]]&gt;$T$7,Копия_20206[[#This Row],[Volume (in 1000 kg)]]&lt;$T$6),"outlier","not outlier")</f>
        <v>not outlier</v>
      </c>
      <c r="M478" s="4" t="str">
        <f>IF(OR(Копия_20206[[#This Row],[Number of stores]]&gt;$U$7,Копия_20206[[#This Row],[Number of stores]]&lt;$U$6),"outlier","not outlier")</f>
        <v>not outlier</v>
      </c>
    </row>
    <row r="479" spans="1:13" x14ac:dyDescent="0.25">
      <c r="A479">
        <v>2020</v>
      </c>
      <c r="B479">
        <v>9</v>
      </c>
      <c r="C479" s="1" t="s">
        <v>29</v>
      </c>
      <c r="D479" s="1" t="s">
        <v>32</v>
      </c>
      <c r="E479" s="1" t="s">
        <v>12</v>
      </c>
      <c r="F479" s="5">
        <v>1.0472999999999999</v>
      </c>
      <c r="G479" s="5">
        <v>309.44093400000003</v>
      </c>
      <c r="H479" s="5">
        <v>0.41889999999999999</v>
      </c>
      <c r="I479">
        <v>170</v>
      </c>
      <c r="J479" s="4" t="str">
        <f>IF(OR(Копия_20206[[#This Row],[Units (in 1000)]]&gt;$R$7,Копия_20206[[#This Row],[Units (in 1000)]]&lt;$R$6),"outlier","not outlier")</f>
        <v>not outlier</v>
      </c>
      <c r="K479" s="4" t="str">
        <f>IF(OR(Копия_20206[[#This Row],[Value (in 1000 rub)]]&gt;$S$7,Копия_20206[[#This Row],[Value (in 1000 rub)]]&lt;$S$6),"outlier","not outlier")</f>
        <v>not outlier</v>
      </c>
      <c r="L479" s="4" t="str">
        <f>IF(OR(Копия_20206[[#This Row],[Volume (in 1000 kg)]]&gt;$T$7,Копия_20206[[#This Row],[Volume (in 1000 kg)]]&lt;$T$6),"outlier","not outlier")</f>
        <v>not outlier</v>
      </c>
      <c r="M479" s="4" t="str">
        <f>IF(OR(Копия_20206[[#This Row],[Number of stores]]&gt;$U$7,Копия_20206[[#This Row],[Number of stores]]&lt;$U$6),"outlier","not outlier")</f>
        <v>not outlier</v>
      </c>
    </row>
    <row r="480" spans="1:13" x14ac:dyDescent="0.25">
      <c r="A480">
        <v>2020</v>
      </c>
      <c r="B480">
        <v>10</v>
      </c>
      <c r="C480" s="1" t="s">
        <v>25</v>
      </c>
      <c r="D480" s="1" t="s">
        <v>32</v>
      </c>
      <c r="E480" s="1" t="s">
        <v>18</v>
      </c>
      <c r="F480" s="5">
        <v>6.3399999999999998E-2</v>
      </c>
      <c r="G480" s="5">
        <v>21.322638999999999</v>
      </c>
      <c r="H480" s="5">
        <v>1.21E-2</v>
      </c>
      <c r="I480">
        <v>0</v>
      </c>
      <c r="J480" s="4" t="str">
        <f>IF(OR(Копия_20206[[#This Row],[Units (in 1000)]]&gt;$R$7,Копия_20206[[#This Row],[Units (in 1000)]]&lt;$R$6),"outlier","not outlier")</f>
        <v>not outlier</v>
      </c>
      <c r="K480" s="4" t="str">
        <f>IF(OR(Копия_20206[[#This Row],[Value (in 1000 rub)]]&gt;$S$7,Копия_20206[[#This Row],[Value (in 1000 rub)]]&lt;$S$6),"outlier","not outlier")</f>
        <v>not outlier</v>
      </c>
      <c r="L480" s="4" t="str">
        <f>IF(OR(Копия_20206[[#This Row],[Volume (in 1000 kg)]]&gt;$T$7,Копия_20206[[#This Row],[Volume (in 1000 kg)]]&lt;$T$6),"outlier","not outlier")</f>
        <v>not outlier</v>
      </c>
      <c r="M480" s="4" t="str">
        <f>IF(OR(Копия_20206[[#This Row],[Number of stores]]&gt;$U$7,Копия_20206[[#This Row],[Number of stores]]&lt;$U$6),"outlier","not outlier")</f>
        <v>not outlier</v>
      </c>
    </row>
    <row r="481" spans="1:13" x14ac:dyDescent="0.25">
      <c r="A481">
        <v>2020</v>
      </c>
      <c r="B481">
        <v>10</v>
      </c>
      <c r="C481" s="1" t="s">
        <v>25</v>
      </c>
      <c r="D481" s="1" t="s">
        <v>32</v>
      </c>
      <c r="E481" s="1" t="s">
        <v>12</v>
      </c>
      <c r="F481" s="5">
        <v>0.18809999999999999</v>
      </c>
      <c r="G481" s="5">
        <v>65.471207000000007</v>
      </c>
      <c r="H481" s="5">
        <v>7.5300000000000006E-2</v>
      </c>
      <c r="I481">
        <v>0</v>
      </c>
      <c r="J481" s="4" t="str">
        <f>IF(OR(Копия_20206[[#This Row],[Units (in 1000)]]&gt;$R$7,Копия_20206[[#This Row],[Units (in 1000)]]&lt;$R$6),"outlier","not outlier")</f>
        <v>not outlier</v>
      </c>
      <c r="K481" s="4" t="str">
        <f>IF(OR(Копия_20206[[#This Row],[Value (in 1000 rub)]]&gt;$S$7,Копия_20206[[#This Row],[Value (in 1000 rub)]]&lt;$S$6),"outlier","not outlier")</f>
        <v>not outlier</v>
      </c>
      <c r="L481" s="4" t="str">
        <f>IF(OR(Копия_20206[[#This Row],[Volume (in 1000 kg)]]&gt;$T$7,Копия_20206[[#This Row],[Volume (in 1000 kg)]]&lt;$T$6),"outlier","not outlier")</f>
        <v>not outlier</v>
      </c>
      <c r="M481" s="4" t="str">
        <f>IF(OR(Копия_20206[[#This Row],[Number of stores]]&gt;$U$7,Копия_20206[[#This Row],[Number of stores]]&lt;$U$6),"outlier","not outlier")</f>
        <v>not outlier</v>
      </c>
    </row>
    <row r="482" spans="1:13" x14ac:dyDescent="0.25">
      <c r="A482">
        <v>2020</v>
      </c>
      <c r="B482">
        <v>10</v>
      </c>
      <c r="C482" s="1" t="s">
        <v>29</v>
      </c>
      <c r="D482" s="1" t="s">
        <v>32</v>
      </c>
      <c r="E482" s="1" t="s">
        <v>18</v>
      </c>
      <c r="F482" s="5">
        <v>2.7000000000000001E-3</v>
      </c>
      <c r="G482" s="5">
        <v>0.56320400000000004</v>
      </c>
      <c r="H482" s="5">
        <v>5.0000000000000001E-4</v>
      </c>
      <c r="I482">
        <v>4</v>
      </c>
      <c r="J482" s="4" t="str">
        <f>IF(OR(Копия_20206[[#This Row],[Units (in 1000)]]&gt;$R$7,Копия_20206[[#This Row],[Units (in 1000)]]&lt;$R$6),"outlier","not outlier")</f>
        <v>not outlier</v>
      </c>
      <c r="K482" s="4" t="str">
        <f>IF(OR(Копия_20206[[#This Row],[Value (in 1000 rub)]]&gt;$S$7,Копия_20206[[#This Row],[Value (in 1000 rub)]]&lt;$S$6),"outlier","not outlier")</f>
        <v>not outlier</v>
      </c>
      <c r="L482" s="4" t="str">
        <f>IF(OR(Копия_20206[[#This Row],[Volume (in 1000 kg)]]&gt;$T$7,Копия_20206[[#This Row],[Volume (in 1000 kg)]]&lt;$T$6),"outlier","not outlier")</f>
        <v>not outlier</v>
      </c>
      <c r="M482" s="4" t="str">
        <f>IF(OR(Копия_20206[[#This Row],[Number of stores]]&gt;$U$7,Копия_20206[[#This Row],[Number of stores]]&lt;$U$6),"outlier","not outlier")</f>
        <v>not outlier</v>
      </c>
    </row>
    <row r="483" spans="1:13" x14ac:dyDescent="0.25">
      <c r="A483">
        <v>2020</v>
      </c>
      <c r="B483">
        <v>10</v>
      </c>
      <c r="C483" s="1" t="s">
        <v>29</v>
      </c>
      <c r="D483" s="1" t="s">
        <v>32</v>
      </c>
      <c r="E483" s="1" t="s">
        <v>11</v>
      </c>
      <c r="F483" s="5">
        <v>3.3E-3</v>
      </c>
      <c r="G483" s="5">
        <v>1.2797069999999999</v>
      </c>
      <c r="H483" s="5">
        <v>1.1999999999999999E-3</v>
      </c>
      <c r="I483">
        <v>2</v>
      </c>
      <c r="J483" s="4" t="str">
        <f>IF(OR(Копия_20206[[#This Row],[Units (in 1000)]]&gt;$R$7,Копия_20206[[#This Row],[Units (in 1000)]]&lt;$R$6),"outlier","not outlier")</f>
        <v>not outlier</v>
      </c>
      <c r="K483" s="4" t="str">
        <f>IF(OR(Копия_20206[[#This Row],[Value (in 1000 rub)]]&gt;$S$7,Копия_20206[[#This Row],[Value (in 1000 rub)]]&lt;$S$6),"outlier","not outlier")</f>
        <v>not outlier</v>
      </c>
      <c r="L483" s="4" t="str">
        <f>IF(OR(Копия_20206[[#This Row],[Volume (in 1000 kg)]]&gt;$T$7,Копия_20206[[#This Row],[Volume (in 1000 kg)]]&lt;$T$6),"outlier","not outlier")</f>
        <v>not outlier</v>
      </c>
      <c r="M483" s="4" t="str">
        <f>IF(OR(Копия_20206[[#This Row],[Number of stores]]&gt;$U$7,Копия_20206[[#This Row],[Number of stores]]&lt;$U$6),"outlier","not outlier")</f>
        <v>not outlier</v>
      </c>
    </row>
    <row r="484" spans="1:13" x14ac:dyDescent="0.25">
      <c r="A484">
        <v>2020</v>
      </c>
      <c r="B484">
        <v>10</v>
      </c>
      <c r="C484" s="1" t="s">
        <v>29</v>
      </c>
      <c r="D484" s="1" t="s">
        <v>32</v>
      </c>
      <c r="E484" s="1" t="s">
        <v>12</v>
      </c>
      <c r="F484" s="5">
        <v>1.0028999999999999</v>
      </c>
      <c r="G484" s="5">
        <v>318.321438</v>
      </c>
      <c r="H484" s="5">
        <v>0.40129999999999999</v>
      </c>
      <c r="I484">
        <v>151</v>
      </c>
      <c r="J484" s="4" t="str">
        <f>IF(OR(Копия_20206[[#This Row],[Units (in 1000)]]&gt;$R$7,Копия_20206[[#This Row],[Units (in 1000)]]&lt;$R$6),"outlier","not outlier")</f>
        <v>not outlier</v>
      </c>
      <c r="K484" s="4" t="str">
        <f>IF(OR(Копия_20206[[#This Row],[Value (in 1000 rub)]]&gt;$S$7,Копия_20206[[#This Row],[Value (in 1000 rub)]]&lt;$S$6),"outlier","not outlier")</f>
        <v>not outlier</v>
      </c>
      <c r="L484" s="4" t="str">
        <f>IF(OR(Копия_20206[[#This Row],[Volume (in 1000 kg)]]&gt;$T$7,Копия_20206[[#This Row],[Volume (in 1000 kg)]]&lt;$T$6),"outlier","not outlier")</f>
        <v>not outlier</v>
      </c>
      <c r="M484" s="4" t="str">
        <f>IF(OR(Копия_20206[[#This Row],[Number of stores]]&gt;$U$7,Копия_20206[[#This Row],[Number of stores]]&lt;$U$6),"outlier","not outlier")</f>
        <v>not outlier</v>
      </c>
    </row>
    <row r="485" spans="1:13" x14ac:dyDescent="0.25">
      <c r="A485">
        <v>2020</v>
      </c>
      <c r="B485">
        <v>11</v>
      </c>
      <c r="C485" s="1" t="s">
        <v>25</v>
      </c>
      <c r="D485" s="1" t="s">
        <v>32</v>
      </c>
      <c r="E485" s="1" t="s">
        <v>18</v>
      </c>
      <c r="F485" s="5">
        <v>9.2499999999999999E-2</v>
      </c>
      <c r="G485" s="5">
        <v>30.896571999999999</v>
      </c>
      <c r="H485" s="5">
        <v>1.7600000000000001E-2</v>
      </c>
      <c r="I485">
        <v>0</v>
      </c>
      <c r="J485" s="4" t="str">
        <f>IF(OR(Копия_20206[[#This Row],[Units (in 1000)]]&gt;$R$7,Копия_20206[[#This Row],[Units (in 1000)]]&lt;$R$6),"outlier","not outlier")</f>
        <v>not outlier</v>
      </c>
      <c r="K485" s="4" t="str">
        <f>IF(OR(Копия_20206[[#This Row],[Value (in 1000 rub)]]&gt;$S$7,Копия_20206[[#This Row],[Value (in 1000 rub)]]&lt;$S$6),"outlier","not outlier")</f>
        <v>not outlier</v>
      </c>
      <c r="L485" s="4" t="str">
        <f>IF(OR(Копия_20206[[#This Row],[Volume (in 1000 kg)]]&gt;$T$7,Копия_20206[[#This Row],[Volume (in 1000 kg)]]&lt;$T$6),"outlier","not outlier")</f>
        <v>not outlier</v>
      </c>
      <c r="M485" s="4" t="str">
        <f>IF(OR(Копия_20206[[#This Row],[Number of stores]]&gt;$U$7,Копия_20206[[#This Row],[Number of stores]]&lt;$U$6),"outlier","not outlier")</f>
        <v>not outlier</v>
      </c>
    </row>
    <row r="486" spans="1:13" x14ac:dyDescent="0.25">
      <c r="A486">
        <v>2020</v>
      </c>
      <c r="B486">
        <v>11</v>
      </c>
      <c r="C486" s="1" t="s">
        <v>25</v>
      </c>
      <c r="D486" s="1" t="s">
        <v>32</v>
      </c>
      <c r="E486" s="1" t="s">
        <v>12</v>
      </c>
      <c r="F486" s="5">
        <v>0.31979999999999997</v>
      </c>
      <c r="G486" s="5">
        <v>103.77124999999999</v>
      </c>
      <c r="H486" s="5">
        <v>0.128</v>
      </c>
      <c r="I486">
        <v>0</v>
      </c>
      <c r="J486" s="4" t="str">
        <f>IF(OR(Копия_20206[[#This Row],[Units (in 1000)]]&gt;$R$7,Копия_20206[[#This Row],[Units (in 1000)]]&lt;$R$6),"outlier","not outlier")</f>
        <v>not outlier</v>
      </c>
      <c r="K486" s="4" t="str">
        <f>IF(OR(Копия_20206[[#This Row],[Value (in 1000 rub)]]&gt;$S$7,Копия_20206[[#This Row],[Value (in 1000 rub)]]&lt;$S$6),"outlier","not outlier")</f>
        <v>not outlier</v>
      </c>
      <c r="L486" s="4" t="str">
        <f>IF(OR(Копия_20206[[#This Row],[Volume (in 1000 kg)]]&gt;$T$7,Копия_20206[[#This Row],[Volume (in 1000 kg)]]&lt;$T$6),"outlier","not outlier")</f>
        <v>not outlier</v>
      </c>
      <c r="M486" s="4" t="str">
        <f>IF(OR(Копия_20206[[#This Row],[Number of stores]]&gt;$U$7,Копия_20206[[#This Row],[Number of stores]]&lt;$U$6),"outlier","not outlier")</f>
        <v>not outlier</v>
      </c>
    </row>
    <row r="487" spans="1:13" x14ac:dyDescent="0.25">
      <c r="A487">
        <v>2020</v>
      </c>
      <c r="B487">
        <v>11</v>
      </c>
      <c r="C487" s="1" t="s">
        <v>29</v>
      </c>
      <c r="D487" s="1" t="s">
        <v>32</v>
      </c>
      <c r="E487" s="1" t="s">
        <v>18</v>
      </c>
      <c r="F487" s="5">
        <v>6.9999999999999999E-4</v>
      </c>
      <c r="G487" s="5">
        <v>0.24201700000000001</v>
      </c>
      <c r="H487" s="5">
        <v>1E-4</v>
      </c>
      <c r="I487">
        <v>2</v>
      </c>
      <c r="J487" s="4" t="str">
        <f>IF(OR(Копия_20206[[#This Row],[Units (in 1000)]]&gt;$R$7,Копия_20206[[#This Row],[Units (in 1000)]]&lt;$R$6),"outlier","not outlier")</f>
        <v>not outlier</v>
      </c>
      <c r="K487" s="4" t="str">
        <f>IF(OR(Копия_20206[[#This Row],[Value (in 1000 rub)]]&gt;$S$7,Копия_20206[[#This Row],[Value (in 1000 rub)]]&lt;$S$6),"outlier","not outlier")</f>
        <v>not outlier</v>
      </c>
      <c r="L487" s="4" t="str">
        <f>IF(OR(Копия_20206[[#This Row],[Volume (in 1000 kg)]]&gt;$T$7,Копия_20206[[#This Row],[Volume (in 1000 kg)]]&lt;$T$6),"outlier","not outlier")</f>
        <v>not outlier</v>
      </c>
      <c r="M487" s="4" t="str">
        <f>IF(OR(Копия_20206[[#This Row],[Number of stores]]&gt;$U$7,Копия_20206[[#This Row],[Number of stores]]&lt;$U$6),"outlier","not outlier")</f>
        <v>not outlier</v>
      </c>
    </row>
    <row r="488" spans="1:13" x14ac:dyDescent="0.25">
      <c r="A488">
        <v>2020</v>
      </c>
      <c r="B488">
        <v>11</v>
      </c>
      <c r="C488" s="1" t="s">
        <v>29</v>
      </c>
      <c r="D488" s="1" t="s">
        <v>32</v>
      </c>
      <c r="E488" s="1" t="s">
        <v>11</v>
      </c>
      <c r="F488" s="5">
        <v>1.8E-3</v>
      </c>
      <c r="G488" s="5">
        <v>0.694689</v>
      </c>
      <c r="H488" s="5">
        <v>5.9999999999999995E-4</v>
      </c>
      <c r="I488">
        <v>1</v>
      </c>
      <c r="J488" s="4" t="str">
        <f>IF(OR(Копия_20206[[#This Row],[Units (in 1000)]]&gt;$R$7,Копия_20206[[#This Row],[Units (in 1000)]]&lt;$R$6),"outlier","not outlier")</f>
        <v>not outlier</v>
      </c>
      <c r="K488" s="4" t="str">
        <f>IF(OR(Копия_20206[[#This Row],[Value (in 1000 rub)]]&gt;$S$7,Копия_20206[[#This Row],[Value (in 1000 rub)]]&lt;$S$6),"outlier","not outlier")</f>
        <v>not outlier</v>
      </c>
      <c r="L488" s="4" t="str">
        <f>IF(OR(Копия_20206[[#This Row],[Volume (in 1000 kg)]]&gt;$T$7,Копия_20206[[#This Row],[Volume (in 1000 kg)]]&lt;$T$6),"outlier","not outlier")</f>
        <v>not outlier</v>
      </c>
      <c r="M488" s="4" t="str">
        <f>IF(OR(Копия_20206[[#This Row],[Number of stores]]&gt;$U$7,Копия_20206[[#This Row],[Number of stores]]&lt;$U$6),"outlier","not outlier")</f>
        <v>not outlier</v>
      </c>
    </row>
    <row r="489" spans="1:13" x14ac:dyDescent="0.25">
      <c r="A489">
        <v>2020</v>
      </c>
      <c r="B489">
        <v>11</v>
      </c>
      <c r="C489" s="1" t="s">
        <v>29</v>
      </c>
      <c r="D489" s="1" t="s">
        <v>32</v>
      </c>
      <c r="E489" s="1" t="s">
        <v>12</v>
      </c>
      <c r="F489" s="5">
        <v>0.9728</v>
      </c>
      <c r="G489" s="5">
        <v>287.26506799999999</v>
      </c>
      <c r="H489" s="5">
        <v>0.38919999999999999</v>
      </c>
      <c r="I489">
        <v>150</v>
      </c>
      <c r="J489" s="4" t="str">
        <f>IF(OR(Копия_20206[[#This Row],[Units (in 1000)]]&gt;$R$7,Копия_20206[[#This Row],[Units (in 1000)]]&lt;$R$6),"outlier","not outlier")</f>
        <v>not outlier</v>
      </c>
      <c r="K489" s="4" t="str">
        <f>IF(OR(Копия_20206[[#This Row],[Value (in 1000 rub)]]&gt;$S$7,Копия_20206[[#This Row],[Value (in 1000 rub)]]&lt;$S$6),"outlier","not outlier")</f>
        <v>not outlier</v>
      </c>
      <c r="L489" s="4" t="str">
        <f>IF(OR(Копия_20206[[#This Row],[Volume (in 1000 kg)]]&gt;$T$7,Копия_20206[[#This Row],[Volume (in 1000 kg)]]&lt;$T$6),"outlier","not outlier")</f>
        <v>not outlier</v>
      </c>
      <c r="M489" s="4" t="str">
        <f>IF(OR(Копия_20206[[#This Row],[Number of stores]]&gt;$U$7,Копия_20206[[#This Row],[Number of stores]]&lt;$U$6),"outlier","not outlier")</f>
        <v>not outlier</v>
      </c>
    </row>
    <row r="490" spans="1:13" x14ac:dyDescent="0.25">
      <c r="A490">
        <v>2020</v>
      </c>
      <c r="B490">
        <v>12</v>
      </c>
      <c r="C490" s="1" t="s">
        <v>29</v>
      </c>
      <c r="D490" s="1" t="s">
        <v>32</v>
      </c>
      <c r="E490" s="1" t="s">
        <v>11</v>
      </c>
      <c r="F490" s="5">
        <v>2.0000000000000001E-4</v>
      </c>
      <c r="G490" s="5">
        <v>7.3136000000000007E-2</v>
      </c>
      <c r="H490" s="5">
        <v>1E-4</v>
      </c>
      <c r="I490">
        <v>1</v>
      </c>
      <c r="J490" s="4" t="str">
        <f>IF(OR(Копия_20206[[#This Row],[Units (in 1000)]]&gt;$R$7,Копия_20206[[#This Row],[Units (in 1000)]]&lt;$R$6),"outlier","not outlier")</f>
        <v>not outlier</v>
      </c>
      <c r="K490" s="4" t="str">
        <f>IF(OR(Копия_20206[[#This Row],[Value (in 1000 rub)]]&gt;$S$7,Копия_20206[[#This Row],[Value (in 1000 rub)]]&lt;$S$6),"outlier","not outlier")</f>
        <v>not outlier</v>
      </c>
      <c r="L490" s="4" t="str">
        <f>IF(OR(Копия_20206[[#This Row],[Volume (in 1000 kg)]]&gt;$T$7,Копия_20206[[#This Row],[Volume (in 1000 kg)]]&lt;$T$6),"outlier","not outlier")</f>
        <v>not outlier</v>
      </c>
      <c r="M490" s="4" t="str">
        <f>IF(OR(Копия_20206[[#This Row],[Number of stores]]&gt;$U$7,Копия_20206[[#This Row],[Number of stores]]&lt;$U$6),"outlier","not outlier")</f>
        <v>not outlier</v>
      </c>
    </row>
    <row r="491" spans="1:13" x14ac:dyDescent="0.25">
      <c r="A491">
        <v>2020</v>
      </c>
      <c r="B491">
        <v>12</v>
      </c>
      <c r="C491" s="1" t="s">
        <v>29</v>
      </c>
      <c r="D491" s="1" t="s">
        <v>32</v>
      </c>
      <c r="E491" s="1" t="s">
        <v>12</v>
      </c>
      <c r="F491" s="5">
        <v>0.62039999999999995</v>
      </c>
      <c r="G491" s="5">
        <v>191.647874</v>
      </c>
      <c r="H491" s="5">
        <v>0.24809999999999999</v>
      </c>
      <c r="I491">
        <v>124</v>
      </c>
      <c r="J491" s="4" t="str">
        <f>IF(OR(Копия_20206[[#This Row],[Units (in 1000)]]&gt;$R$7,Копия_20206[[#This Row],[Units (in 1000)]]&lt;$R$6),"outlier","not outlier")</f>
        <v>not outlier</v>
      </c>
      <c r="K491" s="4" t="str">
        <f>IF(OR(Копия_20206[[#This Row],[Value (in 1000 rub)]]&gt;$S$7,Копия_20206[[#This Row],[Value (in 1000 rub)]]&lt;$S$6),"outlier","not outlier")</f>
        <v>not outlier</v>
      </c>
      <c r="L491" s="4" t="str">
        <f>IF(OR(Копия_20206[[#This Row],[Volume (in 1000 kg)]]&gt;$T$7,Копия_20206[[#This Row],[Volume (in 1000 kg)]]&lt;$T$6),"outlier","not outlier")</f>
        <v>not outlier</v>
      </c>
      <c r="M491" s="4" t="str">
        <f>IF(OR(Копия_20206[[#This Row],[Number of stores]]&gt;$U$7,Копия_20206[[#This Row],[Number of stores]]&lt;$U$6),"outlier","not outlier")</f>
        <v>not outlier</v>
      </c>
    </row>
    <row r="492" spans="1:13" x14ac:dyDescent="0.25">
      <c r="A492">
        <v>2020</v>
      </c>
      <c r="B492">
        <v>1</v>
      </c>
      <c r="C492" s="1" t="s">
        <v>25</v>
      </c>
      <c r="D492" s="1" t="s">
        <v>54</v>
      </c>
      <c r="E492" s="1" t="s">
        <v>21</v>
      </c>
      <c r="F492" s="5">
        <v>1.0783</v>
      </c>
      <c r="G492" s="5">
        <v>51.908766</v>
      </c>
      <c r="H492" s="5">
        <v>0.30199999999999999</v>
      </c>
      <c r="I492">
        <v>613</v>
      </c>
      <c r="J492" s="4" t="str">
        <f>IF(OR(Копия_20206[[#This Row],[Units (in 1000)]]&gt;$R$7,Копия_20206[[#This Row],[Units (in 1000)]]&lt;$R$6),"outlier","not outlier")</f>
        <v>not outlier</v>
      </c>
      <c r="K492" s="4" t="str">
        <f>IF(OR(Копия_20206[[#This Row],[Value (in 1000 rub)]]&gt;$S$7,Копия_20206[[#This Row],[Value (in 1000 rub)]]&lt;$S$6),"outlier","not outlier")</f>
        <v>not outlier</v>
      </c>
      <c r="L492" s="4" t="str">
        <f>IF(OR(Копия_20206[[#This Row],[Volume (in 1000 kg)]]&gt;$T$7,Копия_20206[[#This Row],[Volume (in 1000 kg)]]&lt;$T$6),"outlier","not outlier")</f>
        <v>not outlier</v>
      </c>
      <c r="M492" s="4" t="str">
        <f>IF(OR(Копия_20206[[#This Row],[Number of stores]]&gt;$U$7,Копия_20206[[#This Row],[Number of stores]]&lt;$U$6),"outlier","not outlier")</f>
        <v>not outlier</v>
      </c>
    </row>
    <row r="493" spans="1:13" x14ac:dyDescent="0.25">
      <c r="A493">
        <v>2020</v>
      </c>
      <c r="B493">
        <v>6</v>
      </c>
      <c r="C493" s="1" t="s">
        <v>25</v>
      </c>
      <c r="D493" s="1" t="s">
        <v>54</v>
      </c>
      <c r="E493" s="1" t="s">
        <v>21</v>
      </c>
      <c r="F493" s="5">
        <v>1.0837000000000001</v>
      </c>
      <c r="G493" s="5">
        <v>49.519426000000003</v>
      </c>
      <c r="H493" s="5">
        <v>0.3034</v>
      </c>
      <c r="I493">
        <v>701</v>
      </c>
      <c r="J493" s="4" t="str">
        <f>IF(OR(Копия_20206[[#This Row],[Units (in 1000)]]&gt;$R$7,Копия_20206[[#This Row],[Units (in 1000)]]&lt;$R$6),"outlier","not outlier")</f>
        <v>not outlier</v>
      </c>
      <c r="K493" s="4" t="str">
        <f>IF(OR(Копия_20206[[#This Row],[Value (in 1000 rub)]]&gt;$S$7,Копия_20206[[#This Row],[Value (in 1000 rub)]]&lt;$S$6),"outlier","not outlier")</f>
        <v>not outlier</v>
      </c>
      <c r="L493" s="4" t="str">
        <f>IF(OR(Копия_20206[[#This Row],[Volume (in 1000 kg)]]&gt;$T$7,Копия_20206[[#This Row],[Volume (in 1000 kg)]]&lt;$T$6),"outlier","not outlier")</f>
        <v>not outlier</v>
      </c>
      <c r="M493" s="4" t="str">
        <f>IF(OR(Копия_20206[[#This Row],[Number of stores]]&gt;$U$7,Копия_20206[[#This Row],[Number of stores]]&lt;$U$6),"outlier","not outlier")</f>
        <v>not outlier</v>
      </c>
    </row>
    <row r="494" spans="1:13" x14ac:dyDescent="0.25">
      <c r="A494">
        <v>2020</v>
      </c>
      <c r="B494">
        <v>9</v>
      </c>
      <c r="C494" s="1" t="s">
        <v>25</v>
      </c>
      <c r="D494" s="1" t="s">
        <v>54</v>
      </c>
      <c r="E494" s="1" t="s">
        <v>21</v>
      </c>
      <c r="F494" s="5">
        <v>1.3202</v>
      </c>
      <c r="G494" s="5">
        <v>62.586761000000003</v>
      </c>
      <c r="H494" s="5">
        <v>0.36969999999999997</v>
      </c>
      <c r="I494">
        <v>830</v>
      </c>
      <c r="J494" s="4" t="str">
        <f>IF(OR(Копия_20206[[#This Row],[Units (in 1000)]]&gt;$R$7,Копия_20206[[#This Row],[Units (in 1000)]]&lt;$R$6),"outlier","not outlier")</f>
        <v>not outlier</v>
      </c>
      <c r="K494" s="4" t="str">
        <f>IF(OR(Копия_20206[[#This Row],[Value (in 1000 rub)]]&gt;$S$7,Копия_20206[[#This Row],[Value (in 1000 rub)]]&lt;$S$6),"outlier","not outlier")</f>
        <v>not outlier</v>
      </c>
      <c r="L494" s="4" t="str">
        <f>IF(OR(Копия_20206[[#This Row],[Volume (in 1000 kg)]]&gt;$T$7,Копия_20206[[#This Row],[Volume (in 1000 kg)]]&lt;$T$6),"outlier","not outlier")</f>
        <v>not outlier</v>
      </c>
      <c r="M494" s="4" t="str">
        <f>IF(OR(Копия_20206[[#This Row],[Number of stores]]&gt;$U$7,Копия_20206[[#This Row],[Number of stores]]&lt;$U$6),"outlier","not outlier")</f>
        <v>not outlier</v>
      </c>
    </row>
    <row r="495" spans="1:13" x14ac:dyDescent="0.25">
      <c r="A495">
        <v>2020</v>
      </c>
      <c r="B495">
        <v>1</v>
      </c>
      <c r="C495" s="1" t="s">
        <v>8</v>
      </c>
      <c r="D495" s="1" t="s">
        <v>24</v>
      </c>
      <c r="E495" s="1" t="s">
        <v>18</v>
      </c>
      <c r="F495" s="5">
        <v>0.37069999999999997</v>
      </c>
      <c r="G495" s="5">
        <v>56.153613999999997</v>
      </c>
      <c r="H495" s="5">
        <v>7.0400000000000004E-2</v>
      </c>
      <c r="I495">
        <v>0</v>
      </c>
      <c r="J495" s="4" t="str">
        <f>IF(OR(Копия_20206[[#This Row],[Units (in 1000)]]&gt;$R$7,Копия_20206[[#This Row],[Units (in 1000)]]&lt;$R$6),"outlier","not outlier")</f>
        <v>not outlier</v>
      </c>
      <c r="K495" s="4" t="str">
        <f>IF(OR(Копия_20206[[#This Row],[Value (in 1000 rub)]]&gt;$S$7,Копия_20206[[#This Row],[Value (in 1000 rub)]]&lt;$S$6),"outlier","not outlier")</f>
        <v>not outlier</v>
      </c>
      <c r="L495" s="4" t="str">
        <f>IF(OR(Копия_20206[[#This Row],[Volume (in 1000 kg)]]&gt;$T$7,Копия_20206[[#This Row],[Volume (in 1000 kg)]]&lt;$T$6),"outlier","not outlier")</f>
        <v>not outlier</v>
      </c>
      <c r="M495" s="4" t="str">
        <f>IF(OR(Копия_20206[[#This Row],[Number of stores]]&gt;$U$7,Копия_20206[[#This Row],[Number of stores]]&lt;$U$6),"outlier","not outlier")</f>
        <v>not outlier</v>
      </c>
    </row>
    <row r="496" spans="1:13" x14ac:dyDescent="0.25">
      <c r="A496">
        <v>2020</v>
      </c>
      <c r="B496">
        <v>2</v>
      </c>
      <c r="C496" s="1" t="s">
        <v>8</v>
      </c>
      <c r="D496" s="1" t="s">
        <v>24</v>
      </c>
      <c r="E496" s="1" t="s">
        <v>18</v>
      </c>
      <c r="F496" s="5">
        <v>0.33189999999999997</v>
      </c>
      <c r="G496" s="5">
        <v>50.762267000000001</v>
      </c>
      <c r="H496" s="5">
        <v>6.3100000000000003E-2</v>
      </c>
      <c r="I496">
        <v>0</v>
      </c>
      <c r="J496" s="4" t="str">
        <f>IF(OR(Копия_20206[[#This Row],[Units (in 1000)]]&gt;$R$7,Копия_20206[[#This Row],[Units (in 1000)]]&lt;$R$6),"outlier","not outlier")</f>
        <v>not outlier</v>
      </c>
      <c r="K496" s="4" t="str">
        <f>IF(OR(Копия_20206[[#This Row],[Value (in 1000 rub)]]&gt;$S$7,Копия_20206[[#This Row],[Value (in 1000 rub)]]&lt;$S$6),"outlier","not outlier")</f>
        <v>not outlier</v>
      </c>
      <c r="L496" s="4" t="str">
        <f>IF(OR(Копия_20206[[#This Row],[Volume (in 1000 kg)]]&gt;$T$7,Копия_20206[[#This Row],[Volume (in 1000 kg)]]&lt;$T$6),"outlier","not outlier")</f>
        <v>not outlier</v>
      </c>
      <c r="M496" s="4" t="str">
        <f>IF(OR(Копия_20206[[#This Row],[Number of stores]]&gt;$U$7,Копия_20206[[#This Row],[Number of stores]]&lt;$U$6),"outlier","not outlier")</f>
        <v>not outlier</v>
      </c>
    </row>
    <row r="497" spans="1:13" x14ac:dyDescent="0.25">
      <c r="A497">
        <v>2020</v>
      </c>
      <c r="B497">
        <v>3</v>
      </c>
      <c r="C497" s="1" t="s">
        <v>8</v>
      </c>
      <c r="D497" s="1" t="s">
        <v>24</v>
      </c>
      <c r="E497" s="1" t="s">
        <v>18</v>
      </c>
      <c r="F497" s="5">
        <v>0.3775</v>
      </c>
      <c r="G497" s="5">
        <v>58.161957999999998</v>
      </c>
      <c r="H497" s="5">
        <v>7.17E-2</v>
      </c>
      <c r="I497">
        <v>0</v>
      </c>
      <c r="J497" s="4" t="str">
        <f>IF(OR(Копия_20206[[#This Row],[Units (in 1000)]]&gt;$R$7,Копия_20206[[#This Row],[Units (in 1000)]]&lt;$R$6),"outlier","not outlier")</f>
        <v>not outlier</v>
      </c>
      <c r="K497" s="4" t="str">
        <f>IF(OR(Копия_20206[[#This Row],[Value (in 1000 rub)]]&gt;$S$7,Копия_20206[[#This Row],[Value (in 1000 rub)]]&lt;$S$6),"outlier","not outlier")</f>
        <v>not outlier</v>
      </c>
      <c r="L497" s="4" t="str">
        <f>IF(OR(Копия_20206[[#This Row],[Volume (in 1000 kg)]]&gt;$T$7,Копия_20206[[#This Row],[Volume (in 1000 kg)]]&lt;$T$6),"outlier","not outlier")</f>
        <v>not outlier</v>
      </c>
      <c r="M497" s="4" t="str">
        <f>IF(OR(Копия_20206[[#This Row],[Number of stores]]&gt;$U$7,Копия_20206[[#This Row],[Number of stores]]&lt;$U$6),"outlier","not outlier")</f>
        <v>not outlier</v>
      </c>
    </row>
    <row r="498" spans="1:13" x14ac:dyDescent="0.25">
      <c r="A498">
        <v>2020</v>
      </c>
      <c r="B498">
        <v>3</v>
      </c>
      <c r="C498" s="1" t="s">
        <v>8</v>
      </c>
      <c r="D498" s="1" t="s">
        <v>24</v>
      </c>
      <c r="E498" s="1" t="s">
        <v>11</v>
      </c>
      <c r="F498" s="5">
        <v>6.9999999999999999E-4</v>
      </c>
      <c r="G498" s="5">
        <v>9.4486000000000001E-2</v>
      </c>
      <c r="H498" s="5">
        <v>2.9999999999999997E-4</v>
      </c>
      <c r="I498">
        <v>0</v>
      </c>
      <c r="J498" s="4" t="str">
        <f>IF(OR(Копия_20206[[#This Row],[Units (in 1000)]]&gt;$R$7,Копия_20206[[#This Row],[Units (in 1000)]]&lt;$R$6),"outlier","not outlier")</f>
        <v>not outlier</v>
      </c>
      <c r="K498" s="4" t="str">
        <f>IF(OR(Копия_20206[[#This Row],[Value (in 1000 rub)]]&gt;$S$7,Копия_20206[[#This Row],[Value (in 1000 rub)]]&lt;$S$6),"outlier","not outlier")</f>
        <v>not outlier</v>
      </c>
      <c r="L498" s="4" t="str">
        <f>IF(OR(Копия_20206[[#This Row],[Volume (in 1000 kg)]]&gt;$T$7,Копия_20206[[#This Row],[Volume (in 1000 kg)]]&lt;$T$6),"outlier","not outlier")</f>
        <v>not outlier</v>
      </c>
      <c r="M498" s="4" t="str">
        <f>IF(OR(Копия_20206[[#This Row],[Number of stores]]&gt;$U$7,Копия_20206[[#This Row],[Number of stores]]&lt;$U$6),"outlier","not outlier")</f>
        <v>not outlier</v>
      </c>
    </row>
    <row r="499" spans="1:13" x14ac:dyDescent="0.25">
      <c r="A499">
        <v>2020</v>
      </c>
      <c r="B499">
        <v>4</v>
      </c>
      <c r="C499" s="1" t="s">
        <v>8</v>
      </c>
      <c r="D499" s="1" t="s">
        <v>24</v>
      </c>
      <c r="E499" s="1" t="s">
        <v>18</v>
      </c>
      <c r="F499" s="5">
        <v>0.2712</v>
      </c>
      <c r="G499" s="5">
        <v>41.763936999999999</v>
      </c>
      <c r="H499" s="5">
        <v>5.1499999999999997E-2</v>
      </c>
      <c r="I499">
        <v>0</v>
      </c>
      <c r="J499" s="4" t="str">
        <f>IF(OR(Копия_20206[[#This Row],[Units (in 1000)]]&gt;$R$7,Копия_20206[[#This Row],[Units (in 1000)]]&lt;$R$6),"outlier","not outlier")</f>
        <v>not outlier</v>
      </c>
      <c r="K499" s="4" t="str">
        <f>IF(OR(Копия_20206[[#This Row],[Value (in 1000 rub)]]&gt;$S$7,Копия_20206[[#This Row],[Value (in 1000 rub)]]&lt;$S$6),"outlier","not outlier")</f>
        <v>not outlier</v>
      </c>
      <c r="L499" s="4" t="str">
        <f>IF(OR(Копия_20206[[#This Row],[Volume (in 1000 kg)]]&gt;$T$7,Копия_20206[[#This Row],[Volume (in 1000 kg)]]&lt;$T$6),"outlier","not outlier")</f>
        <v>not outlier</v>
      </c>
      <c r="M499" s="4" t="str">
        <f>IF(OR(Копия_20206[[#This Row],[Number of stores]]&gt;$U$7,Копия_20206[[#This Row],[Number of stores]]&lt;$U$6),"outlier","not outlier")</f>
        <v>not outlier</v>
      </c>
    </row>
    <row r="500" spans="1:13" x14ac:dyDescent="0.25">
      <c r="A500">
        <v>2020</v>
      </c>
      <c r="B500">
        <v>5</v>
      </c>
      <c r="C500" s="1" t="s">
        <v>8</v>
      </c>
      <c r="D500" s="1" t="s">
        <v>24</v>
      </c>
      <c r="E500" s="1" t="s">
        <v>18</v>
      </c>
      <c r="F500" s="5">
        <v>0.23960000000000001</v>
      </c>
      <c r="G500" s="5">
        <v>37.023186000000003</v>
      </c>
      <c r="H500" s="5">
        <v>4.5499999999999999E-2</v>
      </c>
      <c r="I500">
        <v>0</v>
      </c>
      <c r="J500" s="4" t="str">
        <f>IF(OR(Копия_20206[[#This Row],[Units (in 1000)]]&gt;$R$7,Копия_20206[[#This Row],[Units (in 1000)]]&lt;$R$6),"outlier","not outlier")</f>
        <v>not outlier</v>
      </c>
      <c r="K500" s="4" t="str">
        <f>IF(OR(Копия_20206[[#This Row],[Value (in 1000 rub)]]&gt;$S$7,Копия_20206[[#This Row],[Value (in 1000 rub)]]&lt;$S$6),"outlier","not outlier")</f>
        <v>not outlier</v>
      </c>
      <c r="L500" s="4" t="str">
        <f>IF(OR(Копия_20206[[#This Row],[Volume (in 1000 kg)]]&gt;$T$7,Копия_20206[[#This Row],[Volume (in 1000 kg)]]&lt;$T$6),"outlier","not outlier")</f>
        <v>not outlier</v>
      </c>
      <c r="M500" s="4" t="str">
        <f>IF(OR(Копия_20206[[#This Row],[Number of stores]]&gt;$U$7,Копия_20206[[#This Row],[Number of stores]]&lt;$U$6),"outlier","not outlier")</f>
        <v>not outlier</v>
      </c>
    </row>
    <row r="501" spans="1:13" x14ac:dyDescent="0.25">
      <c r="A501">
        <v>2020</v>
      </c>
      <c r="B501">
        <v>5</v>
      </c>
      <c r="C501" s="1" t="s">
        <v>8</v>
      </c>
      <c r="D501" s="1" t="s">
        <v>24</v>
      </c>
      <c r="E501" s="1" t="s">
        <v>11</v>
      </c>
      <c r="F501" s="5">
        <v>1.1000000000000001E-3</v>
      </c>
      <c r="G501" s="5">
        <v>0.119351</v>
      </c>
      <c r="H501" s="5">
        <v>4.0000000000000002E-4</v>
      </c>
      <c r="I501">
        <v>0</v>
      </c>
      <c r="J501" s="4" t="str">
        <f>IF(OR(Копия_20206[[#This Row],[Units (in 1000)]]&gt;$R$7,Копия_20206[[#This Row],[Units (in 1000)]]&lt;$R$6),"outlier","not outlier")</f>
        <v>not outlier</v>
      </c>
      <c r="K501" s="4" t="str">
        <f>IF(OR(Копия_20206[[#This Row],[Value (in 1000 rub)]]&gt;$S$7,Копия_20206[[#This Row],[Value (in 1000 rub)]]&lt;$S$6),"outlier","not outlier")</f>
        <v>not outlier</v>
      </c>
      <c r="L501" s="4" t="str">
        <f>IF(OR(Копия_20206[[#This Row],[Volume (in 1000 kg)]]&gt;$T$7,Копия_20206[[#This Row],[Volume (in 1000 kg)]]&lt;$T$6),"outlier","not outlier")</f>
        <v>not outlier</v>
      </c>
      <c r="M501" s="4" t="str">
        <f>IF(OR(Копия_20206[[#This Row],[Number of stores]]&gt;$U$7,Копия_20206[[#This Row],[Number of stores]]&lt;$U$6),"outlier","not outlier")</f>
        <v>not outlier</v>
      </c>
    </row>
    <row r="502" spans="1:13" x14ac:dyDescent="0.25">
      <c r="A502">
        <v>2020</v>
      </c>
      <c r="B502">
        <v>7</v>
      </c>
      <c r="C502" s="1" t="s">
        <v>8</v>
      </c>
      <c r="D502" s="1" t="s">
        <v>24</v>
      </c>
      <c r="E502" s="1" t="s">
        <v>18</v>
      </c>
      <c r="F502" s="5">
        <v>0.2089</v>
      </c>
      <c r="G502" s="5">
        <v>35.509419000000001</v>
      </c>
      <c r="H502" s="5">
        <v>3.9699999999999999E-2</v>
      </c>
      <c r="I502">
        <v>0</v>
      </c>
      <c r="J502" s="4" t="str">
        <f>IF(OR(Копия_20206[[#This Row],[Units (in 1000)]]&gt;$R$7,Копия_20206[[#This Row],[Units (in 1000)]]&lt;$R$6),"outlier","not outlier")</f>
        <v>not outlier</v>
      </c>
      <c r="K502" s="4" t="str">
        <f>IF(OR(Копия_20206[[#This Row],[Value (in 1000 rub)]]&gt;$S$7,Копия_20206[[#This Row],[Value (in 1000 rub)]]&lt;$S$6),"outlier","not outlier")</f>
        <v>not outlier</v>
      </c>
      <c r="L502" s="4" t="str">
        <f>IF(OR(Копия_20206[[#This Row],[Volume (in 1000 kg)]]&gt;$T$7,Копия_20206[[#This Row],[Volume (in 1000 kg)]]&lt;$T$6),"outlier","not outlier")</f>
        <v>not outlier</v>
      </c>
      <c r="M502" s="4" t="str">
        <f>IF(OR(Копия_20206[[#This Row],[Number of stores]]&gt;$U$7,Копия_20206[[#This Row],[Number of stores]]&lt;$U$6),"outlier","not outlier")</f>
        <v>not outlier</v>
      </c>
    </row>
    <row r="503" spans="1:13" x14ac:dyDescent="0.25">
      <c r="A503">
        <v>2020</v>
      </c>
      <c r="B503">
        <v>7</v>
      </c>
      <c r="C503" s="1" t="s">
        <v>8</v>
      </c>
      <c r="D503" s="1" t="s">
        <v>24</v>
      </c>
      <c r="E503" s="1" t="s">
        <v>11</v>
      </c>
      <c r="F503" s="5">
        <v>1.1000000000000001E-3</v>
      </c>
      <c r="G503" s="5">
        <v>0.14985200000000001</v>
      </c>
      <c r="H503" s="5">
        <v>4.0000000000000002E-4</v>
      </c>
      <c r="I503">
        <v>0</v>
      </c>
      <c r="J503" s="4" t="str">
        <f>IF(OR(Копия_20206[[#This Row],[Units (in 1000)]]&gt;$R$7,Копия_20206[[#This Row],[Units (in 1000)]]&lt;$R$6),"outlier","not outlier")</f>
        <v>not outlier</v>
      </c>
      <c r="K503" s="4" t="str">
        <f>IF(OR(Копия_20206[[#This Row],[Value (in 1000 rub)]]&gt;$S$7,Копия_20206[[#This Row],[Value (in 1000 rub)]]&lt;$S$6),"outlier","not outlier")</f>
        <v>not outlier</v>
      </c>
      <c r="L503" s="4" t="str">
        <f>IF(OR(Копия_20206[[#This Row],[Volume (in 1000 kg)]]&gt;$T$7,Копия_20206[[#This Row],[Volume (in 1000 kg)]]&lt;$T$6),"outlier","not outlier")</f>
        <v>not outlier</v>
      </c>
      <c r="M503" s="4" t="str">
        <f>IF(OR(Копия_20206[[#This Row],[Number of stores]]&gt;$U$7,Копия_20206[[#This Row],[Number of stores]]&lt;$U$6),"outlier","not outlier")</f>
        <v>not outlier</v>
      </c>
    </row>
    <row r="504" spans="1:13" x14ac:dyDescent="0.25">
      <c r="A504">
        <v>2020</v>
      </c>
      <c r="B504">
        <v>9</v>
      </c>
      <c r="C504" s="1" t="s">
        <v>8</v>
      </c>
      <c r="D504" s="1" t="s">
        <v>24</v>
      </c>
      <c r="E504" s="1" t="s">
        <v>18</v>
      </c>
      <c r="F504" s="5">
        <v>0.21640000000000001</v>
      </c>
      <c r="G504" s="5">
        <v>35.386023000000002</v>
      </c>
      <c r="H504" s="5">
        <v>4.1099999999999998E-2</v>
      </c>
      <c r="I504">
        <v>0</v>
      </c>
      <c r="J504" s="4" t="str">
        <f>IF(OR(Копия_20206[[#This Row],[Units (in 1000)]]&gt;$R$7,Копия_20206[[#This Row],[Units (in 1000)]]&lt;$R$6),"outlier","not outlier")</f>
        <v>not outlier</v>
      </c>
      <c r="K504" s="4" t="str">
        <f>IF(OR(Копия_20206[[#This Row],[Value (in 1000 rub)]]&gt;$S$7,Копия_20206[[#This Row],[Value (in 1000 rub)]]&lt;$S$6),"outlier","not outlier")</f>
        <v>not outlier</v>
      </c>
      <c r="L504" s="4" t="str">
        <f>IF(OR(Копия_20206[[#This Row],[Volume (in 1000 kg)]]&gt;$T$7,Копия_20206[[#This Row],[Volume (in 1000 kg)]]&lt;$T$6),"outlier","not outlier")</f>
        <v>not outlier</v>
      </c>
      <c r="M504" s="4" t="str">
        <f>IF(OR(Копия_20206[[#This Row],[Number of stores]]&gt;$U$7,Копия_20206[[#This Row],[Number of stores]]&lt;$U$6),"outlier","not outlier")</f>
        <v>not outlier</v>
      </c>
    </row>
    <row r="505" spans="1:13" x14ac:dyDescent="0.25">
      <c r="A505">
        <v>2020</v>
      </c>
      <c r="B505">
        <v>9</v>
      </c>
      <c r="C505" s="1" t="s">
        <v>8</v>
      </c>
      <c r="D505" s="1" t="s">
        <v>24</v>
      </c>
      <c r="E505" s="1" t="s">
        <v>11</v>
      </c>
      <c r="F505" s="5">
        <v>1.2999999999999999E-3</v>
      </c>
      <c r="G505" s="5">
        <v>0.175645</v>
      </c>
      <c r="H505" s="5">
        <v>5.0000000000000001E-4</v>
      </c>
      <c r="I505">
        <v>0</v>
      </c>
      <c r="J505" s="4" t="str">
        <f>IF(OR(Копия_20206[[#This Row],[Units (in 1000)]]&gt;$R$7,Копия_20206[[#This Row],[Units (in 1000)]]&lt;$R$6),"outlier","not outlier")</f>
        <v>not outlier</v>
      </c>
      <c r="K505" s="4" t="str">
        <f>IF(OR(Копия_20206[[#This Row],[Value (in 1000 rub)]]&gt;$S$7,Копия_20206[[#This Row],[Value (in 1000 rub)]]&lt;$S$6),"outlier","not outlier")</f>
        <v>not outlier</v>
      </c>
      <c r="L505" s="4" t="str">
        <f>IF(OR(Копия_20206[[#This Row],[Volume (in 1000 kg)]]&gt;$T$7,Копия_20206[[#This Row],[Volume (in 1000 kg)]]&lt;$T$6),"outlier","not outlier")</f>
        <v>not outlier</v>
      </c>
      <c r="M505" s="4" t="str">
        <f>IF(OR(Копия_20206[[#This Row],[Number of stores]]&gt;$U$7,Копия_20206[[#This Row],[Number of stores]]&lt;$U$6),"outlier","not outlier")</f>
        <v>not outlier</v>
      </c>
    </row>
    <row r="506" spans="1:13" x14ac:dyDescent="0.25">
      <c r="A506">
        <v>2020</v>
      </c>
      <c r="B506">
        <v>10</v>
      </c>
      <c r="C506" s="1" t="s">
        <v>8</v>
      </c>
      <c r="D506" s="1" t="s">
        <v>24</v>
      </c>
      <c r="E506" s="1" t="s">
        <v>18</v>
      </c>
      <c r="F506" s="5">
        <v>0.2288</v>
      </c>
      <c r="G506" s="5">
        <v>36.775134999999999</v>
      </c>
      <c r="H506" s="5">
        <v>4.3499999999999997E-2</v>
      </c>
      <c r="I506">
        <v>0</v>
      </c>
      <c r="J506" s="4" t="str">
        <f>IF(OR(Копия_20206[[#This Row],[Units (in 1000)]]&gt;$R$7,Копия_20206[[#This Row],[Units (in 1000)]]&lt;$R$6),"outlier","not outlier")</f>
        <v>not outlier</v>
      </c>
      <c r="K506" s="4" t="str">
        <f>IF(OR(Копия_20206[[#This Row],[Value (in 1000 rub)]]&gt;$S$7,Копия_20206[[#This Row],[Value (in 1000 rub)]]&lt;$S$6),"outlier","not outlier")</f>
        <v>not outlier</v>
      </c>
      <c r="L506" s="4" t="str">
        <f>IF(OR(Копия_20206[[#This Row],[Volume (in 1000 kg)]]&gt;$T$7,Копия_20206[[#This Row],[Volume (in 1000 kg)]]&lt;$T$6),"outlier","not outlier")</f>
        <v>not outlier</v>
      </c>
      <c r="M506" s="4" t="str">
        <f>IF(OR(Копия_20206[[#This Row],[Number of stores]]&gt;$U$7,Копия_20206[[#This Row],[Number of stores]]&lt;$U$6),"outlier","not outlier")</f>
        <v>not outlier</v>
      </c>
    </row>
    <row r="507" spans="1:13" x14ac:dyDescent="0.25">
      <c r="A507">
        <v>2020</v>
      </c>
      <c r="B507">
        <v>10</v>
      </c>
      <c r="C507" s="1" t="s">
        <v>8</v>
      </c>
      <c r="D507" s="1" t="s">
        <v>24</v>
      </c>
      <c r="E507" s="1" t="s">
        <v>11</v>
      </c>
      <c r="F507" s="5">
        <v>1.2999999999999999E-3</v>
      </c>
      <c r="G507" s="5">
        <v>0.18559100000000001</v>
      </c>
      <c r="H507" s="5">
        <v>5.0000000000000001E-4</v>
      </c>
      <c r="I507">
        <v>0</v>
      </c>
      <c r="J507" s="4" t="str">
        <f>IF(OR(Копия_20206[[#This Row],[Units (in 1000)]]&gt;$R$7,Копия_20206[[#This Row],[Units (in 1000)]]&lt;$R$6),"outlier","not outlier")</f>
        <v>not outlier</v>
      </c>
      <c r="K507" s="4" t="str">
        <f>IF(OR(Копия_20206[[#This Row],[Value (in 1000 rub)]]&gt;$S$7,Копия_20206[[#This Row],[Value (in 1000 rub)]]&lt;$S$6),"outlier","not outlier")</f>
        <v>not outlier</v>
      </c>
      <c r="L507" s="4" t="str">
        <f>IF(OR(Копия_20206[[#This Row],[Volume (in 1000 kg)]]&gt;$T$7,Копия_20206[[#This Row],[Volume (in 1000 kg)]]&lt;$T$6),"outlier","not outlier")</f>
        <v>not outlier</v>
      </c>
      <c r="M507" s="4" t="str">
        <f>IF(OR(Копия_20206[[#This Row],[Number of stores]]&gt;$U$7,Копия_20206[[#This Row],[Number of stores]]&lt;$U$6),"outlier","not outlier")</f>
        <v>not outlier</v>
      </c>
    </row>
    <row r="508" spans="1:13" x14ac:dyDescent="0.25">
      <c r="A508">
        <v>2020</v>
      </c>
      <c r="B508">
        <v>11</v>
      </c>
      <c r="C508" s="1" t="s">
        <v>8</v>
      </c>
      <c r="D508" s="1" t="s">
        <v>24</v>
      </c>
      <c r="E508" s="1" t="s">
        <v>18</v>
      </c>
      <c r="F508" s="5">
        <v>0.22969999999999999</v>
      </c>
      <c r="G508" s="5">
        <v>39.360475000000001</v>
      </c>
      <c r="H508" s="5">
        <v>4.36E-2</v>
      </c>
      <c r="I508">
        <v>0</v>
      </c>
      <c r="J508" s="4" t="str">
        <f>IF(OR(Копия_20206[[#This Row],[Units (in 1000)]]&gt;$R$7,Копия_20206[[#This Row],[Units (in 1000)]]&lt;$R$6),"outlier","not outlier")</f>
        <v>not outlier</v>
      </c>
      <c r="K508" s="4" t="str">
        <f>IF(OR(Копия_20206[[#This Row],[Value (in 1000 rub)]]&gt;$S$7,Копия_20206[[#This Row],[Value (in 1000 rub)]]&lt;$S$6),"outlier","not outlier")</f>
        <v>not outlier</v>
      </c>
      <c r="L508" s="4" t="str">
        <f>IF(OR(Копия_20206[[#This Row],[Volume (in 1000 kg)]]&gt;$T$7,Копия_20206[[#This Row],[Volume (in 1000 kg)]]&lt;$T$6),"outlier","not outlier")</f>
        <v>not outlier</v>
      </c>
      <c r="M508" s="4" t="str">
        <f>IF(OR(Копия_20206[[#This Row],[Number of stores]]&gt;$U$7,Копия_20206[[#This Row],[Number of stores]]&lt;$U$6),"outlier","not outlier")</f>
        <v>not outlier</v>
      </c>
    </row>
    <row r="509" spans="1:13" x14ac:dyDescent="0.25">
      <c r="A509">
        <v>2020</v>
      </c>
      <c r="B509">
        <v>11</v>
      </c>
      <c r="C509" s="1" t="s">
        <v>8</v>
      </c>
      <c r="D509" s="1" t="s">
        <v>24</v>
      </c>
      <c r="E509" s="1" t="s">
        <v>11</v>
      </c>
      <c r="F509" s="5">
        <v>2.3E-3</v>
      </c>
      <c r="G509" s="5">
        <v>0.327685</v>
      </c>
      <c r="H509" s="5">
        <v>8.9999999999999998E-4</v>
      </c>
      <c r="I509">
        <v>0</v>
      </c>
      <c r="J509" s="4" t="str">
        <f>IF(OR(Копия_20206[[#This Row],[Units (in 1000)]]&gt;$R$7,Копия_20206[[#This Row],[Units (in 1000)]]&lt;$R$6),"outlier","not outlier")</f>
        <v>not outlier</v>
      </c>
      <c r="K509" s="4" t="str">
        <f>IF(OR(Копия_20206[[#This Row],[Value (in 1000 rub)]]&gt;$S$7,Копия_20206[[#This Row],[Value (in 1000 rub)]]&lt;$S$6),"outlier","not outlier")</f>
        <v>not outlier</v>
      </c>
      <c r="L509" s="4" t="str">
        <f>IF(OR(Копия_20206[[#This Row],[Volume (in 1000 kg)]]&gt;$T$7,Копия_20206[[#This Row],[Volume (in 1000 kg)]]&lt;$T$6),"outlier","not outlier")</f>
        <v>not outlier</v>
      </c>
      <c r="M509" s="4" t="str">
        <f>IF(OR(Копия_20206[[#This Row],[Number of stores]]&gt;$U$7,Копия_20206[[#This Row],[Number of stores]]&lt;$U$6),"outlier","not outlier")</f>
        <v>not outlier</v>
      </c>
    </row>
    <row r="510" spans="1:13" x14ac:dyDescent="0.25">
      <c r="A510">
        <v>2020</v>
      </c>
      <c r="B510">
        <v>12</v>
      </c>
      <c r="C510" s="1" t="s">
        <v>8</v>
      </c>
      <c r="D510" s="1" t="s">
        <v>24</v>
      </c>
      <c r="E510" s="1" t="s">
        <v>18</v>
      </c>
      <c r="F510" s="5">
        <v>0.29680000000000001</v>
      </c>
      <c r="G510" s="5">
        <v>50.525289000000001</v>
      </c>
      <c r="H510" s="5">
        <v>5.6399999999999999E-2</v>
      </c>
      <c r="I510">
        <v>0</v>
      </c>
      <c r="J510" s="4" t="str">
        <f>IF(OR(Копия_20206[[#This Row],[Units (in 1000)]]&gt;$R$7,Копия_20206[[#This Row],[Units (in 1000)]]&lt;$R$6),"outlier","not outlier")</f>
        <v>not outlier</v>
      </c>
      <c r="K510" s="4" t="str">
        <f>IF(OR(Копия_20206[[#This Row],[Value (in 1000 rub)]]&gt;$S$7,Копия_20206[[#This Row],[Value (in 1000 rub)]]&lt;$S$6),"outlier","not outlier")</f>
        <v>not outlier</v>
      </c>
      <c r="L510" s="4" t="str">
        <f>IF(OR(Копия_20206[[#This Row],[Volume (in 1000 kg)]]&gt;$T$7,Копия_20206[[#This Row],[Volume (in 1000 kg)]]&lt;$T$6),"outlier","not outlier")</f>
        <v>not outlier</v>
      </c>
      <c r="M510" s="4" t="str">
        <f>IF(OR(Копия_20206[[#This Row],[Number of stores]]&gt;$U$7,Копия_20206[[#This Row],[Number of stores]]&lt;$U$6),"outlier","not outlier")</f>
        <v>not outlier</v>
      </c>
    </row>
    <row r="511" spans="1:13" x14ac:dyDescent="0.25">
      <c r="A511">
        <v>2020</v>
      </c>
      <c r="B511">
        <v>12</v>
      </c>
      <c r="C511" s="1" t="s">
        <v>8</v>
      </c>
      <c r="D511" s="1" t="s">
        <v>24</v>
      </c>
      <c r="E511" s="1" t="s">
        <v>11</v>
      </c>
      <c r="F511" s="5">
        <v>5.0000000000000001E-3</v>
      </c>
      <c r="G511" s="5">
        <v>0.61836999999999998</v>
      </c>
      <c r="H511" s="5">
        <v>2E-3</v>
      </c>
      <c r="I511">
        <v>0</v>
      </c>
      <c r="J511" s="4" t="str">
        <f>IF(OR(Копия_20206[[#This Row],[Units (in 1000)]]&gt;$R$7,Копия_20206[[#This Row],[Units (in 1000)]]&lt;$R$6),"outlier","not outlier")</f>
        <v>not outlier</v>
      </c>
      <c r="K511" s="4" t="str">
        <f>IF(OR(Копия_20206[[#This Row],[Value (in 1000 rub)]]&gt;$S$7,Копия_20206[[#This Row],[Value (in 1000 rub)]]&lt;$S$6),"outlier","not outlier")</f>
        <v>not outlier</v>
      </c>
      <c r="L511" s="4" t="str">
        <f>IF(OR(Копия_20206[[#This Row],[Volume (in 1000 kg)]]&gt;$T$7,Копия_20206[[#This Row],[Volume (in 1000 kg)]]&lt;$T$6),"outlier","not outlier")</f>
        <v>not outlier</v>
      </c>
      <c r="M511" s="4" t="str">
        <f>IF(OR(Копия_20206[[#This Row],[Number of stores]]&gt;$U$7,Копия_20206[[#This Row],[Number of stores]]&lt;$U$6),"outlier","not outlier")</f>
        <v>not outlier</v>
      </c>
    </row>
    <row r="512" spans="1:13" x14ac:dyDescent="0.25">
      <c r="A512">
        <v>2020</v>
      </c>
      <c r="B512">
        <v>1</v>
      </c>
      <c r="C512" s="1" t="s">
        <v>8</v>
      </c>
      <c r="D512" s="1" t="s">
        <v>22</v>
      </c>
      <c r="E512" s="1" t="s">
        <v>12</v>
      </c>
      <c r="F512" s="5">
        <v>0.24199999999999999</v>
      </c>
      <c r="G512" s="5">
        <v>61.805145000000003</v>
      </c>
      <c r="H512" s="5">
        <v>9.6799999999999997E-2</v>
      </c>
      <c r="I512">
        <v>96</v>
      </c>
      <c r="J512" s="4" t="str">
        <f>IF(OR(Копия_20206[[#This Row],[Units (in 1000)]]&gt;$R$7,Копия_20206[[#This Row],[Units (in 1000)]]&lt;$R$6),"outlier","not outlier")</f>
        <v>not outlier</v>
      </c>
      <c r="K512" s="4" t="str">
        <f>IF(OR(Копия_20206[[#This Row],[Value (in 1000 rub)]]&gt;$S$7,Копия_20206[[#This Row],[Value (in 1000 rub)]]&lt;$S$6),"outlier","not outlier")</f>
        <v>not outlier</v>
      </c>
      <c r="L512" s="4" t="str">
        <f>IF(OR(Копия_20206[[#This Row],[Volume (in 1000 kg)]]&gt;$T$7,Копия_20206[[#This Row],[Volume (in 1000 kg)]]&lt;$T$6),"outlier","not outlier")</f>
        <v>not outlier</v>
      </c>
      <c r="M512" s="4" t="str">
        <f>IF(OR(Копия_20206[[#This Row],[Number of stores]]&gt;$U$7,Копия_20206[[#This Row],[Number of stores]]&lt;$U$6),"outlier","not outlier")</f>
        <v>not outlier</v>
      </c>
    </row>
    <row r="513" spans="1:13" x14ac:dyDescent="0.25">
      <c r="A513">
        <v>2020</v>
      </c>
      <c r="B513">
        <v>2</v>
      </c>
      <c r="C513" s="1" t="s">
        <v>8</v>
      </c>
      <c r="D513" s="1" t="s">
        <v>22</v>
      </c>
      <c r="E513" s="1" t="s">
        <v>12</v>
      </c>
      <c r="F513" s="5">
        <v>0.23449999999999999</v>
      </c>
      <c r="G513" s="5">
        <v>57.967151000000001</v>
      </c>
      <c r="H513" s="5">
        <v>9.3799999999999994E-2</v>
      </c>
      <c r="I513">
        <v>93</v>
      </c>
      <c r="J513" s="4" t="str">
        <f>IF(OR(Копия_20206[[#This Row],[Units (in 1000)]]&gt;$R$7,Копия_20206[[#This Row],[Units (in 1000)]]&lt;$R$6),"outlier","not outlier")</f>
        <v>not outlier</v>
      </c>
      <c r="K513" s="4" t="str">
        <f>IF(OR(Копия_20206[[#This Row],[Value (in 1000 rub)]]&gt;$S$7,Копия_20206[[#This Row],[Value (in 1000 rub)]]&lt;$S$6),"outlier","not outlier")</f>
        <v>not outlier</v>
      </c>
      <c r="L513" s="4" t="str">
        <f>IF(OR(Копия_20206[[#This Row],[Volume (in 1000 kg)]]&gt;$T$7,Копия_20206[[#This Row],[Volume (in 1000 kg)]]&lt;$T$6),"outlier","not outlier")</f>
        <v>not outlier</v>
      </c>
      <c r="M513" s="4" t="str">
        <f>IF(OR(Копия_20206[[#This Row],[Number of stores]]&gt;$U$7,Копия_20206[[#This Row],[Number of stores]]&lt;$U$6),"outlier","not outlier")</f>
        <v>not outlier</v>
      </c>
    </row>
    <row r="514" spans="1:13" x14ac:dyDescent="0.25">
      <c r="A514">
        <v>2020</v>
      </c>
      <c r="B514">
        <v>3</v>
      </c>
      <c r="C514" s="1" t="s">
        <v>8</v>
      </c>
      <c r="D514" s="1" t="s">
        <v>22</v>
      </c>
      <c r="E514" s="1" t="s">
        <v>12</v>
      </c>
      <c r="F514" s="5">
        <v>0.3357</v>
      </c>
      <c r="G514" s="5">
        <v>78.294403000000003</v>
      </c>
      <c r="H514" s="5">
        <v>0.1343</v>
      </c>
      <c r="I514">
        <v>96</v>
      </c>
      <c r="J514" s="4" t="str">
        <f>IF(OR(Копия_20206[[#This Row],[Units (in 1000)]]&gt;$R$7,Копия_20206[[#This Row],[Units (in 1000)]]&lt;$R$6),"outlier","not outlier")</f>
        <v>not outlier</v>
      </c>
      <c r="K514" s="4" t="str">
        <f>IF(OR(Копия_20206[[#This Row],[Value (in 1000 rub)]]&gt;$S$7,Копия_20206[[#This Row],[Value (in 1000 rub)]]&lt;$S$6),"outlier","not outlier")</f>
        <v>not outlier</v>
      </c>
      <c r="L514" s="4" t="str">
        <f>IF(OR(Копия_20206[[#This Row],[Volume (in 1000 kg)]]&gt;$T$7,Копия_20206[[#This Row],[Volume (in 1000 kg)]]&lt;$T$6),"outlier","not outlier")</f>
        <v>not outlier</v>
      </c>
      <c r="M514" s="4" t="str">
        <f>IF(OR(Копия_20206[[#This Row],[Number of stores]]&gt;$U$7,Копия_20206[[#This Row],[Number of stores]]&lt;$U$6),"outlier","not outlier")</f>
        <v>not outlier</v>
      </c>
    </row>
    <row r="515" spans="1:13" x14ac:dyDescent="0.25">
      <c r="A515">
        <v>2020</v>
      </c>
      <c r="B515">
        <v>4</v>
      </c>
      <c r="C515" s="1" t="s">
        <v>8</v>
      </c>
      <c r="D515" s="1" t="s">
        <v>22</v>
      </c>
      <c r="E515" s="1" t="s">
        <v>12</v>
      </c>
      <c r="F515" s="5">
        <v>0.30159999999999998</v>
      </c>
      <c r="G515" s="5">
        <v>68.126831999999993</v>
      </c>
      <c r="H515" s="5">
        <v>0.1206</v>
      </c>
      <c r="I515">
        <v>105</v>
      </c>
      <c r="J515" s="4" t="str">
        <f>IF(OR(Копия_20206[[#This Row],[Units (in 1000)]]&gt;$R$7,Копия_20206[[#This Row],[Units (in 1000)]]&lt;$R$6),"outlier","not outlier")</f>
        <v>not outlier</v>
      </c>
      <c r="K515" s="4" t="str">
        <f>IF(OR(Копия_20206[[#This Row],[Value (in 1000 rub)]]&gt;$S$7,Копия_20206[[#This Row],[Value (in 1000 rub)]]&lt;$S$6),"outlier","not outlier")</f>
        <v>not outlier</v>
      </c>
      <c r="L515" s="4" t="str">
        <f>IF(OR(Копия_20206[[#This Row],[Volume (in 1000 kg)]]&gt;$T$7,Копия_20206[[#This Row],[Volume (in 1000 kg)]]&lt;$T$6),"outlier","not outlier")</f>
        <v>not outlier</v>
      </c>
      <c r="M515" s="4" t="str">
        <f>IF(OR(Копия_20206[[#This Row],[Number of stores]]&gt;$U$7,Копия_20206[[#This Row],[Number of stores]]&lt;$U$6),"outlier","not outlier")</f>
        <v>not outlier</v>
      </c>
    </row>
    <row r="516" spans="1:13" x14ac:dyDescent="0.25">
      <c r="A516">
        <v>2020</v>
      </c>
      <c r="B516">
        <v>4</v>
      </c>
      <c r="C516" s="1" t="s">
        <v>25</v>
      </c>
      <c r="D516" s="1" t="s">
        <v>22</v>
      </c>
      <c r="E516" s="1" t="s">
        <v>12</v>
      </c>
      <c r="F516" s="5">
        <v>0.21260000000000001</v>
      </c>
      <c r="G516" s="5">
        <v>55.786411000000001</v>
      </c>
      <c r="H516" s="5">
        <v>8.5099999999999995E-2</v>
      </c>
      <c r="I516">
        <v>104</v>
      </c>
      <c r="J516" s="4" t="str">
        <f>IF(OR(Копия_20206[[#This Row],[Units (in 1000)]]&gt;$R$7,Копия_20206[[#This Row],[Units (in 1000)]]&lt;$R$6),"outlier","not outlier")</f>
        <v>not outlier</v>
      </c>
      <c r="K516" s="4" t="str">
        <f>IF(OR(Копия_20206[[#This Row],[Value (in 1000 rub)]]&gt;$S$7,Копия_20206[[#This Row],[Value (in 1000 rub)]]&lt;$S$6),"outlier","not outlier")</f>
        <v>not outlier</v>
      </c>
      <c r="L516" s="4" t="str">
        <f>IF(OR(Копия_20206[[#This Row],[Volume (in 1000 kg)]]&gt;$T$7,Копия_20206[[#This Row],[Volume (in 1000 kg)]]&lt;$T$6),"outlier","not outlier")</f>
        <v>not outlier</v>
      </c>
      <c r="M516" s="4" t="str">
        <f>IF(OR(Копия_20206[[#This Row],[Number of stores]]&gt;$U$7,Копия_20206[[#This Row],[Number of stores]]&lt;$U$6),"outlier","not outlier")</f>
        <v>not outlier</v>
      </c>
    </row>
    <row r="517" spans="1:13" x14ac:dyDescent="0.25">
      <c r="A517">
        <v>2020</v>
      </c>
      <c r="B517">
        <v>5</v>
      </c>
      <c r="C517" s="1" t="s">
        <v>8</v>
      </c>
      <c r="D517" s="1" t="s">
        <v>22</v>
      </c>
      <c r="E517" s="1" t="s">
        <v>12</v>
      </c>
      <c r="F517" s="5">
        <v>0.65090000000000003</v>
      </c>
      <c r="G517" s="5">
        <v>126.123622</v>
      </c>
      <c r="H517" s="5">
        <v>0.26040000000000002</v>
      </c>
      <c r="I517">
        <v>138</v>
      </c>
      <c r="J517" s="4" t="str">
        <f>IF(OR(Копия_20206[[#This Row],[Units (in 1000)]]&gt;$R$7,Копия_20206[[#This Row],[Units (in 1000)]]&lt;$R$6),"outlier","not outlier")</f>
        <v>not outlier</v>
      </c>
      <c r="K517" s="4" t="str">
        <f>IF(OR(Копия_20206[[#This Row],[Value (in 1000 rub)]]&gt;$S$7,Копия_20206[[#This Row],[Value (in 1000 rub)]]&lt;$S$6),"outlier","not outlier")</f>
        <v>not outlier</v>
      </c>
      <c r="L517" s="4" t="str">
        <f>IF(OR(Копия_20206[[#This Row],[Volume (in 1000 kg)]]&gt;$T$7,Копия_20206[[#This Row],[Volume (in 1000 kg)]]&lt;$T$6),"outlier","not outlier")</f>
        <v>not outlier</v>
      </c>
      <c r="M517" s="4" t="str">
        <f>IF(OR(Копия_20206[[#This Row],[Number of stores]]&gt;$U$7,Копия_20206[[#This Row],[Number of stores]]&lt;$U$6),"outlier","not outlier")</f>
        <v>not outlier</v>
      </c>
    </row>
    <row r="518" spans="1:13" x14ac:dyDescent="0.25">
      <c r="A518">
        <v>2020</v>
      </c>
      <c r="B518">
        <v>5</v>
      </c>
      <c r="C518" s="1" t="s">
        <v>25</v>
      </c>
      <c r="D518" s="1" t="s">
        <v>22</v>
      </c>
      <c r="E518" s="1" t="s">
        <v>12</v>
      </c>
      <c r="F518" s="5">
        <v>0.14530000000000001</v>
      </c>
      <c r="G518" s="5">
        <v>41.459525999999997</v>
      </c>
      <c r="H518" s="5">
        <v>5.8099999999999999E-2</v>
      </c>
      <c r="I518">
        <v>0</v>
      </c>
      <c r="J518" s="4" t="str">
        <f>IF(OR(Копия_20206[[#This Row],[Units (in 1000)]]&gt;$R$7,Копия_20206[[#This Row],[Units (in 1000)]]&lt;$R$6),"outlier","not outlier")</f>
        <v>not outlier</v>
      </c>
      <c r="K518" s="4" t="str">
        <f>IF(OR(Копия_20206[[#This Row],[Value (in 1000 rub)]]&gt;$S$7,Копия_20206[[#This Row],[Value (in 1000 rub)]]&lt;$S$6),"outlier","not outlier")</f>
        <v>not outlier</v>
      </c>
      <c r="L518" s="4" t="str">
        <f>IF(OR(Копия_20206[[#This Row],[Volume (in 1000 kg)]]&gt;$T$7,Копия_20206[[#This Row],[Volume (in 1000 kg)]]&lt;$T$6),"outlier","not outlier")</f>
        <v>not outlier</v>
      </c>
      <c r="M518" s="4" t="str">
        <f>IF(OR(Копия_20206[[#This Row],[Number of stores]]&gt;$U$7,Копия_20206[[#This Row],[Number of stores]]&lt;$U$6),"outlier","not outlier")</f>
        <v>not outlier</v>
      </c>
    </row>
    <row r="519" spans="1:13" x14ac:dyDescent="0.25">
      <c r="A519">
        <v>2020</v>
      </c>
      <c r="B519">
        <v>6</v>
      </c>
      <c r="C519" s="1" t="s">
        <v>8</v>
      </c>
      <c r="D519" s="1" t="s">
        <v>22</v>
      </c>
      <c r="E519" s="1" t="s">
        <v>12</v>
      </c>
      <c r="F519" s="5">
        <v>0.5585</v>
      </c>
      <c r="G519" s="5">
        <v>117.64838</v>
      </c>
      <c r="H519" s="5">
        <v>0.22339999999999999</v>
      </c>
      <c r="I519">
        <v>164</v>
      </c>
      <c r="J519" s="4" t="str">
        <f>IF(OR(Копия_20206[[#This Row],[Units (in 1000)]]&gt;$R$7,Копия_20206[[#This Row],[Units (in 1000)]]&lt;$R$6),"outlier","not outlier")</f>
        <v>not outlier</v>
      </c>
      <c r="K519" s="4" t="str">
        <f>IF(OR(Копия_20206[[#This Row],[Value (in 1000 rub)]]&gt;$S$7,Копия_20206[[#This Row],[Value (in 1000 rub)]]&lt;$S$6),"outlier","not outlier")</f>
        <v>not outlier</v>
      </c>
      <c r="L519" s="4" t="str">
        <f>IF(OR(Копия_20206[[#This Row],[Volume (in 1000 kg)]]&gt;$T$7,Копия_20206[[#This Row],[Volume (in 1000 kg)]]&lt;$T$6),"outlier","not outlier")</f>
        <v>not outlier</v>
      </c>
      <c r="M519" s="4" t="str">
        <f>IF(OR(Копия_20206[[#This Row],[Number of stores]]&gt;$U$7,Копия_20206[[#This Row],[Number of stores]]&lt;$U$6),"outlier","not outlier")</f>
        <v>not outlier</v>
      </c>
    </row>
    <row r="520" spans="1:13" x14ac:dyDescent="0.25">
      <c r="A520">
        <v>2020</v>
      </c>
      <c r="B520">
        <v>7</v>
      </c>
      <c r="C520" s="1" t="s">
        <v>8</v>
      </c>
      <c r="D520" s="1" t="s">
        <v>22</v>
      </c>
      <c r="E520" s="1" t="s">
        <v>12</v>
      </c>
      <c r="F520" s="5">
        <v>0.55979999999999996</v>
      </c>
      <c r="G520" s="5">
        <v>112.794113</v>
      </c>
      <c r="H520" s="5">
        <v>0.22389999999999999</v>
      </c>
      <c r="I520">
        <v>183</v>
      </c>
      <c r="J520" s="4" t="str">
        <f>IF(OR(Копия_20206[[#This Row],[Units (in 1000)]]&gt;$R$7,Копия_20206[[#This Row],[Units (in 1000)]]&lt;$R$6),"outlier","not outlier")</f>
        <v>not outlier</v>
      </c>
      <c r="K520" s="4" t="str">
        <f>IF(OR(Копия_20206[[#This Row],[Value (in 1000 rub)]]&gt;$S$7,Копия_20206[[#This Row],[Value (in 1000 rub)]]&lt;$S$6),"outlier","not outlier")</f>
        <v>not outlier</v>
      </c>
      <c r="L520" s="4" t="str">
        <f>IF(OR(Копия_20206[[#This Row],[Volume (in 1000 kg)]]&gt;$T$7,Копия_20206[[#This Row],[Volume (in 1000 kg)]]&lt;$T$6),"outlier","not outlier")</f>
        <v>not outlier</v>
      </c>
      <c r="M520" s="4" t="str">
        <f>IF(OR(Копия_20206[[#This Row],[Number of stores]]&gt;$U$7,Копия_20206[[#This Row],[Number of stores]]&lt;$U$6),"outlier","not outlier")</f>
        <v>not outlier</v>
      </c>
    </row>
    <row r="521" spans="1:13" x14ac:dyDescent="0.25">
      <c r="A521">
        <v>2020</v>
      </c>
      <c r="B521">
        <v>8</v>
      </c>
      <c r="C521" s="1" t="s">
        <v>8</v>
      </c>
      <c r="D521" s="1" t="s">
        <v>22</v>
      </c>
      <c r="E521" s="1" t="s">
        <v>12</v>
      </c>
      <c r="F521" s="5">
        <v>0.69740000000000002</v>
      </c>
      <c r="G521" s="5">
        <v>127.709397</v>
      </c>
      <c r="H521" s="5">
        <v>0.27889999999999998</v>
      </c>
      <c r="I521">
        <v>187</v>
      </c>
      <c r="J521" s="4" t="str">
        <f>IF(OR(Копия_20206[[#This Row],[Units (in 1000)]]&gt;$R$7,Копия_20206[[#This Row],[Units (in 1000)]]&lt;$R$6),"outlier","not outlier")</f>
        <v>not outlier</v>
      </c>
      <c r="K521" s="4" t="str">
        <f>IF(OR(Копия_20206[[#This Row],[Value (in 1000 rub)]]&gt;$S$7,Копия_20206[[#This Row],[Value (in 1000 rub)]]&lt;$S$6),"outlier","not outlier")</f>
        <v>not outlier</v>
      </c>
      <c r="L521" s="4" t="str">
        <f>IF(OR(Копия_20206[[#This Row],[Volume (in 1000 kg)]]&gt;$T$7,Копия_20206[[#This Row],[Volume (in 1000 kg)]]&lt;$T$6),"outlier","not outlier")</f>
        <v>not outlier</v>
      </c>
      <c r="M521" s="4" t="str">
        <f>IF(OR(Копия_20206[[#This Row],[Number of stores]]&gt;$U$7,Копия_20206[[#This Row],[Number of stores]]&lt;$U$6),"outlier","not outlier")</f>
        <v>not outlier</v>
      </c>
    </row>
    <row r="522" spans="1:13" x14ac:dyDescent="0.25">
      <c r="A522">
        <v>2020</v>
      </c>
      <c r="B522">
        <v>9</v>
      </c>
      <c r="C522" s="1" t="s">
        <v>8</v>
      </c>
      <c r="D522" s="1" t="s">
        <v>22</v>
      </c>
      <c r="E522" s="1" t="s">
        <v>12</v>
      </c>
      <c r="F522" s="5">
        <v>0.47449999999999998</v>
      </c>
      <c r="G522" s="5">
        <v>93.170169000000001</v>
      </c>
      <c r="H522" s="5">
        <v>0.1898</v>
      </c>
      <c r="I522">
        <v>181</v>
      </c>
      <c r="J522" s="4" t="str">
        <f>IF(OR(Копия_20206[[#This Row],[Units (in 1000)]]&gt;$R$7,Копия_20206[[#This Row],[Units (in 1000)]]&lt;$R$6),"outlier","not outlier")</f>
        <v>not outlier</v>
      </c>
      <c r="K522" s="4" t="str">
        <f>IF(OR(Копия_20206[[#This Row],[Value (in 1000 rub)]]&gt;$S$7,Копия_20206[[#This Row],[Value (in 1000 rub)]]&lt;$S$6),"outlier","not outlier")</f>
        <v>not outlier</v>
      </c>
      <c r="L522" s="4" t="str">
        <f>IF(OR(Копия_20206[[#This Row],[Volume (in 1000 kg)]]&gt;$T$7,Копия_20206[[#This Row],[Volume (in 1000 kg)]]&lt;$T$6),"outlier","not outlier")</f>
        <v>not outlier</v>
      </c>
      <c r="M522" s="4" t="str">
        <f>IF(OR(Копия_20206[[#This Row],[Number of stores]]&gt;$U$7,Копия_20206[[#This Row],[Number of stores]]&lt;$U$6),"outlier","not outlier")</f>
        <v>not outlier</v>
      </c>
    </row>
    <row r="523" spans="1:13" x14ac:dyDescent="0.25">
      <c r="A523">
        <v>2020</v>
      </c>
      <c r="B523">
        <v>10</v>
      </c>
      <c r="C523" s="1" t="s">
        <v>8</v>
      </c>
      <c r="D523" s="1" t="s">
        <v>22</v>
      </c>
      <c r="E523" s="1" t="s">
        <v>12</v>
      </c>
      <c r="F523" s="5">
        <v>0.59019999999999995</v>
      </c>
      <c r="G523" s="5">
        <v>116.50214699999999</v>
      </c>
      <c r="H523" s="5">
        <v>0.2361</v>
      </c>
      <c r="I523">
        <v>209</v>
      </c>
      <c r="J523" s="4" t="str">
        <f>IF(OR(Копия_20206[[#This Row],[Units (in 1000)]]&gt;$R$7,Копия_20206[[#This Row],[Units (in 1000)]]&lt;$R$6),"outlier","not outlier")</f>
        <v>not outlier</v>
      </c>
      <c r="K523" s="4" t="str">
        <f>IF(OR(Копия_20206[[#This Row],[Value (in 1000 rub)]]&gt;$S$7,Копия_20206[[#This Row],[Value (in 1000 rub)]]&lt;$S$6),"outlier","not outlier")</f>
        <v>not outlier</v>
      </c>
      <c r="L523" s="4" t="str">
        <f>IF(OR(Копия_20206[[#This Row],[Volume (in 1000 kg)]]&gt;$T$7,Копия_20206[[#This Row],[Volume (in 1000 kg)]]&lt;$T$6),"outlier","not outlier")</f>
        <v>not outlier</v>
      </c>
      <c r="M523" s="4" t="str">
        <f>IF(OR(Копия_20206[[#This Row],[Number of stores]]&gt;$U$7,Копия_20206[[#This Row],[Number of stores]]&lt;$U$6),"outlier","not outlier")</f>
        <v>not outlier</v>
      </c>
    </row>
    <row r="524" spans="1:13" x14ac:dyDescent="0.25">
      <c r="A524">
        <v>2020</v>
      </c>
      <c r="B524">
        <v>11</v>
      </c>
      <c r="C524" s="1" t="s">
        <v>8</v>
      </c>
      <c r="D524" s="1" t="s">
        <v>22</v>
      </c>
      <c r="E524" s="1" t="s">
        <v>12</v>
      </c>
      <c r="F524" s="5">
        <v>0.45989999999999998</v>
      </c>
      <c r="G524" s="5">
        <v>98.216325999999995</v>
      </c>
      <c r="H524" s="5">
        <v>0.18390000000000001</v>
      </c>
      <c r="I524">
        <v>194</v>
      </c>
      <c r="J524" s="4" t="str">
        <f>IF(OR(Копия_20206[[#This Row],[Units (in 1000)]]&gt;$R$7,Копия_20206[[#This Row],[Units (in 1000)]]&lt;$R$6),"outlier","not outlier")</f>
        <v>not outlier</v>
      </c>
      <c r="K524" s="4" t="str">
        <f>IF(OR(Копия_20206[[#This Row],[Value (in 1000 rub)]]&gt;$S$7,Копия_20206[[#This Row],[Value (in 1000 rub)]]&lt;$S$6),"outlier","not outlier")</f>
        <v>not outlier</v>
      </c>
      <c r="L524" s="4" t="str">
        <f>IF(OR(Копия_20206[[#This Row],[Volume (in 1000 kg)]]&gt;$T$7,Копия_20206[[#This Row],[Volume (in 1000 kg)]]&lt;$T$6),"outlier","not outlier")</f>
        <v>not outlier</v>
      </c>
      <c r="M524" s="4" t="str">
        <f>IF(OR(Копия_20206[[#This Row],[Number of stores]]&gt;$U$7,Копия_20206[[#This Row],[Number of stores]]&lt;$U$6),"outlier","not outlier")</f>
        <v>not outlier</v>
      </c>
    </row>
    <row r="525" spans="1:13" x14ac:dyDescent="0.25">
      <c r="A525">
        <v>2020</v>
      </c>
      <c r="B525">
        <v>12</v>
      </c>
      <c r="C525" s="1" t="s">
        <v>8</v>
      </c>
      <c r="D525" s="1" t="s">
        <v>22</v>
      </c>
      <c r="E525" s="1" t="s">
        <v>12</v>
      </c>
      <c r="F525" s="5">
        <v>0.40260000000000001</v>
      </c>
      <c r="G525" s="5">
        <v>87.407708</v>
      </c>
      <c r="H525" s="5">
        <v>0.16109999999999999</v>
      </c>
      <c r="I525">
        <v>202</v>
      </c>
      <c r="J525" s="4" t="str">
        <f>IF(OR(Копия_20206[[#This Row],[Units (in 1000)]]&gt;$R$7,Копия_20206[[#This Row],[Units (in 1000)]]&lt;$R$6),"outlier","not outlier")</f>
        <v>not outlier</v>
      </c>
      <c r="K525" s="4" t="str">
        <f>IF(OR(Копия_20206[[#This Row],[Value (in 1000 rub)]]&gt;$S$7,Копия_20206[[#This Row],[Value (in 1000 rub)]]&lt;$S$6),"outlier","not outlier")</f>
        <v>not outlier</v>
      </c>
      <c r="L525" s="4" t="str">
        <f>IF(OR(Копия_20206[[#This Row],[Volume (in 1000 kg)]]&gt;$T$7,Копия_20206[[#This Row],[Volume (in 1000 kg)]]&lt;$T$6),"outlier","not outlier")</f>
        <v>not outlier</v>
      </c>
      <c r="M525" s="4" t="str">
        <f>IF(OR(Копия_20206[[#This Row],[Number of stores]]&gt;$U$7,Копия_20206[[#This Row],[Number of stores]]&lt;$U$6),"outlier","not outlier")</f>
        <v>not outlier</v>
      </c>
    </row>
    <row r="526" spans="1:13" x14ac:dyDescent="0.25">
      <c r="A526">
        <v>2020</v>
      </c>
      <c r="B526">
        <v>1</v>
      </c>
      <c r="C526" s="1" t="s">
        <v>8</v>
      </c>
      <c r="D526" s="1" t="s">
        <v>19</v>
      </c>
      <c r="E526" s="1" t="s">
        <v>11</v>
      </c>
      <c r="F526" s="5">
        <v>1.6929000000000001</v>
      </c>
      <c r="G526" s="5">
        <v>253.64291900000001</v>
      </c>
      <c r="H526" s="5">
        <v>0.62639999999999996</v>
      </c>
      <c r="I526">
        <v>95</v>
      </c>
      <c r="J526" s="4" t="str">
        <f>IF(OR(Копия_20206[[#This Row],[Units (in 1000)]]&gt;$R$7,Копия_20206[[#This Row],[Units (in 1000)]]&lt;$R$6),"outlier","not outlier")</f>
        <v>not outlier</v>
      </c>
      <c r="K526" s="4" t="str">
        <f>IF(OR(Копия_20206[[#This Row],[Value (in 1000 rub)]]&gt;$S$7,Копия_20206[[#This Row],[Value (in 1000 rub)]]&lt;$S$6),"outlier","not outlier")</f>
        <v>not outlier</v>
      </c>
      <c r="L526" s="4" t="str">
        <f>IF(OR(Копия_20206[[#This Row],[Volume (in 1000 kg)]]&gt;$T$7,Копия_20206[[#This Row],[Volume (in 1000 kg)]]&lt;$T$6),"outlier","not outlier")</f>
        <v>not outlier</v>
      </c>
      <c r="M526" s="4" t="str">
        <f>IF(OR(Копия_20206[[#This Row],[Number of stores]]&gt;$U$7,Копия_20206[[#This Row],[Number of stores]]&lt;$U$6),"outlier","not outlier")</f>
        <v>not outlier</v>
      </c>
    </row>
    <row r="527" spans="1:13" x14ac:dyDescent="0.25">
      <c r="A527">
        <v>2020</v>
      </c>
      <c r="B527">
        <v>1</v>
      </c>
      <c r="C527" s="1" t="s">
        <v>25</v>
      </c>
      <c r="D527" s="1" t="s">
        <v>19</v>
      </c>
      <c r="E527" s="1" t="s">
        <v>11</v>
      </c>
      <c r="F527" s="5">
        <v>1.2559</v>
      </c>
      <c r="G527" s="5">
        <v>207.23231899999999</v>
      </c>
      <c r="H527" s="5">
        <v>0.46479999999999999</v>
      </c>
      <c r="I527">
        <v>355</v>
      </c>
      <c r="J527" s="4" t="str">
        <f>IF(OR(Копия_20206[[#This Row],[Units (in 1000)]]&gt;$R$7,Копия_20206[[#This Row],[Units (in 1000)]]&lt;$R$6),"outlier","not outlier")</f>
        <v>not outlier</v>
      </c>
      <c r="K527" s="4" t="str">
        <f>IF(OR(Копия_20206[[#This Row],[Value (in 1000 rub)]]&gt;$S$7,Копия_20206[[#This Row],[Value (in 1000 rub)]]&lt;$S$6),"outlier","not outlier")</f>
        <v>not outlier</v>
      </c>
      <c r="L527" s="4" t="str">
        <f>IF(OR(Копия_20206[[#This Row],[Volume (in 1000 kg)]]&gt;$T$7,Копия_20206[[#This Row],[Volume (in 1000 kg)]]&lt;$T$6),"outlier","not outlier")</f>
        <v>not outlier</v>
      </c>
      <c r="M527" s="4" t="str">
        <f>IF(OR(Копия_20206[[#This Row],[Number of stores]]&gt;$U$7,Копия_20206[[#This Row],[Number of stores]]&lt;$U$6),"outlier","not outlier")</f>
        <v>not outlier</v>
      </c>
    </row>
    <row r="528" spans="1:13" x14ac:dyDescent="0.25">
      <c r="A528">
        <v>2020</v>
      </c>
      <c r="B528">
        <v>1</v>
      </c>
      <c r="C528" s="1" t="s">
        <v>29</v>
      </c>
      <c r="D528" s="1" t="s">
        <v>19</v>
      </c>
      <c r="E528" s="1" t="s">
        <v>11</v>
      </c>
      <c r="F528" s="5">
        <v>5.5746000000000002</v>
      </c>
      <c r="G528" s="5">
        <v>811.85141999999996</v>
      </c>
      <c r="H528" s="5">
        <v>2.0626000000000002</v>
      </c>
      <c r="I528">
        <v>709</v>
      </c>
      <c r="J528" s="4" t="str">
        <f>IF(OR(Копия_20206[[#This Row],[Units (in 1000)]]&gt;$R$7,Копия_20206[[#This Row],[Units (in 1000)]]&lt;$R$6),"outlier","not outlier")</f>
        <v>not outlier</v>
      </c>
      <c r="K528" s="4" t="str">
        <f>IF(OR(Копия_20206[[#This Row],[Value (in 1000 rub)]]&gt;$S$7,Копия_20206[[#This Row],[Value (in 1000 rub)]]&lt;$S$6),"outlier","not outlier")</f>
        <v>not outlier</v>
      </c>
      <c r="L528" s="4" t="str">
        <f>IF(OR(Копия_20206[[#This Row],[Volume (in 1000 kg)]]&gt;$T$7,Копия_20206[[#This Row],[Volume (in 1000 kg)]]&lt;$T$6),"outlier","not outlier")</f>
        <v>not outlier</v>
      </c>
      <c r="M528" s="4" t="str">
        <f>IF(OR(Копия_20206[[#This Row],[Number of stores]]&gt;$U$7,Копия_20206[[#This Row],[Number of stores]]&lt;$U$6),"outlier","not outlier")</f>
        <v>not outlier</v>
      </c>
    </row>
    <row r="529" spans="1:13" x14ac:dyDescent="0.25">
      <c r="A529">
        <v>2020</v>
      </c>
      <c r="B529">
        <v>2</v>
      </c>
      <c r="C529" s="1" t="s">
        <v>8</v>
      </c>
      <c r="D529" s="1" t="s">
        <v>19</v>
      </c>
      <c r="E529" s="1" t="s">
        <v>11</v>
      </c>
      <c r="F529" s="5">
        <v>1.8528</v>
      </c>
      <c r="G529" s="5">
        <v>281.485434</v>
      </c>
      <c r="H529" s="5">
        <v>0.6855</v>
      </c>
      <c r="I529">
        <v>93</v>
      </c>
      <c r="J529" s="4" t="str">
        <f>IF(OR(Копия_20206[[#This Row],[Units (in 1000)]]&gt;$R$7,Копия_20206[[#This Row],[Units (in 1000)]]&lt;$R$6),"outlier","not outlier")</f>
        <v>not outlier</v>
      </c>
      <c r="K529" s="4" t="str">
        <f>IF(OR(Копия_20206[[#This Row],[Value (in 1000 rub)]]&gt;$S$7,Копия_20206[[#This Row],[Value (in 1000 rub)]]&lt;$S$6),"outlier","not outlier")</f>
        <v>not outlier</v>
      </c>
      <c r="L529" s="4" t="str">
        <f>IF(OR(Копия_20206[[#This Row],[Volume (in 1000 kg)]]&gt;$T$7,Копия_20206[[#This Row],[Volume (in 1000 kg)]]&lt;$T$6),"outlier","not outlier")</f>
        <v>not outlier</v>
      </c>
      <c r="M529" s="4" t="str">
        <f>IF(OR(Копия_20206[[#This Row],[Number of stores]]&gt;$U$7,Копия_20206[[#This Row],[Number of stores]]&lt;$U$6),"outlier","not outlier")</f>
        <v>not outlier</v>
      </c>
    </row>
    <row r="530" spans="1:13" x14ac:dyDescent="0.25">
      <c r="A530">
        <v>2020</v>
      </c>
      <c r="B530">
        <v>2</v>
      </c>
      <c r="C530" s="1" t="s">
        <v>25</v>
      </c>
      <c r="D530" s="1" t="s">
        <v>19</v>
      </c>
      <c r="E530" s="1" t="s">
        <v>11</v>
      </c>
      <c r="F530" s="5">
        <v>1.0449999999999999</v>
      </c>
      <c r="G530" s="5">
        <v>178.409536</v>
      </c>
      <c r="H530" s="5">
        <v>0.3866</v>
      </c>
      <c r="I530">
        <v>253</v>
      </c>
      <c r="J530" s="4" t="str">
        <f>IF(OR(Копия_20206[[#This Row],[Units (in 1000)]]&gt;$R$7,Копия_20206[[#This Row],[Units (in 1000)]]&lt;$R$6),"outlier","not outlier")</f>
        <v>not outlier</v>
      </c>
      <c r="K530" s="4" t="str">
        <f>IF(OR(Копия_20206[[#This Row],[Value (in 1000 rub)]]&gt;$S$7,Копия_20206[[#This Row],[Value (in 1000 rub)]]&lt;$S$6),"outlier","not outlier")</f>
        <v>not outlier</v>
      </c>
      <c r="L530" s="4" t="str">
        <f>IF(OR(Копия_20206[[#This Row],[Volume (in 1000 kg)]]&gt;$T$7,Копия_20206[[#This Row],[Volume (in 1000 kg)]]&lt;$T$6),"outlier","not outlier")</f>
        <v>not outlier</v>
      </c>
      <c r="M530" s="4" t="str">
        <f>IF(OR(Копия_20206[[#This Row],[Number of stores]]&gt;$U$7,Копия_20206[[#This Row],[Number of stores]]&lt;$U$6),"outlier","not outlier")</f>
        <v>not outlier</v>
      </c>
    </row>
    <row r="531" spans="1:13" x14ac:dyDescent="0.25">
      <c r="A531">
        <v>2020</v>
      </c>
      <c r="B531">
        <v>2</v>
      </c>
      <c r="C531" s="1" t="s">
        <v>29</v>
      </c>
      <c r="D531" s="1" t="s">
        <v>19</v>
      </c>
      <c r="E531" s="1" t="s">
        <v>11</v>
      </c>
      <c r="F531" s="5">
        <v>10.983700000000001</v>
      </c>
      <c r="G531" s="5">
        <v>1386.7354989999999</v>
      </c>
      <c r="H531" s="5">
        <v>4.0640000000000001</v>
      </c>
      <c r="I531">
        <v>919</v>
      </c>
      <c r="J531" s="4" t="str">
        <f>IF(OR(Копия_20206[[#This Row],[Units (in 1000)]]&gt;$R$7,Копия_20206[[#This Row],[Units (in 1000)]]&lt;$R$6),"outlier","not outlier")</f>
        <v>not outlier</v>
      </c>
      <c r="K531" s="4" t="str">
        <f>IF(OR(Копия_20206[[#This Row],[Value (in 1000 rub)]]&gt;$S$7,Копия_20206[[#This Row],[Value (in 1000 rub)]]&lt;$S$6),"outlier","not outlier")</f>
        <v>not outlier</v>
      </c>
      <c r="L531" s="4" t="str">
        <f>IF(OR(Копия_20206[[#This Row],[Volume (in 1000 kg)]]&gt;$T$7,Копия_20206[[#This Row],[Volume (in 1000 kg)]]&lt;$T$6),"outlier","not outlier")</f>
        <v>not outlier</v>
      </c>
      <c r="M531" s="4" t="str">
        <f>IF(OR(Копия_20206[[#This Row],[Number of stores]]&gt;$U$7,Копия_20206[[#This Row],[Number of stores]]&lt;$U$6),"outlier","not outlier")</f>
        <v>not outlier</v>
      </c>
    </row>
    <row r="532" spans="1:13" x14ac:dyDescent="0.25">
      <c r="A532">
        <v>2020</v>
      </c>
      <c r="B532">
        <v>3</v>
      </c>
      <c r="C532" s="1" t="s">
        <v>8</v>
      </c>
      <c r="D532" s="1" t="s">
        <v>19</v>
      </c>
      <c r="E532" s="1" t="s">
        <v>11</v>
      </c>
      <c r="F532" s="5">
        <v>2.1223000000000001</v>
      </c>
      <c r="G532" s="5">
        <v>317.591342</v>
      </c>
      <c r="H532" s="5">
        <v>0.7853</v>
      </c>
      <c r="I532">
        <v>95</v>
      </c>
      <c r="J532" s="4" t="str">
        <f>IF(OR(Копия_20206[[#This Row],[Units (in 1000)]]&gt;$R$7,Копия_20206[[#This Row],[Units (in 1000)]]&lt;$R$6),"outlier","not outlier")</f>
        <v>not outlier</v>
      </c>
      <c r="K532" s="4" t="str">
        <f>IF(OR(Копия_20206[[#This Row],[Value (in 1000 rub)]]&gt;$S$7,Копия_20206[[#This Row],[Value (in 1000 rub)]]&lt;$S$6),"outlier","not outlier")</f>
        <v>not outlier</v>
      </c>
      <c r="L532" s="4" t="str">
        <f>IF(OR(Копия_20206[[#This Row],[Volume (in 1000 kg)]]&gt;$T$7,Копия_20206[[#This Row],[Volume (in 1000 kg)]]&lt;$T$6),"outlier","not outlier")</f>
        <v>not outlier</v>
      </c>
      <c r="M532" s="4" t="str">
        <f>IF(OR(Копия_20206[[#This Row],[Number of stores]]&gt;$U$7,Копия_20206[[#This Row],[Number of stores]]&lt;$U$6),"outlier","not outlier")</f>
        <v>not outlier</v>
      </c>
    </row>
    <row r="533" spans="1:13" x14ac:dyDescent="0.25">
      <c r="A533">
        <v>2020</v>
      </c>
      <c r="B533">
        <v>3</v>
      </c>
      <c r="C533" s="1" t="s">
        <v>25</v>
      </c>
      <c r="D533" s="1" t="s">
        <v>19</v>
      </c>
      <c r="E533" s="1" t="s">
        <v>11</v>
      </c>
      <c r="F533" s="5">
        <v>0.74860000000000004</v>
      </c>
      <c r="G533" s="5">
        <v>124.803203</v>
      </c>
      <c r="H533" s="5">
        <v>0.27700000000000002</v>
      </c>
      <c r="I533">
        <v>253</v>
      </c>
      <c r="J533" s="4" t="str">
        <f>IF(OR(Копия_20206[[#This Row],[Units (in 1000)]]&gt;$R$7,Копия_20206[[#This Row],[Units (in 1000)]]&lt;$R$6),"outlier","not outlier")</f>
        <v>not outlier</v>
      </c>
      <c r="K533" s="4" t="str">
        <f>IF(OR(Копия_20206[[#This Row],[Value (in 1000 rub)]]&gt;$S$7,Копия_20206[[#This Row],[Value (in 1000 rub)]]&lt;$S$6),"outlier","not outlier")</f>
        <v>not outlier</v>
      </c>
      <c r="L533" s="4" t="str">
        <f>IF(OR(Копия_20206[[#This Row],[Volume (in 1000 kg)]]&gt;$T$7,Копия_20206[[#This Row],[Volume (in 1000 kg)]]&lt;$T$6),"outlier","not outlier")</f>
        <v>not outlier</v>
      </c>
      <c r="M533" s="4" t="str">
        <f>IF(OR(Копия_20206[[#This Row],[Number of stores]]&gt;$U$7,Копия_20206[[#This Row],[Number of stores]]&lt;$U$6),"outlier","not outlier")</f>
        <v>not outlier</v>
      </c>
    </row>
    <row r="534" spans="1:13" x14ac:dyDescent="0.25">
      <c r="A534">
        <v>2020</v>
      </c>
      <c r="B534">
        <v>3</v>
      </c>
      <c r="C534" s="1" t="s">
        <v>29</v>
      </c>
      <c r="D534" s="1" t="s">
        <v>19</v>
      </c>
      <c r="E534" s="1" t="s">
        <v>11</v>
      </c>
      <c r="F534" s="5">
        <v>8.5074000000000005</v>
      </c>
      <c r="G534" s="5">
        <v>1124.5899529999999</v>
      </c>
      <c r="H534" s="5">
        <v>3.1476999999999999</v>
      </c>
      <c r="I534">
        <v>869</v>
      </c>
      <c r="J534" s="4" t="str">
        <f>IF(OR(Копия_20206[[#This Row],[Units (in 1000)]]&gt;$R$7,Копия_20206[[#This Row],[Units (in 1000)]]&lt;$R$6),"outlier","not outlier")</f>
        <v>not outlier</v>
      </c>
      <c r="K534" s="4" t="str">
        <f>IF(OR(Копия_20206[[#This Row],[Value (in 1000 rub)]]&gt;$S$7,Копия_20206[[#This Row],[Value (in 1000 rub)]]&lt;$S$6),"outlier","not outlier")</f>
        <v>not outlier</v>
      </c>
      <c r="L534" s="4" t="str">
        <f>IF(OR(Копия_20206[[#This Row],[Volume (in 1000 kg)]]&gt;$T$7,Копия_20206[[#This Row],[Volume (in 1000 kg)]]&lt;$T$6),"outlier","not outlier")</f>
        <v>not outlier</v>
      </c>
      <c r="M534" s="4" t="str">
        <f>IF(OR(Копия_20206[[#This Row],[Number of stores]]&gt;$U$7,Копия_20206[[#This Row],[Number of stores]]&lt;$U$6),"outlier","not outlier")</f>
        <v>not outlier</v>
      </c>
    </row>
    <row r="535" spans="1:13" x14ac:dyDescent="0.25">
      <c r="A535">
        <v>2020</v>
      </c>
      <c r="B535">
        <v>4</v>
      </c>
      <c r="C535" s="1" t="s">
        <v>8</v>
      </c>
      <c r="D535" s="1" t="s">
        <v>19</v>
      </c>
      <c r="E535" s="1" t="s">
        <v>11</v>
      </c>
      <c r="F535" s="5">
        <v>1.8156000000000001</v>
      </c>
      <c r="G535" s="5">
        <v>283.72120799999999</v>
      </c>
      <c r="H535" s="5">
        <v>0.67169999999999996</v>
      </c>
      <c r="I535">
        <v>115</v>
      </c>
      <c r="J535" s="4" t="str">
        <f>IF(OR(Копия_20206[[#This Row],[Units (in 1000)]]&gt;$R$7,Копия_20206[[#This Row],[Units (in 1000)]]&lt;$R$6),"outlier","not outlier")</f>
        <v>not outlier</v>
      </c>
      <c r="K535" s="4" t="str">
        <f>IF(OR(Копия_20206[[#This Row],[Value (in 1000 rub)]]&gt;$S$7,Копия_20206[[#This Row],[Value (in 1000 rub)]]&lt;$S$6),"outlier","not outlier")</f>
        <v>not outlier</v>
      </c>
      <c r="L535" s="4" t="str">
        <f>IF(OR(Копия_20206[[#This Row],[Volume (in 1000 kg)]]&gt;$T$7,Копия_20206[[#This Row],[Volume (in 1000 kg)]]&lt;$T$6),"outlier","not outlier")</f>
        <v>not outlier</v>
      </c>
      <c r="M535" s="4" t="str">
        <f>IF(OR(Копия_20206[[#This Row],[Number of stores]]&gt;$U$7,Копия_20206[[#This Row],[Number of stores]]&lt;$U$6),"outlier","not outlier")</f>
        <v>not outlier</v>
      </c>
    </row>
    <row r="536" spans="1:13" x14ac:dyDescent="0.25">
      <c r="A536">
        <v>2020</v>
      </c>
      <c r="B536">
        <v>4</v>
      </c>
      <c r="C536" s="1" t="s">
        <v>25</v>
      </c>
      <c r="D536" s="1" t="s">
        <v>19</v>
      </c>
      <c r="E536" s="1" t="s">
        <v>11</v>
      </c>
      <c r="F536" s="5">
        <v>1.1032999999999999</v>
      </c>
      <c r="G536" s="5">
        <v>186.01915199999999</v>
      </c>
      <c r="H536" s="5">
        <v>0.40820000000000001</v>
      </c>
      <c r="I536">
        <v>406</v>
      </c>
      <c r="J536" s="4" t="str">
        <f>IF(OR(Копия_20206[[#This Row],[Units (in 1000)]]&gt;$R$7,Копия_20206[[#This Row],[Units (in 1000)]]&lt;$R$6),"outlier","not outlier")</f>
        <v>not outlier</v>
      </c>
      <c r="K536" s="4" t="str">
        <f>IF(OR(Копия_20206[[#This Row],[Value (in 1000 rub)]]&gt;$S$7,Копия_20206[[#This Row],[Value (in 1000 rub)]]&lt;$S$6),"outlier","not outlier")</f>
        <v>not outlier</v>
      </c>
      <c r="L536" s="4" t="str">
        <f>IF(OR(Копия_20206[[#This Row],[Volume (in 1000 kg)]]&gt;$T$7,Копия_20206[[#This Row],[Volume (in 1000 kg)]]&lt;$T$6),"outlier","not outlier")</f>
        <v>not outlier</v>
      </c>
      <c r="M536" s="4" t="str">
        <f>IF(OR(Копия_20206[[#This Row],[Number of stores]]&gt;$U$7,Копия_20206[[#This Row],[Number of stores]]&lt;$U$6),"outlier","not outlier")</f>
        <v>not outlier</v>
      </c>
    </row>
    <row r="537" spans="1:13" x14ac:dyDescent="0.25">
      <c r="A537">
        <v>2020</v>
      </c>
      <c r="B537">
        <v>4</v>
      </c>
      <c r="C537" s="1" t="s">
        <v>29</v>
      </c>
      <c r="D537" s="1" t="s">
        <v>19</v>
      </c>
      <c r="E537" s="1" t="s">
        <v>11</v>
      </c>
      <c r="F537" s="5">
        <v>4.6311</v>
      </c>
      <c r="G537" s="5">
        <v>722.76364899999999</v>
      </c>
      <c r="H537" s="5">
        <v>1.7135</v>
      </c>
      <c r="I537">
        <v>743</v>
      </c>
      <c r="J537" s="4" t="str">
        <f>IF(OR(Копия_20206[[#This Row],[Units (in 1000)]]&gt;$R$7,Копия_20206[[#This Row],[Units (in 1000)]]&lt;$R$6),"outlier","not outlier")</f>
        <v>not outlier</v>
      </c>
      <c r="K537" s="4" t="str">
        <f>IF(OR(Копия_20206[[#This Row],[Value (in 1000 rub)]]&gt;$S$7,Копия_20206[[#This Row],[Value (in 1000 rub)]]&lt;$S$6),"outlier","not outlier")</f>
        <v>not outlier</v>
      </c>
      <c r="L537" s="4" t="str">
        <f>IF(OR(Копия_20206[[#This Row],[Volume (in 1000 kg)]]&gt;$T$7,Копия_20206[[#This Row],[Volume (in 1000 kg)]]&lt;$T$6),"outlier","not outlier")</f>
        <v>not outlier</v>
      </c>
      <c r="M537" s="4" t="str">
        <f>IF(OR(Копия_20206[[#This Row],[Number of stores]]&gt;$U$7,Копия_20206[[#This Row],[Number of stores]]&lt;$U$6),"outlier","not outlier")</f>
        <v>not outlier</v>
      </c>
    </row>
    <row r="538" spans="1:13" x14ac:dyDescent="0.25">
      <c r="A538">
        <v>2020</v>
      </c>
      <c r="B538">
        <v>5</v>
      </c>
      <c r="C538" s="1" t="s">
        <v>8</v>
      </c>
      <c r="D538" s="1" t="s">
        <v>19</v>
      </c>
      <c r="E538" s="1" t="s">
        <v>11</v>
      </c>
      <c r="F538" s="5">
        <v>2.1726000000000001</v>
      </c>
      <c r="G538" s="5">
        <v>330.982913</v>
      </c>
      <c r="H538" s="5">
        <v>0.80379999999999996</v>
      </c>
      <c r="I538">
        <v>138</v>
      </c>
      <c r="J538" s="4" t="str">
        <f>IF(OR(Копия_20206[[#This Row],[Units (in 1000)]]&gt;$R$7,Копия_20206[[#This Row],[Units (in 1000)]]&lt;$R$6),"outlier","not outlier")</f>
        <v>not outlier</v>
      </c>
      <c r="K538" s="4" t="str">
        <f>IF(OR(Копия_20206[[#This Row],[Value (in 1000 rub)]]&gt;$S$7,Копия_20206[[#This Row],[Value (in 1000 rub)]]&lt;$S$6),"outlier","not outlier")</f>
        <v>not outlier</v>
      </c>
      <c r="L538" s="4" t="str">
        <f>IF(OR(Копия_20206[[#This Row],[Volume (in 1000 kg)]]&gt;$T$7,Копия_20206[[#This Row],[Volume (in 1000 kg)]]&lt;$T$6),"outlier","not outlier")</f>
        <v>not outlier</v>
      </c>
      <c r="M538" s="4" t="str">
        <f>IF(OR(Копия_20206[[#This Row],[Number of stores]]&gt;$U$7,Копия_20206[[#This Row],[Number of stores]]&lt;$U$6),"outlier","not outlier")</f>
        <v>not outlier</v>
      </c>
    </row>
    <row r="539" spans="1:13" x14ac:dyDescent="0.25">
      <c r="A539">
        <v>2020</v>
      </c>
      <c r="B539">
        <v>5</v>
      </c>
      <c r="C539" s="1" t="s">
        <v>25</v>
      </c>
      <c r="D539" s="1" t="s">
        <v>19</v>
      </c>
      <c r="E539" s="1" t="s">
        <v>11</v>
      </c>
      <c r="F539" s="5">
        <v>1.528</v>
      </c>
      <c r="G539" s="5">
        <v>224.94618399999999</v>
      </c>
      <c r="H539" s="5">
        <v>0.56540000000000001</v>
      </c>
      <c r="I539">
        <v>327</v>
      </c>
      <c r="J539" s="4" t="str">
        <f>IF(OR(Копия_20206[[#This Row],[Units (in 1000)]]&gt;$R$7,Копия_20206[[#This Row],[Units (in 1000)]]&lt;$R$6),"outlier","not outlier")</f>
        <v>not outlier</v>
      </c>
      <c r="K539" s="4" t="str">
        <f>IF(OR(Копия_20206[[#This Row],[Value (in 1000 rub)]]&gt;$S$7,Копия_20206[[#This Row],[Value (in 1000 rub)]]&lt;$S$6),"outlier","not outlier")</f>
        <v>not outlier</v>
      </c>
      <c r="L539" s="4" t="str">
        <f>IF(OR(Копия_20206[[#This Row],[Volume (in 1000 kg)]]&gt;$T$7,Копия_20206[[#This Row],[Volume (in 1000 kg)]]&lt;$T$6),"outlier","not outlier")</f>
        <v>not outlier</v>
      </c>
      <c r="M539" s="4" t="str">
        <f>IF(OR(Копия_20206[[#This Row],[Number of stores]]&gt;$U$7,Копия_20206[[#This Row],[Number of stores]]&lt;$U$6),"outlier","not outlier")</f>
        <v>not outlier</v>
      </c>
    </row>
    <row r="540" spans="1:13" x14ac:dyDescent="0.25">
      <c r="A540">
        <v>2020</v>
      </c>
      <c r="B540">
        <v>5</v>
      </c>
      <c r="C540" s="1" t="s">
        <v>29</v>
      </c>
      <c r="D540" s="1" t="s">
        <v>19</v>
      </c>
      <c r="E540" s="1" t="s">
        <v>11</v>
      </c>
      <c r="F540" s="5">
        <v>6.3243</v>
      </c>
      <c r="G540" s="5">
        <v>868.844336</v>
      </c>
      <c r="H540" s="5">
        <v>2.34</v>
      </c>
      <c r="I540">
        <v>827</v>
      </c>
      <c r="J540" s="4" t="str">
        <f>IF(OR(Копия_20206[[#This Row],[Units (in 1000)]]&gt;$R$7,Копия_20206[[#This Row],[Units (in 1000)]]&lt;$R$6),"outlier","not outlier")</f>
        <v>not outlier</v>
      </c>
      <c r="K540" s="4" t="str">
        <f>IF(OR(Копия_20206[[#This Row],[Value (in 1000 rub)]]&gt;$S$7,Копия_20206[[#This Row],[Value (in 1000 rub)]]&lt;$S$6),"outlier","not outlier")</f>
        <v>not outlier</v>
      </c>
      <c r="L540" s="4" t="str">
        <f>IF(OR(Копия_20206[[#This Row],[Volume (in 1000 kg)]]&gt;$T$7,Копия_20206[[#This Row],[Volume (in 1000 kg)]]&lt;$T$6),"outlier","not outlier")</f>
        <v>not outlier</v>
      </c>
      <c r="M540" s="4" t="str">
        <f>IF(OR(Копия_20206[[#This Row],[Number of stores]]&gt;$U$7,Копия_20206[[#This Row],[Number of stores]]&lt;$U$6),"outlier","not outlier")</f>
        <v>not outlier</v>
      </c>
    </row>
    <row r="541" spans="1:13" x14ac:dyDescent="0.25">
      <c r="A541">
        <v>2020</v>
      </c>
      <c r="B541">
        <v>6</v>
      </c>
      <c r="C541" s="1" t="s">
        <v>8</v>
      </c>
      <c r="D541" s="1" t="s">
        <v>19</v>
      </c>
      <c r="E541" s="1" t="s">
        <v>11</v>
      </c>
      <c r="F541" s="5">
        <v>2.7663000000000002</v>
      </c>
      <c r="G541" s="5">
        <v>391.48222600000003</v>
      </c>
      <c r="H541" s="5">
        <v>1.0235000000000001</v>
      </c>
      <c r="I541">
        <v>150</v>
      </c>
      <c r="J541" s="4" t="str">
        <f>IF(OR(Копия_20206[[#This Row],[Units (in 1000)]]&gt;$R$7,Копия_20206[[#This Row],[Units (in 1000)]]&lt;$R$6),"outlier","not outlier")</f>
        <v>not outlier</v>
      </c>
      <c r="K541" s="4" t="str">
        <f>IF(OR(Копия_20206[[#This Row],[Value (in 1000 rub)]]&gt;$S$7,Копия_20206[[#This Row],[Value (in 1000 rub)]]&lt;$S$6),"outlier","not outlier")</f>
        <v>not outlier</v>
      </c>
      <c r="L541" s="4" t="str">
        <f>IF(OR(Копия_20206[[#This Row],[Volume (in 1000 kg)]]&gt;$T$7,Копия_20206[[#This Row],[Volume (in 1000 kg)]]&lt;$T$6),"outlier","not outlier")</f>
        <v>not outlier</v>
      </c>
      <c r="M541" s="4" t="str">
        <f>IF(OR(Копия_20206[[#This Row],[Number of stores]]&gt;$U$7,Копия_20206[[#This Row],[Number of stores]]&lt;$U$6),"outlier","not outlier")</f>
        <v>not outlier</v>
      </c>
    </row>
    <row r="542" spans="1:13" x14ac:dyDescent="0.25">
      <c r="A542">
        <v>2020</v>
      </c>
      <c r="B542">
        <v>6</v>
      </c>
      <c r="C542" s="1" t="s">
        <v>25</v>
      </c>
      <c r="D542" s="1" t="s">
        <v>19</v>
      </c>
      <c r="E542" s="1" t="s">
        <v>11</v>
      </c>
      <c r="F542" s="5">
        <v>1.3844000000000001</v>
      </c>
      <c r="G542" s="5">
        <v>236.517256</v>
      </c>
      <c r="H542" s="5">
        <v>0.51229999999999998</v>
      </c>
      <c r="I542">
        <v>320</v>
      </c>
      <c r="J542" s="4" t="str">
        <f>IF(OR(Копия_20206[[#This Row],[Units (in 1000)]]&gt;$R$7,Копия_20206[[#This Row],[Units (in 1000)]]&lt;$R$6),"outlier","not outlier")</f>
        <v>not outlier</v>
      </c>
      <c r="K542" s="4" t="str">
        <f>IF(OR(Копия_20206[[#This Row],[Value (in 1000 rub)]]&gt;$S$7,Копия_20206[[#This Row],[Value (in 1000 rub)]]&lt;$S$6),"outlier","not outlier")</f>
        <v>not outlier</v>
      </c>
      <c r="L542" s="4" t="str">
        <f>IF(OR(Копия_20206[[#This Row],[Volume (in 1000 kg)]]&gt;$T$7,Копия_20206[[#This Row],[Volume (in 1000 kg)]]&lt;$T$6),"outlier","not outlier")</f>
        <v>not outlier</v>
      </c>
      <c r="M542" s="4" t="str">
        <f>IF(OR(Копия_20206[[#This Row],[Number of stores]]&gt;$U$7,Копия_20206[[#This Row],[Number of stores]]&lt;$U$6),"outlier","not outlier")</f>
        <v>not outlier</v>
      </c>
    </row>
    <row r="543" spans="1:13" x14ac:dyDescent="0.25">
      <c r="A543">
        <v>2020</v>
      </c>
      <c r="B543">
        <v>6</v>
      </c>
      <c r="C543" s="1" t="s">
        <v>29</v>
      </c>
      <c r="D543" s="1" t="s">
        <v>19</v>
      </c>
      <c r="E543" s="1" t="s">
        <v>11</v>
      </c>
      <c r="F543" s="5">
        <v>8.0562000000000005</v>
      </c>
      <c r="G543" s="5">
        <v>1209.3945510000001</v>
      </c>
      <c r="H543" s="5">
        <v>2.9807999999999999</v>
      </c>
      <c r="I543">
        <v>630</v>
      </c>
      <c r="J543" s="4" t="str">
        <f>IF(OR(Копия_20206[[#This Row],[Units (in 1000)]]&gt;$R$7,Копия_20206[[#This Row],[Units (in 1000)]]&lt;$R$6),"outlier","not outlier")</f>
        <v>not outlier</v>
      </c>
      <c r="K543" s="4" t="str">
        <f>IF(OR(Копия_20206[[#This Row],[Value (in 1000 rub)]]&gt;$S$7,Копия_20206[[#This Row],[Value (in 1000 rub)]]&lt;$S$6),"outlier","not outlier")</f>
        <v>not outlier</v>
      </c>
      <c r="L543" s="4" t="str">
        <f>IF(OR(Копия_20206[[#This Row],[Volume (in 1000 kg)]]&gt;$T$7,Копия_20206[[#This Row],[Volume (in 1000 kg)]]&lt;$T$6),"outlier","not outlier")</f>
        <v>not outlier</v>
      </c>
      <c r="M543" s="4" t="str">
        <f>IF(OR(Копия_20206[[#This Row],[Number of stores]]&gt;$U$7,Копия_20206[[#This Row],[Number of stores]]&lt;$U$6),"outlier","not outlier")</f>
        <v>not outlier</v>
      </c>
    </row>
    <row r="544" spans="1:13" x14ac:dyDescent="0.25">
      <c r="A544">
        <v>2020</v>
      </c>
      <c r="B544">
        <v>7</v>
      </c>
      <c r="C544" s="1" t="s">
        <v>8</v>
      </c>
      <c r="D544" s="1" t="s">
        <v>19</v>
      </c>
      <c r="E544" s="1" t="s">
        <v>11</v>
      </c>
      <c r="F544" s="5">
        <v>2.7746</v>
      </c>
      <c r="G544" s="5">
        <v>382.44563799999997</v>
      </c>
      <c r="H544" s="5">
        <v>1.0266999999999999</v>
      </c>
      <c r="I544">
        <v>151</v>
      </c>
      <c r="J544" s="4" t="str">
        <f>IF(OR(Копия_20206[[#This Row],[Units (in 1000)]]&gt;$R$7,Копия_20206[[#This Row],[Units (in 1000)]]&lt;$R$6),"outlier","not outlier")</f>
        <v>not outlier</v>
      </c>
      <c r="K544" s="4" t="str">
        <f>IF(OR(Копия_20206[[#This Row],[Value (in 1000 rub)]]&gt;$S$7,Копия_20206[[#This Row],[Value (in 1000 rub)]]&lt;$S$6),"outlier","not outlier")</f>
        <v>not outlier</v>
      </c>
      <c r="L544" s="4" t="str">
        <f>IF(OR(Копия_20206[[#This Row],[Volume (in 1000 kg)]]&gt;$T$7,Копия_20206[[#This Row],[Volume (in 1000 kg)]]&lt;$T$6),"outlier","not outlier")</f>
        <v>not outlier</v>
      </c>
      <c r="M544" s="4" t="str">
        <f>IF(OR(Копия_20206[[#This Row],[Number of stores]]&gt;$U$7,Копия_20206[[#This Row],[Number of stores]]&lt;$U$6),"outlier","not outlier")</f>
        <v>not outlier</v>
      </c>
    </row>
    <row r="545" spans="1:13" x14ac:dyDescent="0.25">
      <c r="A545">
        <v>2020</v>
      </c>
      <c r="B545">
        <v>7</v>
      </c>
      <c r="C545" s="1" t="s">
        <v>25</v>
      </c>
      <c r="D545" s="1" t="s">
        <v>19</v>
      </c>
      <c r="E545" s="1" t="s">
        <v>11</v>
      </c>
      <c r="F545" s="5">
        <v>0.79969999999999997</v>
      </c>
      <c r="G545" s="5">
        <v>132.96428599999999</v>
      </c>
      <c r="H545" s="5">
        <v>0.2959</v>
      </c>
      <c r="I545">
        <v>484</v>
      </c>
      <c r="J545" s="4" t="str">
        <f>IF(OR(Копия_20206[[#This Row],[Units (in 1000)]]&gt;$R$7,Копия_20206[[#This Row],[Units (in 1000)]]&lt;$R$6),"outlier","not outlier")</f>
        <v>not outlier</v>
      </c>
      <c r="K545" s="4" t="str">
        <f>IF(OR(Копия_20206[[#This Row],[Value (in 1000 rub)]]&gt;$S$7,Копия_20206[[#This Row],[Value (in 1000 rub)]]&lt;$S$6),"outlier","not outlier")</f>
        <v>not outlier</v>
      </c>
      <c r="L545" s="4" t="str">
        <f>IF(OR(Копия_20206[[#This Row],[Volume (in 1000 kg)]]&gt;$T$7,Копия_20206[[#This Row],[Volume (in 1000 kg)]]&lt;$T$6),"outlier","not outlier")</f>
        <v>not outlier</v>
      </c>
      <c r="M545" s="4" t="str">
        <f>IF(OR(Копия_20206[[#This Row],[Number of stores]]&gt;$U$7,Копия_20206[[#This Row],[Number of stores]]&lt;$U$6),"outlier","not outlier")</f>
        <v>not outlier</v>
      </c>
    </row>
    <row r="546" spans="1:13" x14ac:dyDescent="0.25">
      <c r="A546">
        <v>2020</v>
      </c>
      <c r="B546">
        <v>7</v>
      </c>
      <c r="C546" s="1" t="s">
        <v>29</v>
      </c>
      <c r="D546" s="1" t="s">
        <v>19</v>
      </c>
      <c r="E546" s="1" t="s">
        <v>11</v>
      </c>
      <c r="F546" s="5">
        <v>2.5478999999999998</v>
      </c>
      <c r="G546" s="5">
        <v>411.200988</v>
      </c>
      <c r="H546" s="5">
        <v>0.94269999999999998</v>
      </c>
      <c r="I546">
        <v>718</v>
      </c>
      <c r="J546" s="4" t="str">
        <f>IF(OR(Копия_20206[[#This Row],[Units (in 1000)]]&gt;$R$7,Копия_20206[[#This Row],[Units (in 1000)]]&lt;$R$6),"outlier","not outlier")</f>
        <v>not outlier</v>
      </c>
      <c r="K546" s="4" t="str">
        <f>IF(OR(Копия_20206[[#This Row],[Value (in 1000 rub)]]&gt;$S$7,Копия_20206[[#This Row],[Value (in 1000 rub)]]&lt;$S$6),"outlier","not outlier")</f>
        <v>not outlier</v>
      </c>
      <c r="L546" s="4" t="str">
        <f>IF(OR(Копия_20206[[#This Row],[Volume (in 1000 kg)]]&gt;$T$7,Копия_20206[[#This Row],[Volume (in 1000 kg)]]&lt;$T$6),"outlier","not outlier")</f>
        <v>not outlier</v>
      </c>
      <c r="M546" s="4" t="str">
        <f>IF(OR(Копия_20206[[#This Row],[Number of stores]]&gt;$U$7,Копия_20206[[#This Row],[Number of stores]]&lt;$U$6),"outlier","not outlier")</f>
        <v>not outlier</v>
      </c>
    </row>
    <row r="547" spans="1:13" x14ac:dyDescent="0.25">
      <c r="A547">
        <v>2020</v>
      </c>
      <c r="B547">
        <v>8</v>
      </c>
      <c r="C547" s="1" t="s">
        <v>8</v>
      </c>
      <c r="D547" s="1" t="s">
        <v>19</v>
      </c>
      <c r="E547" s="1" t="s">
        <v>11</v>
      </c>
      <c r="F547" s="5">
        <v>2.5219999999999998</v>
      </c>
      <c r="G547" s="5">
        <v>373.79846400000002</v>
      </c>
      <c r="H547" s="5">
        <v>0.93310000000000004</v>
      </c>
      <c r="I547">
        <v>153</v>
      </c>
      <c r="J547" s="4" t="str">
        <f>IF(OR(Копия_20206[[#This Row],[Units (in 1000)]]&gt;$R$7,Копия_20206[[#This Row],[Units (in 1000)]]&lt;$R$6),"outlier","not outlier")</f>
        <v>not outlier</v>
      </c>
      <c r="K547" s="4" t="str">
        <f>IF(OR(Копия_20206[[#This Row],[Value (in 1000 rub)]]&gt;$S$7,Копия_20206[[#This Row],[Value (in 1000 rub)]]&lt;$S$6),"outlier","not outlier")</f>
        <v>not outlier</v>
      </c>
      <c r="L547" s="4" t="str">
        <f>IF(OR(Копия_20206[[#This Row],[Volume (in 1000 kg)]]&gt;$T$7,Копия_20206[[#This Row],[Volume (in 1000 kg)]]&lt;$T$6),"outlier","not outlier")</f>
        <v>not outlier</v>
      </c>
      <c r="M547" s="4" t="str">
        <f>IF(OR(Копия_20206[[#This Row],[Number of stores]]&gt;$U$7,Копия_20206[[#This Row],[Number of stores]]&lt;$U$6),"outlier","not outlier")</f>
        <v>not outlier</v>
      </c>
    </row>
    <row r="548" spans="1:13" x14ac:dyDescent="0.25">
      <c r="A548">
        <v>2020</v>
      </c>
      <c r="B548">
        <v>8</v>
      </c>
      <c r="C548" s="1" t="s">
        <v>25</v>
      </c>
      <c r="D548" s="1" t="s">
        <v>19</v>
      </c>
      <c r="E548" s="1" t="s">
        <v>11</v>
      </c>
      <c r="F548" s="5">
        <v>1.1263000000000001</v>
      </c>
      <c r="G548" s="5">
        <v>178.45250200000001</v>
      </c>
      <c r="H548" s="5">
        <v>0.41670000000000001</v>
      </c>
      <c r="I548">
        <v>409</v>
      </c>
      <c r="J548" s="4" t="str">
        <f>IF(OR(Копия_20206[[#This Row],[Units (in 1000)]]&gt;$R$7,Копия_20206[[#This Row],[Units (in 1000)]]&lt;$R$6),"outlier","not outlier")</f>
        <v>not outlier</v>
      </c>
      <c r="K548" s="4" t="str">
        <f>IF(OR(Копия_20206[[#This Row],[Value (in 1000 rub)]]&gt;$S$7,Копия_20206[[#This Row],[Value (in 1000 rub)]]&lt;$S$6),"outlier","not outlier")</f>
        <v>not outlier</v>
      </c>
      <c r="L548" s="4" t="str">
        <f>IF(OR(Копия_20206[[#This Row],[Volume (in 1000 kg)]]&gt;$T$7,Копия_20206[[#This Row],[Volume (in 1000 kg)]]&lt;$T$6),"outlier","not outlier")</f>
        <v>not outlier</v>
      </c>
      <c r="M548" s="4" t="str">
        <f>IF(OR(Копия_20206[[#This Row],[Number of stores]]&gt;$U$7,Копия_20206[[#This Row],[Number of stores]]&lt;$U$6),"outlier","not outlier")</f>
        <v>not outlier</v>
      </c>
    </row>
    <row r="549" spans="1:13" x14ac:dyDescent="0.25">
      <c r="A549">
        <v>2020</v>
      </c>
      <c r="B549">
        <v>8</v>
      </c>
      <c r="C549" s="1" t="s">
        <v>29</v>
      </c>
      <c r="D549" s="1" t="s">
        <v>19</v>
      </c>
      <c r="E549" s="1" t="s">
        <v>11</v>
      </c>
      <c r="F549" s="5">
        <v>2.5182000000000002</v>
      </c>
      <c r="G549" s="5">
        <v>415.78386399999999</v>
      </c>
      <c r="H549" s="5">
        <v>0.93169999999999997</v>
      </c>
      <c r="I549">
        <v>479</v>
      </c>
      <c r="J549" s="4" t="str">
        <f>IF(OR(Копия_20206[[#This Row],[Units (in 1000)]]&gt;$R$7,Копия_20206[[#This Row],[Units (in 1000)]]&lt;$R$6),"outlier","not outlier")</f>
        <v>not outlier</v>
      </c>
      <c r="K549" s="4" t="str">
        <f>IF(OR(Копия_20206[[#This Row],[Value (in 1000 rub)]]&gt;$S$7,Копия_20206[[#This Row],[Value (in 1000 rub)]]&lt;$S$6),"outlier","not outlier")</f>
        <v>not outlier</v>
      </c>
      <c r="L549" s="4" t="str">
        <f>IF(OR(Копия_20206[[#This Row],[Volume (in 1000 kg)]]&gt;$T$7,Копия_20206[[#This Row],[Volume (in 1000 kg)]]&lt;$T$6),"outlier","not outlier")</f>
        <v>not outlier</v>
      </c>
      <c r="M549" s="4" t="str">
        <f>IF(OR(Копия_20206[[#This Row],[Number of stores]]&gt;$U$7,Копия_20206[[#This Row],[Number of stores]]&lt;$U$6),"outlier","not outlier")</f>
        <v>not outlier</v>
      </c>
    </row>
    <row r="550" spans="1:13" x14ac:dyDescent="0.25">
      <c r="A550">
        <v>2020</v>
      </c>
      <c r="B550">
        <v>9</v>
      </c>
      <c r="C550" s="1" t="s">
        <v>8</v>
      </c>
      <c r="D550" s="1" t="s">
        <v>19</v>
      </c>
      <c r="E550" s="1" t="s">
        <v>11</v>
      </c>
      <c r="F550" s="5">
        <v>2.4628999999999999</v>
      </c>
      <c r="G550" s="5">
        <v>369.87360899999999</v>
      </c>
      <c r="H550" s="5">
        <v>0.9113</v>
      </c>
      <c r="I550">
        <v>162</v>
      </c>
      <c r="J550" s="4" t="str">
        <f>IF(OR(Копия_20206[[#This Row],[Units (in 1000)]]&gt;$R$7,Копия_20206[[#This Row],[Units (in 1000)]]&lt;$R$6),"outlier","not outlier")</f>
        <v>not outlier</v>
      </c>
      <c r="K550" s="4" t="str">
        <f>IF(OR(Копия_20206[[#This Row],[Value (in 1000 rub)]]&gt;$S$7,Копия_20206[[#This Row],[Value (in 1000 rub)]]&lt;$S$6),"outlier","not outlier")</f>
        <v>not outlier</v>
      </c>
      <c r="L550" s="4" t="str">
        <f>IF(OR(Копия_20206[[#This Row],[Volume (in 1000 kg)]]&gt;$T$7,Копия_20206[[#This Row],[Volume (in 1000 kg)]]&lt;$T$6),"outlier","not outlier")</f>
        <v>not outlier</v>
      </c>
      <c r="M550" s="4" t="str">
        <f>IF(OR(Копия_20206[[#This Row],[Number of stores]]&gt;$U$7,Копия_20206[[#This Row],[Number of stores]]&lt;$U$6),"outlier","not outlier")</f>
        <v>not outlier</v>
      </c>
    </row>
    <row r="551" spans="1:13" x14ac:dyDescent="0.25">
      <c r="A551">
        <v>2020</v>
      </c>
      <c r="B551">
        <v>9</v>
      </c>
      <c r="C551" s="1" t="s">
        <v>25</v>
      </c>
      <c r="D551" s="1" t="s">
        <v>19</v>
      </c>
      <c r="E551" s="1" t="s">
        <v>11</v>
      </c>
      <c r="F551" s="5">
        <v>0.62429999999999997</v>
      </c>
      <c r="G551" s="5">
        <v>99.389678000000004</v>
      </c>
      <c r="H551" s="5">
        <v>0.23100000000000001</v>
      </c>
      <c r="I551">
        <v>234</v>
      </c>
      <c r="J551" s="4" t="str">
        <f>IF(OR(Копия_20206[[#This Row],[Units (in 1000)]]&gt;$R$7,Копия_20206[[#This Row],[Units (in 1000)]]&lt;$R$6),"outlier","not outlier")</f>
        <v>not outlier</v>
      </c>
      <c r="K551" s="4" t="str">
        <f>IF(OR(Копия_20206[[#This Row],[Value (in 1000 rub)]]&gt;$S$7,Копия_20206[[#This Row],[Value (in 1000 rub)]]&lt;$S$6),"outlier","not outlier")</f>
        <v>not outlier</v>
      </c>
      <c r="L551" s="4" t="str">
        <f>IF(OR(Копия_20206[[#This Row],[Volume (in 1000 kg)]]&gt;$T$7,Копия_20206[[#This Row],[Volume (in 1000 kg)]]&lt;$T$6),"outlier","not outlier")</f>
        <v>not outlier</v>
      </c>
      <c r="M551" s="4" t="str">
        <f>IF(OR(Копия_20206[[#This Row],[Number of stores]]&gt;$U$7,Копия_20206[[#This Row],[Number of stores]]&lt;$U$6),"outlier","not outlier")</f>
        <v>not outlier</v>
      </c>
    </row>
    <row r="552" spans="1:13" x14ac:dyDescent="0.25">
      <c r="A552">
        <v>2020</v>
      </c>
      <c r="B552">
        <v>9</v>
      </c>
      <c r="C552" s="1" t="s">
        <v>29</v>
      </c>
      <c r="D552" s="1" t="s">
        <v>19</v>
      </c>
      <c r="E552" s="1" t="s">
        <v>11</v>
      </c>
      <c r="F552" s="5">
        <v>2.9929000000000001</v>
      </c>
      <c r="G552" s="5">
        <v>496.05571300000003</v>
      </c>
      <c r="H552" s="5">
        <v>1.1073999999999999</v>
      </c>
      <c r="I552">
        <v>574</v>
      </c>
      <c r="J552" s="4" t="str">
        <f>IF(OR(Копия_20206[[#This Row],[Units (in 1000)]]&gt;$R$7,Копия_20206[[#This Row],[Units (in 1000)]]&lt;$R$6),"outlier","not outlier")</f>
        <v>not outlier</v>
      </c>
      <c r="K552" s="4" t="str">
        <f>IF(OR(Копия_20206[[#This Row],[Value (in 1000 rub)]]&gt;$S$7,Копия_20206[[#This Row],[Value (in 1000 rub)]]&lt;$S$6),"outlier","not outlier")</f>
        <v>not outlier</v>
      </c>
      <c r="L552" s="4" t="str">
        <f>IF(OR(Копия_20206[[#This Row],[Volume (in 1000 kg)]]&gt;$T$7,Копия_20206[[#This Row],[Volume (in 1000 kg)]]&lt;$T$6),"outlier","not outlier")</f>
        <v>not outlier</v>
      </c>
      <c r="M552" s="4" t="str">
        <f>IF(OR(Копия_20206[[#This Row],[Number of stores]]&gt;$U$7,Копия_20206[[#This Row],[Number of stores]]&lt;$U$6),"outlier","not outlier")</f>
        <v>not outlier</v>
      </c>
    </row>
    <row r="553" spans="1:13" x14ac:dyDescent="0.25">
      <c r="A553">
        <v>2020</v>
      </c>
      <c r="B553">
        <v>10</v>
      </c>
      <c r="C553" s="1" t="s">
        <v>8</v>
      </c>
      <c r="D553" s="1" t="s">
        <v>19</v>
      </c>
      <c r="E553" s="1" t="s">
        <v>11</v>
      </c>
      <c r="F553" s="5">
        <v>2.7065000000000001</v>
      </c>
      <c r="G553" s="5">
        <v>367.06660799999997</v>
      </c>
      <c r="H553" s="5">
        <v>1.0014000000000001</v>
      </c>
      <c r="I553">
        <v>167</v>
      </c>
      <c r="J553" s="4" t="str">
        <f>IF(OR(Копия_20206[[#This Row],[Units (in 1000)]]&gt;$R$7,Копия_20206[[#This Row],[Units (in 1000)]]&lt;$R$6),"outlier","not outlier")</f>
        <v>not outlier</v>
      </c>
      <c r="K553" s="4" t="str">
        <f>IF(OR(Копия_20206[[#This Row],[Value (in 1000 rub)]]&gt;$S$7,Копия_20206[[#This Row],[Value (in 1000 rub)]]&lt;$S$6),"outlier","not outlier")</f>
        <v>not outlier</v>
      </c>
      <c r="L553" s="4" t="str">
        <f>IF(OR(Копия_20206[[#This Row],[Volume (in 1000 kg)]]&gt;$T$7,Копия_20206[[#This Row],[Volume (in 1000 kg)]]&lt;$T$6),"outlier","not outlier")</f>
        <v>not outlier</v>
      </c>
      <c r="M553" s="4" t="str">
        <f>IF(OR(Копия_20206[[#This Row],[Number of stores]]&gt;$U$7,Копия_20206[[#This Row],[Number of stores]]&lt;$U$6),"outlier","not outlier")</f>
        <v>not outlier</v>
      </c>
    </row>
    <row r="554" spans="1:13" x14ac:dyDescent="0.25">
      <c r="A554">
        <v>2020</v>
      </c>
      <c r="B554">
        <v>10</v>
      </c>
      <c r="C554" s="1" t="s">
        <v>25</v>
      </c>
      <c r="D554" s="1" t="s">
        <v>19</v>
      </c>
      <c r="E554" s="1" t="s">
        <v>11</v>
      </c>
      <c r="F554" s="5">
        <v>0.76800000000000002</v>
      </c>
      <c r="G554" s="5">
        <v>129.93482800000001</v>
      </c>
      <c r="H554" s="5">
        <v>0.28410000000000002</v>
      </c>
      <c r="I554">
        <v>201</v>
      </c>
      <c r="J554" s="4" t="str">
        <f>IF(OR(Копия_20206[[#This Row],[Units (in 1000)]]&gt;$R$7,Копия_20206[[#This Row],[Units (in 1000)]]&lt;$R$6),"outlier","not outlier")</f>
        <v>not outlier</v>
      </c>
      <c r="K554" s="4" t="str">
        <f>IF(OR(Копия_20206[[#This Row],[Value (in 1000 rub)]]&gt;$S$7,Копия_20206[[#This Row],[Value (in 1000 rub)]]&lt;$S$6),"outlier","not outlier")</f>
        <v>not outlier</v>
      </c>
      <c r="L554" s="4" t="str">
        <f>IF(OR(Копия_20206[[#This Row],[Volume (in 1000 kg)]]&gt;$T$7,Копия_20206[[#This Row],[Volume (in 1000 kg)]]&lt;$T$6),"outlier","not outlier")</f>
        <v>not outlier</v>
      </c>
      <c r="M554" s="4" t="str">
        <f>IF(OR(Копия_20206[[#This Row],[Number of stores]]&gt;$U$7,Копия_20206[[#This Row],[Number of stores]]&lt;$U$6),"outlier","not outlier")</f>
        <v>not outlier</v>
      </c>
    </row>
    <row r="555" spans="1:13" x14ac:dyDescent="0.25">
      <c r="A555">
        <v>2020</v>
      </c>
      <c r="B555">
        <v>10</v>
      </c>
      <c r="C555" s="1" t="s">
        <v>29</v>
      </c>
      <c r="D555" s="1" t="s">
        <v>19</v>
      </c>
      <c r="E555" s="1" t="s">
        <v>11</v>
      </c>
      <c r="F555" s="5">
        <v>2.4586000000000001</v>
      </c>
      <c r="G555" s="5">
        <v>381.16135500000001</v>
      </c>
      <c r="H555" s="5">
        <v>0.90969999999999995</v>
      </c>
      <c r="I555">
        <v>584</v>
      </c>
      <c r="J555" s="4" t="str">
        <f>IF(OR(Копия_20206[[#This Row],[Units (in 1000)]]&gt;$R$7,Копия_20206[[#This Row],[Units (in 1000)]]&lt;$R$6),"outlier","not outlier")</f>
        <v>not outlier</v>
      </c>
      <c r="K555" s="4" t="str">
        <f>IF(OR(Копия_20206[[#This Row],[Value (in 1000 rub)]]&gt;$S$7,Копия_20206[[#This Row],[Value (in 1000 rub)]]&lt;$S$6),"outlier","not outlier")</f>
        <v>not outlier</v>
      </c>
      <c r="L555" s="4" t="str">
        <f>IF(OR(Копия_20206[[#This Row],[Volume (in 1000 kg)]]&gt;$T$7,Копия_20206[[#This Row],[Volume (in 1000 kg)]]&lt;$T$6),"outlier","not outlier")</f>
        <v>not outlier</v>
      </c>
      <c r="M555" s="4" t="str">
        <f>IF(OR(Копия_20206[[#This Row],[Number of stores]]&gt;$U$7,Копия_20206[[#This Row],[Number of stores]]&lt;$U$6),"outlier","not outlier")</f>
        <v>not outlier</v>
      </c>
    </row>
    <row r="556" spans="1:13" x14ac:dyDescent="0.25">
      <c r="A556">
        <v>2020</v>
      </c>
      <c r="B556">
        <v>11</v>
      </c>
      <c r="C556" s="1" t="s">
        <v>8</v>
      </c>
      <c r="D556" s="1" t="s">
        <v>19</v>
      </c>
      <c r="E556" s="1" t="s">
        <v>11</v>
      </c>
      <c r="F556" s="5">
        <v>1.8088</v>
      </c>
      <c r="G556" s="5">
        <v>249.37645599999999</v>
      </c>
      <c r="H556" s="5">
        <v>0.6694</v>
      </c>
      <c r="I556">
        <v>160</v>
      </c>
      <c r="J556" s="4" t="str">
        <f>IF(OR(Копия_20206[[#This Row],[Units (in 1000)]]&gt;$R$7,Копия_20206[[#This Row],[Units (in 1000)]]&lt;$R$6),"outlier","not outlier")</f>
        <v>not outlier</v>
      </c>
      <c r="K556" s="4" t="str">
        <f>IF(OR(Копия_20206[[#This Row],[Value (in 1000 rub)]]&gt;$S$7,Копия_20206[[#This Row],[Value (in 1000 rub)]]&lt;$S$6),"outlier","not outlier")</f>
        <v>not outlier</v>
      </c>
      <c r="L556" s="4" t="str">
        <f>IF(OR(Копия_20206[[#This Row],[Volume (in 1000 kg)]]&gt;$T$7,Копия_20206[[#This Row],[Volume (in 1000 kg)]]&lt;$T$6),"outlier","not outlier")</f>
        <v>not outlier</v>
      </c>
      <c r="M556" s="4" t="str">
        <f>IF(OR(Копия_20206[[#This Row],[Number of stores]]&gt;$U$7,Копия_20206[[#This Row],[Number of stores]]&lt;$U$6),"outlier","not outlier")</f>
        <v>not outlier</v>
      </c>
    </row>
    <row r="557" spans="1:13" x14ac:dyDescent="0.25">
      <c r="A557">
        <v>2020</v>
      </c>
      <c r="B557">
        <v>11</v>
      </c>
      <c r="C557" s="1" t="s">
        <v>25</v>
      </c>
      <c r="D557" s="1" t="s">
        <v>19</v>
      </c>
      <c r="E557" s="1" t="s">
        <v>11</v>
      </c>
      <c r="F557" s="5">
        <v>0.72909999999999997</v>
      </c>
      <c r="G557" s="5">
        <v>122.897301</v>
      </c>
      <c r="H557" s="5">
        <v>0.2697</v>
      </c>
      <c r="I557">
        <v>195</v>
      </c>
      <c r="J557" s="4" t="str">
        <f>IF(OR(Копия_20206[[#This Row],[Units (in 1000)]]&gt;$R$7,Копия_20206[[#This Row],[Units (in 1000)]]&lt;$R$6),"outlier","not outlier")</f>
        <v>not outlier</v>
      </c>
      <c r="K557" s="4" t="str">
        <f>IF(OR(Копия_20206[[#This Row],[Value (in 1000 rub)]]&gt;$S$7,Копия_20206[[#This Row],[Value (in 1000 rub)]]&lt;$S$6),"outlier","not outlier")</f>
        <v>not outlier</v>
      </c>
      <c r="L557" s="4" t="str">
        <f>IF(OR(Копия_20206[[#This Row],[Volume (in 1000 kg)]]&gt;$T$7,Копия_20206[[#This Row],[Volume (in 1000 kg)]]&lt;$T$6),"outlier","not outlier")</f>
        <v>not outlier</v>
      </c>
      <c r="M557" s="4" t="str">
        <f>IF(OR(Копия_20206[[#This Row],[Number of stores]]&gt;$U$7,Копия_20206[[#This Row],[Number of stores]]&lt;$U$6),"outlier","not outlier")</f>
        <v>not outlier</v>
      </c>
    </row>
    <row r="558" spans="1:13" x14ac:dyDescent="0.25">
      <c r="A558">
        <v>2020</v>
      </c>
      <c r="B558">
        <v>11</v>
      </c>
      <c r="C558" s="1" t="s">
        <v>29</v>
      </c>
      <c r="D558" s="1" t="s">
        <v>19</v>
      </c>
      <c r="E558" s="1" t="s">
        <v>11</v>
      </c>
      <c r="F558" s="5">
        <v>3.1013000000000002</v>
      </c>
      <c r="G558" s="5">
        <v>405.38521600000001</v>
      </c>
      <c r="H558" s="5">
        <v>1.1475</v>
      </c>
      <c r="I558">
        <v>432</v>
      </c>
      <c r="J558" s="4" t="str">
        <f>IF(OR(Копия_20206[[#This Row],[Units (in 1000)]]&gt;$R$7,Копия_20206[[#This Row],[Units (in 1000)]]&lt;$R$6),"outlier","not outlier")</f>
        <v>not outlier</v>
      </c>
      <c r="K558" s="4" t="str">
        <f>IF(OR(Копия_20206[[#This Row],[Value (in 1000 rub)]]&gt;$S$7,Копия_20206[[#This Row],[Value (in 1000 rub)]]&lt;$S$6),"outlier","not outlier")</f>
        <v>not outlier</v>
      </c>
      <c r="L558" s="4" t="str">
        <f>IF(OR(Копия_20206[[#This Row],[Volume (in 1000 kg)]]&gt;$T$7,Копия_20206[[#This Row],[Volume (in 1000 kg)]]&lt;$T$6),"outlier","not outlier")</f>
        <v>not outlier</v>
      </c>
      <c r="M558" s="4" t="str">
        <f>IF(OR(Копия_20206[[#This Row],[Number of stores]]&gt;$U$7,Копия_20206[[#This Row],[Number of stores]]&lt;$U$6),"outlier","not outlier")</f>
        <v>not outlier</v>
      </c>
    </row>
    <row r="559" spans="1:13" x14ac:dyDescent="0.25">
      <c r="A559">
        <v>2020</v>
      </c>
      <c r="B559">
        <v>12</v>
      </c>
      <c r="C559" s="1" t="s">
        <v>8</v>
      </c>
      <c r="D559" s="1" t="s">
        <v>19</v>
      </c>
      <c r="E559" s="1" t="s">
        <v>11</v>
      </c>
      <c r="F559" s="5">
        <v>1.1941999999999999</v>
      </c>
      <c r="G559" s="5">
        <v>162.46889400000001</v>
      </c>
      <c r="H559" s="5">
        <v>0.44190000000000002</v>
      </c>
      <c r="I559">
        <v>133</v>
      </c>
      <c r="J559" s="4" t="str">
        <f>IF(OR(Копия_20206[[#This Row],[Units (in 1000)]]&gt;$R$7,Копия_20206[[#This Row],[Units (in 1000)]]&lt;$R$6),"outlier","not outlier")</f>
        <v>not outlier</v>
      </c>
      <c r="K559" s="4" t="str">
        <f>IF(OR(Копия_20206[[#This Row],[Value (in 1000 rub)]]&gt;$S$7,Копия_20206[[#This Row],[Value (in 1000 rub)]]&lt;$S$6),"outlier","not outlier")</f>
        <v>not outlier</v>
      </c>
      <c r="L559" s="4" t="str">
        <f>IF(OR(Копия_20206[[#This Row],[Volume (in 1000 kg)]]&gt;$T$7,Копия_20206[[#This Row],[Volume (in 1000 kg)]]&lt;$T$6),"outlier","not outlier")</f>
        <v>not outlier</v>
      </c>
      <c r="M559" s="4" t="str">
        <f>IF(OR(Копия_20206[[#This Row],[Number of stores]]&gt;$U$7,Копия_20206[[#This Row],[Number of stores]]&lt;$U$6),"outlier","not outlier")</f>
        <v>not outlier</v>
      </c>
    </row>
    <row r="560" spans="1:13" x14ac:dyDescent="0.25">
      <c r="A560">
        <v>2020</v>
      </c>
      <c r="B560">
        <v>12</v>
      </c>
      <c r="C560" s="1" t="s">
        <v>25</v>
      </c>
      <c r="D560" s="1" t="s">
        <v>19</v>
      </c>
      <c r="E560" s="1" t="s">
        <v>11</v>
      </c>
      <c r="F560" s="5">
        <v>1.0039</v>
      </c>
      <c r="G560" s="5">
        <v>159.75604799999999</v>
      </c>
      <c r="H560" s="5">
        <v>0.37140000000000001</v>
      </c>
      <c r="I560">
        <v>460</v>
      </c>
      <c r="J560" s="4" t="str">
        <f>IF(OR(Копия_20206[[#This Row],[Units (in 1000)]]&gt;$R$7,Копия_20206[[#This Row],[Units (in 1000)]]&lt;$R$6),"outlier","not outlier")</f>
        <v>not outlier</v>
      </c>
      <c r="K560" s="4" t="str">
        <f>IF(OR(Копия_20206[[#This Row],[Value (in 1000 rub)]]&gt;$S$7,Копия_20206[[#This Row],[Value (in 1000 rub)]]&lt;$S$6),"outlier","not outlier")</f>
        <v>not outlier</v>
      </c>
      <c r="L560" s="4" t="str">
        <f>IF(OR(Копия_20206[[#This Row],[Volume (in 1000 kg)]]&gt;$T$7,Копия_20206[[#This Row],[Volume (in 1000 kg)]]&lt;$T$6),"outlier","not outlier")</f>
        <v>not outlier</v>
      </c>
      <c r="M560" s="4" t="str">
        <f>IF(OR(Копия_20206[[#This Row],[Number of stores]]&gt;$U$7,Копия_20206[[#This Row],[Number of stores]]&lt;$U$6),"outlier","not outlier")</f>
        <v>not outlier</v>
      </c>
    </row>
    <row r="561" spans="1:13" x14ac:dyDescent="0.25">
      <c r="A561">
        <v>2020</v>
      </c>
      <c r="B561">
        <v>12</v>
      </c>
      <c r="C561" s="1" t="s">
        <v>29</v>
      </c>
      <c r="D561" s="1" t="s">
        <v>19</v>
      </c>
      <c r="E561" s="1" t="s">
        <v>11</v>
      </c>
      <c r="F561" s="5">
        <v>2.1985000000000001</v>
      </c>
      <c r="G561" s="5">
        <v>309.21940499999999</v>
      </c>
      <c r="H561" s="5">
        <v>0.81340000000000001</v>
      </c>
      <c r="I561">
        <v>511</v>
      </c>
      <c r="J561" s="4" t="str">
        <f>IF(OR(Копия_20206[[#This Row],[Units (in 1000)]]&gt;$R$7,Копия_20206[[#This Row],[Units (in 1000)]]&lt;$R$6),"outlier","not outlier")</f>
        <v>not outlier</v>
      </c>
      <c r="K561" s="4" t="str">
        <f>IF(OR(Копия_20206[[#This Row],[Value (in 1000 rub)]]&gt;$S$7,Копия_20206[[#This Row],[Value (in 1000 rub)]]&lt;$S$6),"outlier","not outlier")</f>
        <v>not outlier</v>
      </c>
      <c r="L561" s="4" t="str">
        <f>IF(OR(Копия_20206[[#This Row],[Volume (in 1000 kg)]]&gt;$T$7,Копия_20206[[#This Row],[Volume (in 1000 kg)]]&lt;$T$6),"outlier","not outlier")</f>
        <v>not outlier</v>
      </c>
      <c r="M561" s="4" t="str">
        <f>IF(OR(Копия_20206[[#This Row],[Number of stores]]&gt;$U$7,Копия_20206[[#This Row],[Number of stores]]&lt;$U$6),"outlier","not outlier")</f>
        <v>not outlier</v>
      </c>
    </row>
    <row r="562" spans="1:13" x14ac:dyDescent="0.25">
      <c r="A562">
        <v>2020</v>
      </c>
      <c r="B562">
        <v>12</v>
      </c>
      <c r="C562" s="1" t="s">
        <v>25</v>
      </c>
      <c r="D562" s="1" t="s">
        <v>61</v>
      </c>
      <c r="E562" s="1" t="s">
        <v>11</v>
      </c>
      <c r="F562" s="5">
        <v>0.51149999999999995</v>
      </c>
      <c r="G562" s="5">
        <v>35.519098999999997</v>
      </c>
      <c r="H562" s="5">
        <v>0.1867</v>
      </c>
      <c r="I562">
        <v>0</v>
      </c>
      <c r="J562" s="4" t="str">
        <f>IF(OR(Копия_20206[[#This Row],[Units (in 1000)]]&gt;$R$7,Копия_20206[[#This Row],[Units (in 1000)]]&lt;$R$6),"outlier","not outlier")</f>
        <v>not outlier</v>
      </c>
      <c r="K562" s="4" t="str">
        <f>IF(OR(Копия_20206[[#This Row],[Value (in 1000 rub)]]&gt;$S$7,Копия_20206[[#This Row],[Value (in 1000 rub)]]&lt;$S$6),"outlier","not outlier")</f>
        <v>not outlier</v>
      </c>
      <c r="L562" s="4" t="str">
        <f>IF(OR(Копия_20206[[#This Row],[Volume (in 1000 kg)]]&gt;$T$7,Копия_20206[[#This Row],[Volume (in 1000 kg)]]&lt;$T$6),"outlier","not outlier")</f>
        <v>not outlier</v>
      </c>
      <c r="M562" s="4" t="str">
        <f>IF(OR(Копия_20206[[#This Row],[Number of stores]]&gt;$U$7,Копия_20206[[#This Row],[Number of stores]]&lt;$U$6),"outlier","not outlier")</f>
        <v>not outlier</v>
      </c>
    </row>
    <row r="563" spans="1:13" x14ac:dyDescent="0.25">
      <c r="A563">
        <v>2020</v>
      </c>
      <c r="B563">
        <v>4</v>
      </c>
      <c r="C563" s="1" t="s">
        <v>25</v>
      </c>
      <c r="D563" s="1" t="s">
        <v>43</v>
      </c>
      <c r="E563" s="1" t="s">
        <v>12</v>
      </c>
      <c r="F563" s="5">
        <v>0.33460000000000001</v>
      </c>
      <c r="G563" s="5">
        <v>58.388658999999997</v>
      </c>
      <c r="H563" s="5">
        <v>0.1673</v>
      </c>
      <c r="I563">
        <v>0</v>
      </c>
      <c r="J563" s="4" t="str">
        <f>IF(OR(Копия_20206[[#This Row],[Units (in 1000)]]&gt;$R$7,Копия_20206[[#This Row],[Units (in 1000)]]&lt;$R$6),"outlier","not outlier")</f>
        <v>not outlier</v>
      </c>
      <c r="K563" s="4" t="str">
        <f>IF(OR(Копия_20206[[#This Row],[Value (in 1000 rub)]]&gt;$S$7,Копия_20206[[#This Row],[Value (in 1000 rub)]]&lt;$S$6),"outlier","not outlier")</f>
        <v>not outlier</v>
      </c>
      <c r="L563" s="4" t="str">
        <f>IF(OR(Копия_20206[[#This Row],[Volume (in 1000 kg)]]&gt;$T$7,Копия_20206[[#This Row],[Volume (in 1000 kg)]]&lt;$T$6),"outlier","not outlier")</f>
        <v>not outlier</v>
      </c>
      <c r="M563" s="4" t="str">
        <f>IF(OR(Копия_20206[[#This Row],[Number of stores]]&gt;$U$7,Копия_20206[[#This Row],[Number of stores]]&lt;$U$6),"outlier","not outlier")</f>
        <v>not outlier</v>
      </c>
    </row>
    <row r="564" spans="1:13" x14ac:dyDescent="0.25">
      <c r="A564">
        <v>2020</v>
      </c>
      <c r="B564">
        <v>5</v>
      </c>
      <c r="C564" s="1" t="s">
        <v>25</v>
      </c>
      <c r="D564" s="1" t="s">
        <v>59</v>
      </c>
      <c r="E564" s="1" t="s">
        <v>11</v>
      </c>
      <c r="F564" s="5">
        <v>0.70879999999999999</v>
      </c>
      <c r="G564" s="5">
        <v>42.527850000000001</v>
      </c>
      <c r="H564" s="5">
        <v>0.24809999999999999</v>
      </c>
      <c r="I564">
        <v>188</v>
      </c>
      <c r="J564" s="4" t="str">
        <f>IF(OR(Копия_20206[[#This Row],[Units (in 1000)]]&gt;$R$7,Копия_20206[[#This Row],[Units (in 1000)]]&lt;$R$6),"outlier","not outlier")</f>
        <v>not outlier</v>
      </c>
      <c r="K564" s="4" t="str">
        <f>IF(OR(Копия_20206[[#This Row],[Value (in 1000 rub)]]&gt;$S$7,Копия_20206[[#This Row],[Value (in 1000 rub)]]&lt;$S$6),"outlier","not outlier")</f>
        <v>not outlier</v>
      </c>
      <c r="L564" s="4" t="str">
        <f>IF(OR(Копия_20206[[#This Row],[Volume (in 1000 kg)]]&gt;$T$7,Копия_20206[[#This Row],[Volume (in 1000 kg)]]&lt;$T$6),"outlier","not outlier")</f>
        <v>not outlier</v>
      </c>
      <c r="M564" s="4" t="str">
        <f>IF(OR(Копия_20206[[#This Row],[Number of stores]]&gt;$U$7,Копия_20206[[#This Row],[Number of stores]]&lt;$U$6),"outlier","not outlier")</f>
        <v>not outlier</v>
      </c>
    </row>
    <row r="565" spans="1:13" x14ac:dyDescent="0.25">
      <c r="A565">
        <v>2020</v>
      </c>
      <c r="B565">
        <v>2</v>
      </c>
      <c r="C565" s="1" t="s">
        <v>25</v>
      </c>
      <c r="D565" s="1" t="s">
        <v>36</v>
      </c>
      <c r="E565" s="1" t="s">
        <v>35</v>
      </c>
      <c r="F565" s="5">
        <v>0.1532</v>
      </c>
      <c r="G565" s="5">
        <v>27.976054999999999</v>
      </c>
      <c r="H565" s="5">
        <v>4.9099999999999998E-2</v>
      </c>
      <c r="I565">
        <v>0</v>
      </c>
      <c r="J565" s="4" t="str">
        <f>IF(OR(Копия_20206[[#This Row],[Units (in 1000)]]&gt;$R$7,Копия_20206[[#This Row],[Units (in 1000)]]&lt;$R$6),"outlier","not outlier")</f>
        <v>not outlier</v>
      </c>
      <c r="K565" s="4" t="str">
        <f>IF(OR(Копия_20206[[#This Row],[Value (in 1000 rub)]]&gt;$S$7,Копия_20206[[#This Row],[Value (in 1000 rub)]]&lt;$S$6),"outlier","not outlier")</f>
        <v>not outlier</v>
      </c>
      <c r="L565" s="4" t="str">
        <f>IF(OR(Копия_20206[[#This Row],[Volume (in 1000 kg)]]&gt;$T$7,Копия_20206[[#This Row],[Volume (in 1000 kg)]]&lt;$T$6),"outlier","not outlier")</f>
        <v>not outlier</v>
      </c>
      <c r="M565" s="4" t="str">
        <f>IF(OR(Копия_20206[[#This Row],[Number of stores]]&gt;$U$7,Копия_20206[[#This Row],[Number of stores]]&lt;$U$6),"outlier","not outlier")</f>
        <v>not outlier</v>
      </c>
    </row>
    <row r="566" spans="1:13" x14ac:dyDescent="0.25">
      <c r="A566">
        <v>2020</v>
      </c>
      <c r="B566">
        <v>2</v>
      </c>
      <c r="C566" s="1" t="s">
        <v>25</v>
      </c>
      <c r="D566" s="1" t="s">
        <v>36</v>
      </c>
      <c r="E566" s="1" t="s">
        <v>12</v>
      </c>
      <c r="F566" s="5">
        <v>2.9499999999999998E-2</v>
      </c>
      <c r="G566" s="5">
        <v>2.7168909999999999</v>
      </c>
      <c r="H566" s="5">
        <v>1.18E-2</v>
      </c>
      <c r="I566">
        <v>0</v>
      </c>
      <c r="J566" s="4" t="str">
        <f>IF(OR(Копия_20206[[#This Row],[Units (in 1000)]]&gt;$R$7,Копия_20206[[#This Row],[Units (in 1000)]]&lt;$R$6),"outlier","not outlier")</f>
        <v>not outlier</v>
      </c>
      <c r="K566" s="4" t="str">
        <f>IF(OR(Копия_20206[[#This Row],[Value (in 1000 rub)]]&gt;$S$7,Копия_20206[[#This Row],[Value (in 1000 rub)]]&lt;$S$6),"outlier","not outlier")</f>
        <v>not outlier</v>
      </c>
      <c r="L566" s="4" t="str">
        <f>IF(OR(Копия_20206[[#This Row],[Volume (in 1000 kg)]]&gt;$T$7,Копия_20206[[#This Row],[Volume (in 1000 kg)]]&lt;$T$6),"outlier","not outlier")</f>
        <v>not outlier</v>
      </c>
      <c r="M566" s="4" t="str">
        <f>IF(OR(Копия_20206[[#This Row],[Number of stores]]&gt;$U$7,Копия_20206[[#This Row],[Number of stores]]&lt;$U$6),"outlier","not outlier")</f>
        <v>not outlier</v>
      </c>
    </row>
    <row r="567" spans="1:13" x14ac:dyDescent="0.25">
      <c r="A567">
        <v>2020</v>
      </c>
      <c r="B567">
        <v>1</v>
      </c>
      <c r="C567" s="1" t="s">
        <v>29</v>
      </c>
      <c r="D567" s="1" t="s">
        <v>28</v>
      </c>
      <c r="E567" s="1" t="s">
        <v>18</v>
      </c>
      <c r="F567" s="5">
        <v>0.34050000000000002</v>
      </c>
      <c r="G567" s="5">
        <v>46.280242000000001</v>
      </c>
      <c r="H567" s="5">
        <v>6.13E-2</v>
      </c>
      <c r="I567">
        <v>63</v>
      </c>
      <c r="J567" s="4" t="str">
        <f>IF(OR(Копия_20206[[#This Row],[Units (in 1000)]]&gt;$R$7,Копия_20206[[#This Row],[Units (in 1000)]]&lt;$R$6),"outlier","not outlier")</f>
        <v>not outlier</v>
      </c>
      <c r="K567" s="4" t="str">
        <f>IF(OR(Копия_20206[[#This Row],[Value (in 1000 rub)]]&gt;$S$7,Копия_20206[[#This Row],[Value (in 1000 rub)]]&lt;$S$6),"outlier","not outlier")</f>
        <v>not outlier</v>
      </c>
      <c r="L567" s="4" t="str">
        <f>IF(OR(Копия_20206[[#This Row],[Volume (in 1000 kg)]]&gt;$T$7,Копия_20206[[#This Row],[Volume (in 1000 kg)]]&lt;$T$6),"outlier","not outlier")</f>
        <v>not outlier</v>
      </c>
      <c r="M567" s="4" t="str">
        <f>IF(OR(Копия_20206[[#This Row],[Number of stores]]&gt;$U$7,Копия_20206[[#This Row],[Number of stores]]&lt;$U$6),"outlier","not outlier")</f>
        <v>not outlier</v>
      </c>
    </row>
    <row r="568" spans="1:13" x14ac:dyDescent="0.25">
      <c r="A568">
        <v>2020</v>
      </c>
      <c r="B568">
        <v>1</v>
      </c>
      <c r="C568" s="1" t="s">
        <v>29</v>
      </c>
      <c r="D568" s="1" t="s">
        <v>28</v>
      </c>
      <c r="E568" s="1" t="s">
        <v>11</v>
      </c>
      <c r="F568" s="5">
        <v>0.74890000000000001</v>
      </c>
      <c r="G568" s="5">
        <v>144.09554900000001</v>
      </c>
      <c r="H568" s="5">
        <v>0.26219999999999999</v>
      </c>
      <c r="I568">
        <v>67</v>
      </c>
      <c r="J568" s="4" t="str">
        <f>IF(OR(Копия_20206[[#This Row],[Units (in 1000)]]&gt;$R$7,Копия_20206[[#This Row],[Units (in 1000)]]&lt;$R$6),"outlier","not outlier")</f>
        <v>not outlier</v>
      </c>
      <c r="K568" s="4" t="str">
        <f>IF(OR(Копия_20206[[#This Row],[Value (in 1000 rub)]]&gt;$S$7,Копия_20206[[#This Row],[Value (in 1000 rub)]]&lt;$S$6),"outlier","not outlier")</f>
        <v>not outlier</v>
      </c>
      <c r="L568" s="4" t="str">
        <f>IF(OR(Копия_20206[[#This Row],[Volume (in 1000 kg)]]&gt;$T$7,Копия_20206[[#This Row],[Volume (in 1000 kg)]]&lt;$T$6),"outlier","not outlier")</f>
        <v>not outlier</v>
      </c>
      <c r="M568" s="4" t="str">
        <f>IF(OR(Копия_20206[[#This Row],[Number of stores]]&gt;$U$7,Копия_20206[[#This Row],[Number of stores]]&lt;$U$6),"outlier","not outlier")</f>
        <v>not outlier</v>
      </c>
    </row>
    <row r="569" spans="1:13" x14ac:dyDescent="0.25">
      <c r="A569">
        <v>2020</v>
      </c>
      <c r="B569">
        <v>2</v>
      </c>
      <c r="C569" s="1" t="s">
        <v>25</v>
      </c>
      <c r="D569" s="1" t="s">
        <v>28</v>
      </c>
      <c r="E569" s="1" t="s">
        <v>18</v>
      </c>
      <c r="F569" s="5">
        <v>2.2700000000000001E-2</v>
      </c>
      <c r="G569" s="5">
        <v>3.238388</v>
      </c>
      <c r="H569" s="5">
        <v>4.1000000000000003E-3</v>
      </c>
      <c r="I569">
        <v>0</v>
      </c>
      <c r="J569" s="4" t="str">
        <f>IF(OR(Копия_20206[[#This Row],[Units (in 1000)]]&gt;$R$7,Копия_20206[[#This Row],[Units (in 1000)]]&lt;$R$6),"outlier","not outlier")</f>
        <v>not outlier</v>
      </c>
      <c r="K569" s="4" t="str">
        <f>IF(OR(Копия_20206[[#This Row],[Value (in 1000 rub)]]&gt;$S$7,Копия_20206[[#This Row],[Value (in 1000 rub)]]&lt;$S$6),"outlier","not outlier")</f>
        <v>not outlier</v>
      </c>
      <c r="L569" s="4" t="str">
        <f>IF(OR(Копия_20206[[#This Row],[Volume (in 1000 kg)]]&gt;$T$7,Копия_20206[[#This Row],[Volume (in 1000 kg)]]&lt;$T$6),"outlier","not outlier")</f>
        <v>not outlier</v>
      </c>
      <c r="M569" s="4" t="str">
        <f>IF(OR(Копия_20206[[#This Row],[Number of stores]]&gt;$U$7,Копия_20206[[#This Row],[Number of stores]]&lt;$U$6),"outlier","not outlier")</f>
        <v>not outlier</v>
      </c>
    </row>
    <row r="570" spans="1:13" x14ac:dyDescent="0.25">
      <c r="A570">
        <v>2020</v>
      </c>
      <c r="B570">
        <v>2</v>
      </c>
      <c r="C570" s="1" t="s">
        <v>25</v>
      </c>
      <c r="D570" s="1" t="s">
        <v>28</v>
      </c>
      <c r="E570" s="1" t="s">
        <v>11</v>
      </c>
      <c r="F570" s="5">
        <v>0.18310000000000001</v>
      </c>
      <c r="G570" s="5">
        <v>36.294018000000001</v>
      </c>
      <c r="H570" s="5">
        <v>6.4100000000000004E-2</v>
      </c>
      <c r="I570">
        <v>0</v>
      </c>
      <c r="J570" s="4" t="str">
        <f>IF(OR(Копия_20206[[#This Row],[Units (in 1000)]]&gt;$R$7,Копия_20206[[#This Row],[Units (in 1000)]]&lt;$R$6),"outlier","not outlier")</f>
        <v>not outlier</v>
      </c>
      <c r="K570" s="4" t="str">
        <f>IF(OR(Копия_20206[[#This Row],[Value (in 1000 rub)]]&gt;$S$7,Копия_20206[[#This Row],[Value (in 1000 rub)]]&lt;$S$6),"outlier","not outlier")</f>
        <v>not outlier</v>
      </c>
      <c r="L570" s="4" t="str">
        <f>IF(OR(Копия_20206[[#This Row],[Volume (in 1000 kg)]]&gt;$T$7,Копия_20206[[#This Row],[Volume (in 1000 kg)]]&lt;$T$6),"outlier","not outlier")</f>
        <v>not outlier</v>
      </c>
      <c r="M570" s="4" t="str">
        <f>IF(OR(Копия_20206[[#This Row],[Number of stores]]&gt;$U$7,Копия_20206[[#This Row],[Number of stores]]&lt;$U$6),"outlier","not outlier")</f>
        <v>not outlier</v>
      </c>
    </row>
    <row r="571" spans="1:13" x14ac:dyDescent="0.25">
      <c r="A571">
        <v>2020</v>
      </c>
      <c r="B571">
        <v>4</v>
      </c>
      <c r="C571" s="1" t="s">
        <v>29</v>
      </c>
      <c r="D571" s="1" t="s">
        <v>28</v>
      </c>
      <c r="E571" s="1" t="s">
        <v>18</v>
      </c>
      <c r="F571" s="5">
        <v>0.35120000000000001</v>
      </c>
      <c r="G571" s="5">
        <v>54.916409000000002</v>
      </c>
      <c r="H571" s="5">
        <v>6.3200000000000006E-2</v>
      </c>
      <c r="I571">
        <v>0</v>
      </c>
      <c r="J571" s="4" t="str">
        <f>IF(OR(Копия_20206[[#This Row],[Units (in 1000)]]&gt;$R$7,Копия_20206[[#This Row],[Units (in 1000)]]&lt;$R$6),"outlier","not outlier")</f>
        <v>not outlier</v>
      </c>
      <c r="K571" s="4" t="str">
        <f>IF(OR(Копия_20206[[#This Row],[Value (in 1000 rub)]]&gt;$S$7,Копия_20206[[#This Row],[Value (in 1000 rub)]]&lt;$S$6),"outlier","not outlier")</f>
        <v>not outlier</v>
      </c>
      <c r="L571" s="4" t="str">
        <f>IF(OR(Копия_20206[[#This Row],[Volume (in 1000 kg)]]&gt;$T$7,Копия_20206[[#This Row],[Volume (in 1000 kg)]]&lt;$T$6),"outlier","not outlier")</f>
        <v>not outlier</v>
      </c>
      <c r="M571" s="4" t="str">
        <f>IF(OR(Копия_20206[[#This Row],[Number of stores]]&gt;$U$7,Копия_20206[[#This Row],[Number of stores]]&lt;$U$6),"outlier","not outlier")</f>
        <v>not outlier</v>
      </c>
    </row>
    <row r="572" spans="1:13" x14ac:dyDescent="0.25">
      <c r="A572">
        <v>2020</v>
      </c>
      <c r="B572">
        <v>4</v>
      </c>
      <c r="C572" s="1" t="s">
        <v>29</v>
      </c>
      <c r="D572" s="1" t="s">
        <v>28</v>
      </c>
      <c r="E572" s="1" t="s">
        <v>11</v>
      </c>
      <c r="F572" s="5">
        <v>0.62539999999999996</v>
      </c>
      <c r="G572" s="5">
        <v>129.90525500000001</v>
      </c>
      <c r="H572" s="5">
        <v>0.21879999999999999</v>
      </c>
      <c r="I572">
        <v>0</v>
      </c>
      <c r="J572" s="4" t="str">
        <f>IF(OR(Копия_20206[[#This Row],[Units (in 1000)]]&gt;$R$7,Копия_20206[[#This Row],[Units (in 1000)]]&lt;$R$6),"outlier","not outlier")</f>
        <v>not outlier</v>
      </c>
      <c r="K572" s="4" t="str">
        <f>IF(OR(Копия_20206[[#This Row],[Value (in 1000 rub)]]&gt;$S$7,Копия_20206[[#This Row],[Value (in 1000 rub)]]&lt;$S$6),"outlier","not outlier")</f>
        <v>not outlier</v>
      </c>
      <c r="L572" s="4" t="str">
        <f>IF(OR(Копия_20206[[#This Row],[Volume (in 1000 kg)]]&gt;$T$7,Копия_20206[[#This Row],[Volume (in 1000 kg)]]&lt;$T$6),"outlier","not outlier")</f>
        <v>not outlier</v>
      </c>
      <c r="M572" s="4" t="str">
        <f>IF(OR(Копия_20206[[#This Row],[Number of stores]]&gt;$U$7,Копия_20206[[#This Row],[Number of stores]]&lt;$U$6),"outlier","not outlier")</f>
        <v>not outlier</v>
      </c>
    </row>
    <row r="573" spans="1:13" x14ac:dyDescent="0.25">
      <c r="A573">
        <v>2020</v>
      </c>
      <c r="B573">
        <v>6</v>
      </c>
      <c r="C573" s="1" t="s">
        <v>29</v>
      </c>
      <c r="D573" s="1" t="s">
        <v>28</v>
      </c>
      <c r="E573" s="1" t="s">
        <v>18</v>
      </c>
      <c r="F573" s="5">
        <v>0.39269999999999999</v>
      </c>
      <c r="G573" s="5">
        <v>60.613095000000001</v>
      </c>
      <c r="H573" s="5">
        <v>7.0699999999999999E-2</v>
      </c>
      <c r="I573">
        <v>0</v>
      </c>
      <c r="J573" s="4" t="str">
        <f>IF(OR(Копия_20206[[#This Row],[Units (in 1000)]]&gt;$R$7,Копия_20206[[#This Row],[Units (in 1000)]]&lt;$R$6),"outlier","not outlier")</f>
        <v>not outlier</v>
      </c>
      <c r="K573" s="4" t="str">
        <f>IF(OR(Копия_20206[[#This Row],[Value (in 1000 rub)]]&gt;$S$7,Копия_20206[[#This Row],[Value (in 1000 rub)]]&lt;$S$6),"outlier","not outlier")</f>
        <v>not outlier</v>
      </c>
      <c r="L573" s="4" t="str">
        <f>IF(OR(Копия_20206[[#This Row],[Volume (in 1000 kg)]]&gt;$T$7,Копия_20206[[#This Row],[Volume (in 1000 kg)]]&lt;$T$6),"outlier","not outlier")</f>
        <v>not outlier</v>
      </c>
      <c r="M573" s="4" t="str">
        <f>IF(OR(Копия_20206[[#This Row],[Number of stores]]&gt;$U$7,Копия_20206[[#This Row],[Number of stores]]&lt;$U$6),"outlier","not outlier")</f>
        <v>not outlier</v>
      </c>
    </row>
    <row r="574" spans="1:13" x14ac:dyDescent="0.25">
      <c r="A574">
        <v>2020</v>
      </c>
      <c r="B574">
        <v>6</v>
      </c>
      <c r="C574" s="1" t="s">
        <v>29</v>
      </c>
      <c r="D574" s="1" t="s">
        <v>28</v>
      </c>
      <c r="E574" s="1" t="s">
        <v>11</v>
      </c>
      <c r="F574" s="5">
        <v>0.55210000000000004</v>
      </c>
      <c r="G574" s="5">
        <v>120.995908</v>
      </c>
      <c r="H574" s="5">
        <v>0.1933</v>
      </c>
      <c r="I574">
        <v>0</v>
      </c>
      <c r="J574" s="4" t="str">
        <f>IF(OR(Копия_20206[[#This Row],[Units (in 1000)]]&gt;$R$7,Копия_20206[[#This Row],[Units (in 1000)]]&lt;$R$6),"outlier","not outlier")</f>
        <v>not outlier</v>
      </c>
      <c r="K574" s="4" t="str">
        <f>IF(OR(Копия_20206[[#This Row],[Value (in 1000 rub)]]&gt;$S$7,Копия_20206[[#This Row],[Value (in 1000 rub)]]&lt;$S$6),"outlier","not outlier")</f>
        <v>not outlier</v>
      </c>
      <c r="L574" s="4" t="str">
        <f>IF(OR(Копия_20206[[#This Row],[Volume (in 1000 kg)]]&gt;$T$7,Копия_20206[[#This Row],[Volume (in 1000 kg)]]&lt;$T$6),"outlier","not outlier")</f>
        <v>not outlier</v>
      </c>
      <c r="M574" s="4" t="str">
        <f>IF(OR(Копия_20206[[#This Row],[Number of stores]]&gt;$U$7,Копия_20206[[#This Row],[Number of stores]]&lt;$U$6),"outlier","not outlier")</f>
        <v>not outlier</v>
      </c>
    </row>
    <row r="575" spans="1:13" x14ac:dyDescent="0.25">
      <c r="A575">
        <v>2020</v>
      </c>
      <c r="B575">
        <v>7</v>
      </c>
      <c r="C575" s="1" t="s">
        <v>29</v>
      </c>
      <c r="D575" s="1" t="s">
        <v>28</v>
      </c>
      <c r="E575" s="1" t="s">
        <v>18</v>
      </c>
      <c r="F575" s="5">
        <v>0.29099999999999998</v>
      </c>
      <c r="G575" s="5">
        <v>49.084923000000003</v>
      </c>
      <c r="H575" s="5">
        <v>5.2400000000000002E-2</v>
      </c>
      <c r="I575">
        <v>0</v>
      </c>
      <c r="J575" s="4" t="str">
        <f>IF(OR(Копия_20206[[#This Row],[Units (in 1000)]]&gt;$R$7,Копия_20206[[#This Row],[Units (in 1000)]]&lt;$R$6),"outlier","not outlier")</f>
        <v>not outlier</v>
      </c>
      <c r="K575" s="4" t="str">
        <f>IF(OR(Копия_20206[[#This Row],[Value (in 1000 rub)]]&gt;$S$7,Копия_20206[[#This Row],[Value (in 1000 rub)]]&lt;$S$6),"outlier","not outlier")</f>
        <v>not outlier</v>
      </c>
      <c r="L575" s="4" t="str">
        <f>IF(OR(Копия_20206[[#This Row],[Volume (in 1000 kg)]]&gt;$T$7,Копия_20206[[#This Row],[Volume (in 1000 kg)]]&lt;$T$6),"outlier","not outlier")</f>
        <v>not outlier</v>
      </c>
      <c r="M575" s="4" t="str">
        <f>IF(OR(Копия_20206[[#This Row],[Number of stores]]&gt;$U$7,Копия_20206[[#This Row],[Number of stores]]&lt;$U$6),"outlier","not outlier")</f>
        <v>not outlier</v>
      </c>
    </row>
    <row r="576" spans="1:13" x14ac:dyDescent="0.25">
      <c r="A576">
        <v>2020</v>
      </c>
      <c r="B576">
        <v>7</v>
      </c>
      <c r="C576" s="1" t="s">
        <v>29</v>
      </c>
      <c r="D576" s="1" t="s">
        <v>28</v>
      </c>
      <c r="E576" s="1" t="s">
        <v>11</v>
      </c>
      <c r="F576" s="5">
        <v>0.65839999999999999</v>
      </c>
      <c r="G576" s="5">
        <v>140.649292</v>
      </c>
      <c r="H576" s="5">
        <v>0.23039999999999999</v>
      </c>
      <c r="I576">
        <v>0</v>
      </c>
      <c r="J576" s="4" t="str">
        <f>IF(OR(Копия_20206[[#This Row],[Units (in 1000)]]&gt;$R$7,Копия_20206[[#This Row],[Units (in 1000)]]&lt;$R$6),"outlier","not outlier")</f>
        <v>not outlier</v>
      </c>
      <c r="K576" s="4" t="str">
        <f>IF(OR(Копия_20206[[#This Row],[Value (in 1000 rub)]]&gt;$S$7,Копия_20206[[#This Row],[Value (in 1000 rub)]]&lt;$S$6),"outlier","not outlier")</f>
        <v>not outlier</v>
      </c>
      <c r="L576" s="4" t="str">
        <f>IF(OR(Копия_20206[[#This Row],[Volume (in 1000 kg)]]&gt;$T$7,Копия_20206[[#This Row],[Volume (in 1000 kg)]]&lt;$T$6),"outlier","not outlier")</f>
        <v>not outlier</v>
      </c>
      <c r="M576" s="4" t="str">
        <f>IF(OR(Копия_20206[[#This Row],[Number of stores]]&gt;$U$7,Копия_20206[[#This Row],[Number of stores]]&lt;$U$6),"outlier","not outlier")</f>
        <v>not outlier</v>
      </c>
    </row>
    <row r="577" spans="1:13" x14ac:dyDescent="0.25">
      <c r="A577">
        <v>2020</v>
      </c>
      <c r="B577">
        <v>8</v>
      </c>
      <c r="C577" s="1" t="s">
        <v>29</v>
      </c>
      <c r="D577" s="1" t="s">
        <v>28</v>
      </c>
      <c r="E577" s="1" t="s">
        <v>18</v>
      </c>
      <c r="F577" s="5">
        <v>0.24660000000000001</v>
      </c>
      <c r="G577" s="5">
        <v>41.636364</v>
      </c>
      <c r="H577" s="5">
        <v>4.4400000000000002E-2</v>
      </c>
      <c r="I577">
        <v>0</v>
      </c>
      <c r="J577" s="4" t="str">
        <f>IF(OR(Копия_20206[[#This Row],[Units (in 1000)]]&gt;$R$7,Копия_20206[[#This Row],[Units (in 1000)]]&lt;$R$6),"outlier","not outlier")</f>
        <v>not outlier</v>
      </c>
      <c r="K577" s="4" t="str">
        <f>IF(OR(Копия_20206[[#This Row],[Value (in 1000 rub)]]&gt;$S$7,Копия_20206[[#This Row],[Value (in 1000 rub)]]&lt;$S$6),"outlier","not outlier")</f>
        <v>not outlier</v>
      </c>
      <c r="L577" s="4" t="str">
        <f>IF(OR(Копия_20206[[#This Row],[Volume (in 1000 kg)]]&gt;$T$7,Копия_20206[[#This Row],[Volume (in 1000 kg)]]&lt;$T$6),"outlier","not outlier")</f>
        <v>not outlier</v>
      </c>
      <c r="M577" s="4" t="str">
        <f>IF(OR(Копия_20206[[#This Row],[Number of stores]]&gt;$U$7,Копия_20206[[#This Row],[Number of stores]]&lt;$U$6),"outlier","not outlier")</f>
        <v>not outlier</v>
      </c>
    </row>
    <row r="578" spans="1:13" x14ac:dyDescent="0.25">
      <c r="A578">
        <v>2020</v>
      </c>
      <c r="B578">
        <v>8</v>
      </c>
      <c r="C578" s="1" t="s">
        <v>29</v>
      </c>
      <c r="D578" s="1" t="s">
        <v>28</v>
      </c>
      <c r="E578" s="1" t="s">
        <v>11</v>
      </c>
      <c r="F578" s="5">
        <v>0.55979999999999996</v>
      </c>
      <c r="G578" s="5">
        <v>128.825793</v>
      </c>
      <c r="H578" s="5">
        <v>0.19589999999999999</v>
      </c>
      <c r="I578">
        <v>0</v>
      </c>
      <c r="J578" s="4" t="str">
        <f>IF(OR(Копия_20206[[#This Row],[Units (in 1000)]]&gt;$R$7,Копия_20206[[#This Row],[Units (in 1000)]]&lt;$R$6),"outlier","not outlier")</f>
        <v>not outlier</v>
      </c>
      <c r="K578" s="4" t="str">
        <f>IF(OR(Копия_20206[[#This Row],[Value (in 1000 rub)]]&gt;$S$7,Копия_20206[[#This Row],[Value (in 1000 rub)]]&lt;$S$6),"outlier","not outlier")</f>
        <v>not outlier</v>
      </c>
      <c r="L578" s="4" t="str">
        <f>IF(OR(Копия_20206[[#This Row],[Volume (in 1000 kg)]]&gt;$T$7,Копия_20206[[#This Row],[Volume (in 1000 kg)]]&lt;$T$6),"outlier","not outlier")</f>
        <v>not outlier</v>
      </c>
      <c r="M578" s="4" t="str">
        <f>IF(OR(Копия_20206[[#This Row],[Number of stores]]&gt;$U$7,Копия_20206[[#This Row],[Number of stores]]&lt;$U$6),"outlier","not outlier")</f>
        <v>not outlier</v>
      </c>
    </row>
    <row r="579" spans="1:13" x14ac:dyDescent="0.25">
      <c r="A579">
        <v>2020</v>
      </c>
      <c r="B579">
        <v>9</v>
      </c>
      <c r="C579" s="1" t="s">
        <v>29</v>
      </c>
      <c r="D579" s="1" t="s">
        <v>28</v>
      </c>
      <c r="E579" s="1" t="s">
        <v>18</v>
      </c>
      <c r="F579" s="5">
        <v>0.34150000000000003</v>
      </c>
      <c r="G579" s="5">
        <v>57.675272</v>
      </c>
      <c r="H579" s="5">
        <v>6.1499999999999999E-2</v>
      </c>
      <c r="I579">
        <v>0</v>
      </c>
      <c r="J579" s="4" t="str">
        <f>IF(OR(Копия_20206[[#This Row],[Units (in 1000)]]&gt;$R$7,Копия_20206[[#This Row],[Units (in 1000)]]&lt;$R$6),"outlier","not outlier")</f>
        <v>not outlier</v>
      </c>
      <c r="K579" s="4" t="str">
        <f>IF(OR(Копия_20206[[#This Row],[Value (in 1000 rub)]]&gt;$S$7,Копия_20206[[#This Row],[Value (in 1000 rub)]]&lt;$S$6),"outlier","not outlier")</f>
        <v>not outlier</v>
      </c>
      <c r="L579" s="4" t="str">
        <f>IF(OR(Копия_20206[[#This Row],[Volume (in 1000 kg)]]&gt;$T$7,Копия_20206[[#This Row],[Volume (in 1000 kg)]]&lt;$T$6),"outlier","not outlier")</f>
        <v>not outlier</v>
      </c>
      <c r="M579" s="4" t="str">
        <f>IF(OR(Копия_20206[[#This Row],[Number of stores]]&gt;$U$7,Копия_20206[[#This Row],[Number of stores]]&lt;$U$6),"outlier","not outlier")</f>
        <v>not outlier</v>
      </c>
    </row>
    <row r="580" spans="1:13" x14ac:dyDescent="0.25">
      <c r="A580">
        <v>2020</v>
      </c>
      <c r="B580">
        <v>9</v>
      </c>
      <c r="C580" s="1" t="s">
        <v>29</v>
      </c>
      <c r="D580" s="1" t="s">
        <v>28</v>
      </c>
      <c r="E580" s="1" t="s">
        <v>11</v>
      </c>
      <c r="F580" s="5">
        <v>0.68510000000000004</v>
      </c>
      <c r="G580" s="5">
        <v>159.26425599999999</v>
      </c>
      <c r="H580" s="5">
        <v>0.23980000000000001</v>
      </c>
      <c r="I580">
        <v>0</v>
      </c>
      <c r="J580" s="4" t="str">
        <f>IF(OR(Копия_20206[[#This Row],[Units (in 1000)]]&gt;$R$7,Копия_20206[[#This Row],[Units (in 1000)]]&lt;$R$6),"outlier","not outlier")</f>
        <v>not outlier</v>
      </c>
      <c r="K580" s="4" t="str">
        <f>IF(OR(Копия_20206[[#This Row],[Value (in 1000 rub)]]&gt;$S$7,Копия_20206[[#This Row],[Value (in 1000 rub)]]&lt;$S$6),"outlier","not outlier")</f>
        <v>not outlier</v>
      </c>
      <c r="L580" s="4" t="str">
        <f>IF(OR(Копия_20206[[#This Row],[Volume (in 1000 kg)]]&gt;$T$7,Копия_20206[[#This Row],[Volume (in 1000 kg)]]&lt;$T$6),"outlier","not outlier")</f>
        <v>not outlier</v>
      </c>
      <c r="M580" s="4" t="str">
        <f>IF(OR(Копия_20206[[#This Row],[Number of stores]]&gt;$U$7,Копия_20206[[#This Row],[Number of stores]]&lt;$U$6),"outlier","not outlier")</f>
        <v>not outlier</v>
      </c>
    </row>
    <row r="581" spans="1:13" x14ac:dyDescent="0.25">
      <c r="A581">
        <v>2020</v>
      </c>
      <c r="B581">
        <v>10</v>
      </c>
      <c r="C581" s="1" t="s">
        <v>29</v>
      </c>
      <c r="D581" s="1" t="s">
        <v>28</v>
      </c>
      <c r="E581" s="1" t="s">
        <v>18</v>
      </c>
      <c r="F581" s="5">
        <v>0.36109999999999998</v>
      </c>
      <c r="G581" s="5">
        <v>62.499037999999999</v>
      </c>
      <c r="H581" s="5">
        <v>6.5000000000000002E-2</v>
      </c>
      <c r="I581">
        <v>0</v>
      </c>
      <c r="J581" s="4" t="str">
        <f>IF(OR(Копия_20206[[#This Row],[Units (in 1000)]]&gt;$R$7,Копия_20206[[#This Row],[Units (in 1000)]]&lt;$R$6),"outlier","not outlier")</f>
        <v>not outlier</v>
      </c>
      <c r="K581" s="4" t="str">
        <f>IF(OR(Копия_20206[[#This Row],[Value (in 1000 rub)]]&gt;$S$7,Копия_20206[[#This Row],[Value (in 1000 rub)]]&lt;$S$6),"outlier","not outlier")</f>
        <v>not outlier</v>
      </c>
      <c r="L581" s="4" t="str">
        <f>IF(OR(Копия_20206[[#This Row],[Volume (in 1000 kg)]]&gt;$T$7,Копия_20206[[#This Row],[Volume (in 1000 kg)]]&lt;$T$6),"outlier","not outlier")</f>
        <v>not outlier</v>
      </c>
      <c r="M581" s="4" t="str">
        <f>IF(OR(Копия_20206[[#This Row],[Number of stores]]&gt;$U$7,Копия_20206[[#This Row],[Number of stores]]&lt;$U$6),"outlier","not outlier")</f>
        <v>not outlier</v>
      </c>
    </row>
    <row r="582" spans="1:13" x14ac:dyDescent="0.25">
      <c r="A582">
        <v>2020</v>
      </c>
      <c r="B582">
        <v>10</v>
      </c>
      <c r="C582" s="1" t="s">
        <v>29</v>
      </c>
      <c r="D582" s="1" t="s">
        <v>28</v>
      </c>
      <c r="E582" s="1" t="s">
        <v>11</v>
      </c>
      <c r="F582" s="5">
        <v>0.68810000000000004</v>
      </c>
      <c r="G582" s="5">
        <v>160.841014</v>
      </c>
      <c r="H582" s="5">
        <v>0.24079999999999999</v>
      </c>
      <c r="I582">
        <v>0</v>
      </c>
      <c r="J582" s="4" t="str">
        <f>IF(OR(Копия_20206[[#This Row],[Units (in 1000)]]&gt;$R$7,Копия_20206[[#This Row],[Units (in 1000)]]&lt;$R$6),"outlier","not outlier")</f>
        <v>not outlier</v>
      </c>
      <c r="K582" s="4" t="str">
        <f>IF(OR(Копия_20206[[#This Row],[Value (in 1000 rub)]]&gt;$S$7,Копия_20206[[#This Row],[Value (in 1000 rub)]]&lt;$S$6),"outlier","not outlier")</f>
        <v>not outlier</v>
      </c>
      <c r="L582" s="4" t="str">
        <f>IF(OR(Копия_20206[[#This Row],[Volume (in 1000 kg)]]&gt;$T$7,Копия_20206[[#This Row],[Volume (in 1000 kg)]]&lt;$T$6),"outlier","not outlier")</f>
        <v>not outlier</v>
      </c>
      <c r="M582" s="4" t="str">
        <f>IF(OR(Копия_20206[[#This Row],[Number of stores]]&gt;$U$7,Копия_20206[[#This Row],[Number of stores]]&lt;$U$6),"outlier","not outlier")</f>
        <v>not outlier</v>
      </c>
    </row>
    <row r="583" spans="1:13" x14ac:dyDescent="0.25">
      <c r="A583">
        <v>2020</v>
      </c>
      <c r="B583">
        <v>11</v>
      </c>
      <c r="C583" s="1" t="s">
        <v>25</v>
      </c>
      <c r="D583" s="1" t="s">
        <v>28</v>
      </c>
      <c r="E583" s="1" t="s">
        <v>18</v>
      </c>
      <c r="F583" s="5">
        <v>3.2500000000000001E-2</v>
      </c>
      <c r="G583" s="5">
        <v>5.8138490000000003</v>
      </c>
      <c r="H583" s="5">
        <v>5.7999999999999996E-3</v>
      </c>
      <c r="I583">
        <v>0</v>
      </c>
      <c r="J583" s="4" t="str">
        <f>IF(OR(Копия_20206[[#This Row],[Units (in 1000)]]&gt;$R$7,Копия_20206[[#This Row],[Units (in 1000)]]&lt;$R$6),"outlier","not outlier")</f>
        <v>not outlier</v>
      </c>
      <c r="K583" s="4" t="str">
        <f>IF(OR(Копия_20206[[#This Row],[Value (in 1000 rub)]]&gt;$S$7,Копия_20206[[#This Row],[Value (in 1000 rub)]]&lt;$S$6),"outlier","not outlier")</f>
        <v>not outlier</v>
      </c>
      <c r="L583" s="4" t="str">
        <f>IF(OR(Копия_20206[[#This Row],[Volume (in 1000 kg)]]&gt;$T$7,Копия_20206[[#This Row],[Volume (in 1000 kg)]]&lt;$T$6),"outlier","not outlier")</f>
        <v>not outlier</v>
      </c>
      <c r="M583" s="4" t="str">
        <f>IF(OR(Копия_20206[[#This Row],[Number of stores]]&gt;$U$7,Копия_20206[[#This Row],[Number of stores]]&lt;$U$6),"outlier","not outlier")</f>
        <v>not outlier</v>
      </c>
    </row>
    <row r="584" spans="1:13" x14ac:dyDescent="0.25">
      <c r="A584">
        <v>2020</v>
      </c>
      <c r="B584">
        <v>11</v>
      </c>
      <c r="C584" s="1" t="s">
        <v>25</v>
      </c>
      <c r="D584" s="1" t="s">
        <v>28</v>
      </c>
      <c r="E584" s="1" t="s">
        <v>11</v>
      </c>
      <c r="F584" s="5">
        <v>0.2228</v>
      </c>
      <c r="G584" s="5">
        <v>51.098505000000003</v>
      </c>
      <c r="H584" s="5">
        <v>7.8E-2</v>
      </c>
      <c r="I584">
        <v>0</v>
      </c>
      <c r="J584" s="4" t="str">
        <f>IF(OR(Копия_20206[[#This Row],[Units (in 1000)]]&gt;$R$7,Копия_20206[[#This Row],[Units (in 1000)]]&lt;$R$6),"outlier","not outlier")</f>
        <v>not outlier</v>
      </c>
      <c r="K584" s="4" t="str">
        <f>IF(OR(Копия_20206[[#This Row],[Value (in 1000 rub)]]&gt;$S$7,Копия_20206[[#This Row],[Value (in 1000 rub)]]&lt;$S$6),"outlier","not outlier")</f>
        <v>not outlier</v>
      </c>
      <c r="L584" s="4" t="str">
        <f>IF(OR(Копия_20206[[#This Row],[Volume (in 1000 kg)]]&gt;$T$7,Копия_20206[[#This Row],[Volume (in 1000 kg)]]&lt;$T$6),"outlier","not outlier")</f>
        <v>not outlier</v>
      </c>
      <c r="M584" s="4" t="str">
        <f>IF(OR(Копия_20206[[#This Row],[Number of stores]]&gt;$U$7,Копия_20206[[#This Row],[Number of stores]]&lt;$U$6),"outlier","not outlier")</f>
        <v>not outlier</v>
      </c>
    </row>
    <row r="585" spans="1:13" x14ac:dyDescent="0.25">
      <c r="A585">
        <v>2020</v>
      </c>
      <c r="B585">
        <v>11</v>
      </c>
      <c r="C585" s="1" t="s">
        <v>29</v>
      </c>
      <c r="D585" s="1" t="s">
        <v>28</v>
      </c>
      <c r="E585" s="1" t="s">
        <v>18</v>
      </c>
      <c r="F585" s="5">
        <v>0.38250000000000001</v>
      </c>
      <c r="G585" s="5">
        <v>68.448018000000005</v>
      </c>
      <c r="H585" s="5">
        <v>6.88E-2</v>
      </c>
      <c r="I585">
        <v>80</v>
      </c>
      <c r="J585" s="4" t="str">
        <f>IF(OR(Копия_20206[[#This Row],[Units (in 1000)]]&gt;$R$7,Копия_20206[[#This Row],[Units (in 1000)]]&lt;$R$6),"outlier","not outlier")</f>
        <v>not outlier</v>
      </c>
      <c r="K585" s="4" t="str">
        <f>IF(OR(Копия_20206[[#This Row],[Value (in 1000 rub)]]&gt;$S$7,Копия_20206[[#This Row],[Value (in 1000 rub)]]&lt;$S$6),"outlier","not outlier")</f>
        <v>not outlier</v>
      </c>
      <c r="L585" s="4" t="str">
        <f>IF(OR(Копия_20206[[#This Row],[Volume (in 1000 kg)]]&gt;$T$7,Копия_20206[[#This Row],[Volume (in 1000 kg)]]&lt;$T$6),"outlier","not outlier")</f>
        <v>not outlier</v>
      </c>
      <c r="M585" s="4" t="str">
        <f>IF(OR(Копия_20206[[#This Row],[Number of stores]]&gt;$U$7,Копия_20206[[#This Row],[Number of stores]]&lt;$U$6),"outlier","not outlier")</f>
        <v>not outlier</v>
      </c>
    </row>
    <row r="586" spans="1:13" x14ac:dyDescent="0.25">
      <c r="A586">
        <v>2020</v>
      </c>
      <c r="B586">
        <v>11</v>
      </c>
      <c r="C586" s="1" t="s">
        <v>29</v>
      </c>
      <c r="D586" s="1" t="s">
        <v>28</v>
      </c>
      <c r="E586" s="1" t="s">
        <v>11</v>
      </c>
      <c r="F586" s="5">
        <v>1.0277000000000001</v>
      </c>
      <c r="G586" s="5">
        <v>215.00571099999999</v>
      </c>
      <c r="H586" s="5">
        <v>0.35970000000000002</v>
      </c>
      <c r="I586">
        <v>86</v>
      </c>
      <c r="J586" s="4" t="str">
        <f>IF(OR(Копия_20206[[#This Row],[Units (in 1000)]]&gt;$R$7,Копия_20206[[#This Row],[Units (in 1000)]]&lt;$R$6),"outlier","not outlier")</f>
        <v>not outlier</v>
      </c>
      <c r="K586" s="4" t="str">
        <f>IF(OR(Копия_20206[[#This Row],[Value (in 1000 rub)]]&gt;$S$7,Копия_20206[[#This Row],[Value (in 1000 rub)]]&lt;$S$6),"outlier","not outlier")</f>
        <v>not outlier</v>
      </c>
      <c r="L586" s="4" t="str">
        <f>IF(OR(Копия_20206[[#This Row],[Volume (in 1000 kg)]]&gt;$T$7,Копия_20206[[#This Row],[Volume (in 1000 kg)]]&lt;$T$6),"outlier","not outlier")</f>
        <v>not outlier</v>
      </c>
      <c r="M586" s="4" t="str">
        <f>IF(OR(Копия_20206[[#This Row],[Number of stores]]&gt;$U$7,Копия_20206[[#This Row],[Number of stores]]&lt;$U$6),"outlier","not outlier")</f>
        <v>not outlier</v>
      </c>
    </row>
    <row r="587" spans="1:13" x14ac:dyDescent="0.25">
      <c r="A587">
        <v>2020</v>
      </c>
      <c r="B587">
        <v>12</v>
      </c>
      <c r="C587" s="1" t="s">
        <v>25</v>
      </c>
      <c r="D587" s="1" t="s">
        <v>28</v>
      </c>
      <c r="E587" s="1" t="s">
        <v>18</v>
      </c>
      <c r="F587" s="5">
        <v>3.7199999999999997E-2</v>
      </c>
      <c r="G587" s="5">
        <v>6.7132240000000003</v>
      </c>
      <c r="H587" s="5">
        <v>6.7000000000000002E-3</v>
      </c>
      <c r="I587">
        <v>0</v>
      </c>
      <c r="J587" s="4" t="str">
        <f>IF(OR(Копия_20206[[#This Row],[Units (in 1000)]]&gt;$R$7,Копия_20206[[#This Row],[Units (in 1000)]]&lt;$R$6),"outlier","not outlier")</f>
        <v>not outlier</v>
      </c>
      <c r="K587" s="4" t="str">
        <f>IF(OR(Копия_20206[[#This Row],[Value (in 1000 rub)]]&gt;$S$7,Копия_20206[[#This Row],[Value (in 1000 rub)]]&lt;$S$6),"outlier","not outlier")</f>
        <v>not outlier</v>
      </c>
      <c r="L587" s="4" t="str">
        <f>IF(OR(Копия_20206[[#This Row],[Volume (in 1000 kg)]]&gt;$T$7,Копия_20206[[#This Row],[Volume (in 1000 kg)]]&lt;$T$6),"outlier","not outlier")</f>
        <v>not outlier</v>
      </c>
      <c r="M587" s="4" t="str">
        <f>IF(OR(Копия_20206[[#This Row],[Number of stores]]&gt;$U$7,Копия_20206[[#This Row],[Number of stores]]&lt;$U$6),"outlier","not outlier")</f>
        <v>not outlier</v>
      </c>
    </row>
    <row r="588" spans="1:13" x14ac:dyDescent="0.25">
      <c r="A588">
        <v>2020</v>
      </c>
      <c r="B588">
        <v>12</v>
      </c>
      <c r="C588" s="1" t="s">
        <v>25</v>
      </c>
      <c r="D588" s="1" t="s">
        <v>28</v>
      </c>
      <c r="E588" s="1" t="s">
        <v>11</v>
      </c>
      <c r="F588" s="5">
        <v>0.1953</v>
      </c>
      <c r="G588" s="5">
        <v>45.258333</v>
      </c>
      <c r="H588" s="5">
        <v>6.8400000000000002E-2</v>
      </c>
      <c r="I588">
        <v>0</v>
      </c>
      <c r="J588" s="4" t="str">
        <f>IF(OR(Копия_20206[[#This Row],[Units (in 1000)]]&gt;$R$7,Копия_20206[[#This Row],[Units (in 1000)]]&lt;$R$6),"outlier","not outlier")</f>
        <v>not outlier</v>
      </c>
      <c r="K588" s="4" t="str">
        <f>IF(OR(Копия_20206[[#This Row],[Value (in 1000 rub)]]&gt;$S$7,Копия_20206[[#This Row],[Value (in 1000 rub)]]&lt;$S$6),"outlier","not outlier")</f>
        <v>not outlier</v>
      </c>
      <c r="L588" s="4" t="str">
        <f>IF(OR(Копия_20206[[#This Row],[Volume (in 1000 kg)]]&gt;$T$7,Копия_20206[[#This Row],[Volume (in 1000 kg)]]&lt;$T$6),"outlier","not outlier")</f>
        <v>not outlier</v>
      </c>
      <c r="M588" s="4" t="str">
        <f>IF(OR(Копия_20206[[#This Row],[Number of stores]]&gt;$U$7,Копия_20206[[#This Row],[Number of stores]]&lt;$U$6),"outlier","not outlier")</f>
        <v>not outlier</v>
      </c>
    </row>
    <row r="589" spans="1:13" x14ac:dyDescent="0.25">
      <c r="A589">
        <v>2020</v>
      </c>
      <c r="B589">
        <v>12</v>
      </c>
      <c r="C589" s="1" t="s">
        <v>29</v>
      </c>
      <c r="D589" s="1" t="s">
        <v>28</v>
      </c>
      <c r="E589" s="1" t="s">
        <v>18</v>
      </c>
      <c r="F589" s="5">
        <v>0.35270000000000001</v>
      </c>
      <c r="G589" s="5">
        <v>63.560267000000003</v>
      </c>
      <c r="H589" s="5">
        <v>6.3500000000000001E-2</v>
      </c>
      <c r="I589">
        <v>81</v>
      </c>
      <c r="J589" s="4" t="str">
        <f>IF(OR(Копия_20206[[#This Row],[Units (in 1000)]]&gt;$R$7,Копия_20206[[#This Row],[Units (in 1000)]]&lt;$R$6),"outlier","not outlier")</f>
        <v>not outlier</v>
      </c>
      <c r="K589" s="4" t="str">
        <f>IF(OR(Копия_20206[[#This Row],[Value (in 1000 rub)]]&gt;$S$7,Копия_20206[[#This Row],[Value (in 1000 rub)]]&lt;$S$6),"outlier","not outlier")</f>
        <v>not outlier</v>
      </c>
      <c r="L589" s="4" t="str">
        <f>IF(OR(Копия_20206[[#This Row],[Volume (in 1000 kg)]]&gt;$T$7,Копия_20206[[#This Row],[Volume (in 1000 kg)]]&lt;$T$6),"outlier","not outlier")</f>
        <v>not outlier</v>
      </c>
      <c r="M589" s="4" t="str">
        <f>IF(OR(Копия_20206[[#This Row],[Number of stores]]&gt;$U$7,Копия_20206[[#This Row],[Number of stores]]&lt;$U$6),"outlier","not outlier")</f>
        <v>not outlier</v>
      </c>
    </row>
    <row r="590" spans="1:13" x14ac:dyDescent="0.25">
      <c r="A590">
        <v>2020</v>
      </c>
      <c r="B590">
        <v>12</v>
      </c>
      <c r="C590" s="1" t="s">
        <v>29</v>
      </c>
      <c r="D590" s="1" t="s">
        <v>28</v>
      </c>
      <c r="E590" s="1" t="s">
        <v>11</v>
      </c>
      <c r="F590" s="5">
        <v>0.76939999999999997</v>
      </c>
      <c r="G590" s="5">
        <v>174.461142</v>
      </c>
      <c r="H590" s="5">
        <v>0.26929999999999998</v>
      </c>
      <c r="I590">
        <v>87</v>
      </c>
      <c r="J590" s="4" t="str">
        <f>IF(OR(Копия_20206[[#This Row],[Units (in 1000)]]&gt;$R$7,Копия_20206[[#This Row],[Units (in 1000)]]&lt;$R$6),"outlier","not outlier")</f>
        <v>not outlier</v>
      </c>
      <c r="K590" s="4" t="str">
        <f>IF(OR(Копия_20206[[#This Row],[Value (in 1000 rub)]]&gt;$S$7,Копия_20206[[#This Row],[Value (in 1000 rub)]]&lt;$S$6),"outlier","not outlier")</f>
        <v>not outlier</v>
      </c>
      <c r="L590" s="4" t="str">
        <f>IF(OR(Копия_20206[[#This Row],[Volume (in 1000 kg)]]&gt;$T$7,Копия_20206[[#This Row],[Volume (in 1000 kg)]]&lt;$T$6),"outlier","not outlier")</f>
        <v>not outlier</v>
      </c>
      <c r="M590" s="4" t="str">
        <f>IF(OR(Копия_20206[[#This Row],[Number of stores]]&gt;$U$7,Копия_20206[[#This Row],[Number of stores]]&lt;$U$6),"outlier","not outlier")</f>
        <v>not outlier</v>
      </c>
    </row>
    <row r="591" spans="1:13" x14ac:dyDescent="0.25">
      <c r="A591">
        <v>2020</v>
      </c>
      <c r="B591">
        <v>1</v>
      </c>
      <c r="C591" s="1" t="s">
        <v>8</v>
      </c>
      <c r="D591" s="1" t="s">
        <v>17</v>
      </c>
      <c r="E591" s="1" t="s">
        <v>18</v>
      </c>
      <c r="F591" s="5">
        <v>3.4855999999999998</v>
      </c>
      <c r="G591" s="5">
        <v>328.75562600000001</v>
      </c>
      <c r="H591" s="5">
        <v>0.62739999999999996</v>
      </c>
      <c r="I591">
        <v>96</v>
      </c>
      <c r="J591" s="4" t="str">
        <f>IF(OR(Копия_20206[[#This Row],[Units (in 1000)]]&gt;$R$7,Копия_20206[[#This Row],[Units (in 1000)]]&lt;$R$6),"outlier","not outlier")</f>
        <v>not outlier</v>
      </c>
      <c r="K591" s="4" t="str">
        <f>IF(OR(Копия_20206[[#This Row],[Value (in 1000 rub)]]&gt;$S$7,Копия_20206[[#This Row],[Value (in 1000 rub)]]&lt;$S$6),"outlier","not outlier")</f>
        <v>not outlier</v>
      </c>
      <c r="L591" s="4" t="str">
        <f>IF(OR(Копия_20206[[#This Row],[Volume (in 1000 kg)]]&gt;$T$7,Копия_20206[[#This Row],[Volume (in 1000 kg)]]&lt;$T$6),"outlier","not outlier")</f>
        <v>not outlier</v>
      </c>
      <c r="M591" s="4" t="str">
        <f>IF(OR(Копия_20206[[#This Row],[Number of stores]]&gt;$U$7,Копия_20206[[#This Row],[Number of stores]]&lt;$U$6),"outlier","not outlier")</f>
        <v>not outlier</v>
      </c>
    </row>
    <row r="592" spans="1:13" x14ac:dyDescent="0.25">
      <c r="A592">
        <v>2020</v>
      </c>
      <c r="B592">
        <v>1</v>
      </c>
      <c r="C592" s="1" t="s">
        <v>25</v>
      </c>
      <c r="D592" s="1" t="s">
        <v>17</v>
      </c>
      <c r="E592" s="1" t="s">
        <v>18</v>
      </c>
      <c r="F592" s="5">
        <v>2.0960999999999999</v>
      </c>
      <c r="G592" s="5">
        <v>177.535357</v>
      </c>
      <c r="H592" s="5">
        <v>0.37730000000000002</v>
      </c>
      <c r="I592">
        <v>298</v>
      </c>
      <c r="J592" s="4" t="str">
        <f>IF(OR(Копия_20206[[#This Row],[Units (in 1000)]]&gt;$R$7,Копия_20206[[#This Row],[Units (in 1000)]]&lt;$R$6),"outlier","not outlier")</f>
        <v>not outlier</v>
      </c>
      <c r="K592" s="4" t="str">
        <f>IF(OR(Копия_20206[[#This Row],[Value (in 1000 rub)]]&gt;$S$7,Копия_20206[[#This Row],[Value (in 1000 rub)]]&lt;$S$6),"outlier","not outlier")</f>
        <v>not outlier</v>
      </c>
      <c r="L592" s="4" t="str">
        <f>IF(OR(Копия_20206[[#This Row],[Volume (in 1000 kg)]]&gt;$T$7,Копия_20206[[#This Row],[Volume (in 1000 kg)]]&lt;$T$6),"outlier","not outlier")</f>
        <v>not outlier</v>
      </c>
      <c r="M592" s="4" t="str">
        <f>IF(OR(Копия_20206[[#This Row],[Number of stores]]&gt;$U$7,Копия_20206[[#This Row],[Number of stores]]&lt;$U$6),"outlier","not outlier")</f>
        <v>not outlier</v>
      </c>
    </row>
    <row r="593" spans="1:13" x14ac:dyDescent="0.25">
      <c r="A593">
        <v>2020</v>
      </c>
      <c r="B593">
        <v>1</v>
      </c>
      <c r="C593" s="1" t="s">
        <v>29</v>
      </c>
      <c r="D593" s="1" t="s">
        <v>17</v>
      </c>
      <c r="E593" s="1" t="s">
        <v>18</v>
      </c>
      <c r="F593" s="5">
        <v>3.1911999999999998</v>
      </c>
      <c r="G593" s="5">
        <v>241.683626</v>
      </c>
      <c r="H593" s="5">
        <v>0.57440000000000002</v>
      </c>
      <c r="I593">
        <v>179</v>
      </c>
      <c r="J593" s="4" t="str">
        <f>IF(OR(Копия_20206[[#This Row],[Units (in 1000)]]&gt;$R$7,Копия_20206[[#This Row],[Units (in 1000)]]&lt;$R$6),"outlier","not outlier")</f>
        <v>not outlier</v>
      </c>
      <c r="K593" s="4" t="str">
        <f>IF(OR(Копия_20206[[#This Row],[Value (in 1000 rub)]]&gt;$S$7,Копия_20206[[#This Row],[Value (in 1000 rub)]]&lt;$S$6),"outlier","not outlier")</f>
        <v>not outlier</v>
      </c>
      <c r="L593" s="4" t="str">
        <f>IF(OR(Копия_20206[[#This Row],[Volume (in 1000 kg)]]&gt;$T$7,Копия_20206[[#This Row],[Volume (in 1000 kg)]]&lt;$T$6),"outlier","not outlier")</f>
        <v>not outlier</v>
      </c>
      <c r="M593" s="4" t="str">
        <f>IF(OR(Копия_20206[[#This Row],[Number of stores]]&gt;$U$7,Копия_20206[[#This Row],[Number of stores]]&lt;$U$6),"outlier","not outlier")</f>
        <v>not outlier</v>
      </c>
    </row>
    <row r="594" spans="1:13" x14ac:dyDescent="0.25">
      <c r="A594">
        <v>2020</v>
      </c>
      <c r="B594">
        <v>2</v>
      </c>
      <c r="C594" s="1" t="s">
        <v>8</v>
      </c>
      <c r="D594" s="1" t="s">
        <v>17</v>
      </c>
      <c r="E594" s="1" t="s">
        <v>18</v>
      </c>
      <c r="F594" s="5">
        <v>3.1436000000000002</v>
      </c>
      <c r="G594" s="5">
        <v>306.87880100000001</v>
      </c>
      <c r="H594" s="5">
        <v>0.56589999999999996</v>
      </c>
      <c r="I594">
        <v>89</v>
      </c>
      <c r="J594" s="4" t="str">
        <f>IF(OR(Копия_20206[[#This Row],[Units (in 1000)]]&gt;$R$7,Копия_20206[[#This Row],[Units (in 1000)]]&lt;$R$6),"outlier","not outlier")</f>
        <v>not outlier</v>
      </c>
      <c r="K594" s="4" t="str">
        <f>IF(OR(Копия_20206[[#This Row],[Value (in 1000 rub)]]&gt;$S$7,Копия_20206[[#This Row],[Value (in 1000 rub)]]&lt;$S$6),"outlier","not outlier")</f>
        <v>not outlier</v>
      </c>
      <c r="L594" s="4" t="str">
        <f>IF(OR(Копия_20206[[#This Row],[Volume (in 1000 kg)]]&gt;$T$7,Копия_20206[[#This Row],[Volume (in 1000 kg)]]&lt;$T$6),"outlier","not outlier")</f>
        <v>not outlier</v>
      </c>
      <c r="M594" s="4" t="str">
        <f>IF(OR(Копия_20206[[#This Row],[Number of stores]]&gt;$U$7,Копия_20206[[#This Row],[Number of stores]]&lt;$U$6),"outlier","not outlier")</f>
        <v>not outlier</v>
      </c>
    </row>
    <row r="595" spans="1:13" x14ac:dyDescent="0.25">
      <c r="A595">
        <v>2020</v>
      </c>
      <c r="B595">
        <v>2</v>
      </c>
      <c r="C595" s="1" t="s">
        <v>25</v>
      </c>
      <c r="D595" s="1" t="s">
        <v>17</v>
      </c>
      <c r="E595" s="1" t="s">
        <v>18</v>
      </c>
      <c r="F595" s="5">
        <v>1.0259</v>
      </c>
      <c r="G595" s="5">
        <v>91.413190999999998</v>
      </c>
      <c r="H595" s="5">
        <v>0.1847</v>
      </c>
      <c r="I595">
        <v>233</v>
      </c>
      <c r="J595" s="4" t="str">
        <f>IF(OR(Копия_20206[[#This Row],[Units (in 1000)]]&gt;$R$7,Копия_20206[[#This Row],[Units (in 1000)]]&lt;$R$6),"outlier","not outlier")</f>
        <v>not outlier</v>
      </c>
      <c r="K595" s="4" t="str">
        <f>IF(OR(Копия_20206[[#This Row],[Value (in 1000 rub)]]&gt;$S$7,Копия_20206[[#This Row],[Value (in 1000 rub)]]&lt;$S$6),"outlier","not outlier")</f>
        <v>not outlier</v>
      </c>
      <c r="L595" s="4" t="str">
        <f>IF(OR(Копия_20206[[#This Row],[Volume (in 1000 kg)]]&gt;$T$7,Копия_20206[[#This Row],[Volume (in 1000 kg)]]&lt;$T$6),"outlier","not outlier")</f>
        <v>not outlier</v>
      </c>
      <c r="M595" s="4" t="str">
        <f>IF(OR(Копия_20206[[#This Row],[Number of stores]]&gt;$U$7,Копия_20206[[#This Row],[Number of stores]]&lt;$U$6),"outlier","not outlier")</f>
        <v>not outlier</v>
      </c>
    </row>
    <row r="596" spans="1:13" x14ac:dyDescent="0.25">
      <c r="A596">
        <v>2020</v>
      </c>
      <c r="B596">
        <v>3</v>
      </c>
      <c r="C596" s="1" t="s">
        <v>8</v>
      </c>
      <c r="D596" s="1" t="s">
        <v>17</v>
      </c>
      <c r="E596" s="1" t="s">
        <v>18</v>
      </c>
      <c r="F596" s="5">
        <v>3.3967999999999998</v>
      </c>
      <c r="G596" s="5">
        <v>329.87308200000001</v>
      </c>
      <c r="H596" s="5">
        <v>0.61140000000000005</v>
      </c>
      <c r="I596">
        <v>93</v>
      </c>
      <c r="J596" s="4" t="str">
        <f>IF(OR(Копия_20206[[#This Row],[Units (in 1000)]]&gt;$R$7,Копия_20206[[#This Row],[Units (in 1000)]]&lt;$R$6),"outlier","not outlier")</f>
        <v>not outlier</v>
      </c>
      <c r="K596" s="4" t="str">
        <f>IF(OR(Копия_20206[[#This Row],[Value (in 1000 rub)]]&gt;$S$7,Копия_20206[[#This Row],[Value (in 1000 rub)]]&lt;$S$6),"outlier","not outlier")</f>
        <v>not outlier</v>
      </c>
      <c r="L596" s="4" t="str">
        <f>IF(OR(Копия_20206[[#This Row],[Volume (in 1000 kg)]]&gt;$T$7,Копия_20206[[#This Row],[Volume (in 1000 kg)]]&lt;$T$6),"outlier","not outlier")</f>
        <v>not outlier</v>
      </c>
      <c r="M596" s="4" t="str">
        <f>IF(OR(Копия_20206[[#This Row],[Number of stores]]&gt;$U$7,Копия_20206[[#This Row],[Number of stores]]&lt;$U$6),"outlier","not outlier")</f>
        <v>not outlier</v>
      </c>
    </row>
    <row r="597" spans="1:13" x14ac:dyDescent="0.25">
      <c r="A597">
        <v>2020</v>
      </c>
      <c r="B597">
        <v>3</v>
      </c>
      <c r="C597" s="1" t="s">
        <v>25</v>
      </c>
      <c r="D597" s="1" t="s">
        <v>17</v>
      </c>
      <c r="E597" s="1" t="s">
        <v>18</v>
      </c>
      <c r="F597" s="5">
        <v>1.1978</v>
      </c>
      <c r="G597" s="5">
        <v>108.865611</v>
      </c>
      <c r="H597" s="5">
        <v>0.21560000000000001</v>
      </c>
      <c r="I597">
        <v>239</v>
      </c>
      <c r="J597" s="4" t="str">
        <f>IF(OR(Копия_20206[[#This Row],[Units (in 1000)]]&gt;$R$7,Копия_20206[[#This Row],[Units (in 1000)]]&lt;$R$6),"outlier","not outlier")</f>
        <v>not outlier</v>
      </c>
      <c r="K597" s="4" t="str">
        <f>IF(OR(Копия_20206[[#This Row],[Value (in 1000 rub)]]&gt;$S$7,Копия_20206[[#This Row],[Value (in 1000 rub)]]&lt;$S$6),"outlier","not outlier")</f>
        <v>not outlier</v>
      </c>
      <c r="L597" s="4" t="str">
        <f>IF(OR(Копия_20206[[#This Row],[Volume (in 1000 kg)]]&gt;$T$7,Копия_20206[[#This Row],[Volume (in 1000 kg)]]&lt;$T$6),"outlier","not outlier")</f>
        <v>not outlier</v>
      </c>
      <c r="M597" s="4" t="str">
        <f>IF(OR(Копия_20206[[#This Row],[Number of stores]]&gt;$U$7,Копия_20206[[#This Row],[Number of stores]]&lt;$U$6),"outlier","not outlier")</f>
        <v>not outlier</v>
      </c>
    </row>
    <row r="598" spans="1:13" x14ac:dyDescent="0.25">
      <c r="A598">
        <v>2020</v>
      </c>
      <c r="B598">
        <v>4</v>
      </c>
      <c r="C598" s="1" t="s">
        <v>8</v>
      </c>
      <c r="D598" s="1" t="s">
        <v>17</v>
      </c>
      <c r="E598" s="1" t="s">
        <v>18</v>
      </c>
      <c r="F598" s="5">
        <v>2.9287999999999998</v>
      </c>
      <c r="G598" s="5">
        <v>285.83133199999997</v>
      </c>
      <c r="H598" s="5">
        <v>0.5272</v>
      </c>
      <c r="I598">
        <v>94</v>
      </c>
      <c r="J598" s="4" t="str">
        <f>IF(OR(Копия_20206[[#This Row],[Units (in 1000)]]&gt;$R$7,Копия_20206[[#This Row],[Units (in 1000)]]&lt;$R$6),"outlier","not outlier")</f>
        <v>not outlier</v>
      </c>
      <c r="K598" s="4" t="str">
        <f>IF(OR(Копия_20206[[#This Row],[Value (in 1000 rub)]]&gt;$S$7,Копия_20206[[#This Row],[Value (in 1000 rub)]]&lt;$S$6),"outlier","not outlier")</f>
        <v>not outlier</v>
      </c>
      <c r="L598" s="4" t="str">
        <f>IF(OR(Копия_20206[[#This Row],[Volume (in 1000 kg)]]&gt;$T$7,Копия_20206[[#This Row],[Volume (in 1000 kg)]]&lt;$T$6),"outlier","not outlier")</f>
        <v>not outlier</v>
      </c>
      <c r="M598" s="4" t="str">
        <f>IF(OR(Копия_20206[[#This Row],[Number of stores]]&gt;$U$7,Копия_20206[[#This Row],[Number of stores]]&lt;$U$6),"outlier","not outlier")</f>
        <v>not outlier</v>
      </c>
    </row>
    <row r="599" spans="1:13" x14ac:dyDescent="0.25">
      <c r="A599">
        <v>2020</v>
      </c>
      <c r="B599">
        <v>4</v>
      </c>
      <c r="C599" s="1" t="s">
        <v>25</v>
      </c>
      <c r="D599" s="1" t="s">
        <v>17</v>
      </c>
      <c r="E599" s="1" t="s">
        <v>18</v>
      </c>
      <c r="F599" s="5">
        <v>1.1104000000000001</v>
      </c>
      <c r="G599" s="5">
        <v>98.750619999999998</v>
      </c>
      <c r="H599" s="5">
        <v>0.19989999999999999</v>
      </c>
      <c r="I599">
        <v>243</v>
      </c>
      <c r="J599" s="4" t="str">
        <f>IF(OR(Копия_20206[[#This Row],[Units (in 1000)]]&gt;$R$7,Копия_20206[[#This Row],[Units (in 1000)]]&lt;$R$6),"outlier","not outlier")</f>
        <v>not outlier</v>
      </c>
      <c r="K599" s="4" t="str">
        <f>IF(OR(Копия_20206[[#This Row],[Value (in 1000 rub)]]&gt;$S$7,Копия_20206[[#This Row],[Value (in 1000 rub)]]&lt;$S$6),"outlier","not outlier")</f>
        <v>not outlier</v>
      </c>
      <c r="L599" s="4" t="str">
        <f>IF(OR(Копия_20206[[#This Row],[Volume (in 1000 kg)]]&gt;$T$7,Копия_20206[[#This Row],[Volume (in 1000 kg)]]&lt;$T$6),"outlier","not outlier")</f>
        <v>not outlier</v>
      </c>
      <c r="M599" s="4" t="str">
        <f>IF(OR(Копия_20206[[#This Row],[Number of stores]]&gt;$U$7,Копия_20206[[#This Row],[Number of stores]]&lt;$U$6),"outlier","not outlier")</f>
        <v>not outlier</v>
      </c>
    </row>
    <row r="600" spans="1:13" x14ac:dyDescent="0.25">
      <c r="A600">
        <v>2020</v>
      </c>
      <c r="B600">
        <v>5</v>
      </c>
      <c r="C600" s="1" t="s">
        <v>8</v>
      </c>
      <c r="D600" s="1" t="s">
        <v>17</v>
      </c>
      <c r="E600" s="1" t="s">
        <v>18</v>
      </c>
      <c r="F600" s="5">
        <v>3.2212999999999998</v>
      </c>
      <c r="G600" s="5">
        <v>305.89853199999999</v>
      </c>
      <c r="H600" s="5">
        <v>0.57979999999999998</v>
      </c>
      <c r="I600">
        <v>95</v>
      </c>
      <c r="J600" s="4" t="str">
        <f>IF(OR(Копия_20206[[#This Row],[Units (in 1000)]]&gt;$R$7,Копия_20206[[#This Row],[Units (in 1000)]]&lt;$R$6),"outlier","not outlier")</f>
        <v>not outlier</v>
      </c>
      <c r="K600" s="4" t="str">
        <f>IF(OR(Копия_20206[[#This Row],[Value (in 1000 rub)]]&gt;$S$7,Копия_20206[[#This Row],[Value (in 1000 rub)]]&lt;$S$6),"outlier","not outlier")</f>
        <v>not outlier</v>
      </c>
      <c r="L600" s="4" t="str">
        <f>IF(OR(Копия_20206[[#This Row],[Volume (in 1000 kg)]]&gt;$T$7,Копия_20206[[#This Row],[Volume (in 1000 kg)]]&lt;$T$6),"outlier","not outlier")</f>
        <v>not outlier</v>
      </c>
      <c r="M600" s="4" t="str">
        <f>IF(OR(Копия_20206[[#This Row],[Number of stores]]&gt;$U$7,Копия_20206[[#This Row],[Number of stores]]&lt;$U$6),"outlier","not outlier")</f>
        <v>not outlier</v>
      </c>
    </row>
    <row r="601" spans="1:13" x14ac:dyDescent="0.25">
      <c r="A601">
        <v>2020</v>
      </c>
      <c r="B601">
        <v>5</v>
      </c>
      <c r="C601" s="1" t="s">
        <v>25</v>
      </c>
      <c r="D601" s="1" t="s">
        <v>17</v>
      </c>
      <c r="E601" s="1" t="s">
        <v>18</v>
      </c>
      <c r="F601" s="5">
        <v>1.3652</v>
      </c>
      <c r="G601" s="5">
        <v>128.12374399999999</v>
      </c>
      <c r="H601" s="5">
        <v>0.2457</v>
      </c>
      <c r="I601">
        <v>245</v>
      </c>
      <c r="J601" s="4" t="str">
        <f>IF(OR(Копия_20206[[#This Row],[Units (in 1000)]]&gt;$R$7,Копия_20206[[#This Row],[Units (in 1000)]]&lt;$R$6),"outlier","not outlier")</f>
        <v>not outlier</v>
      </c>
      <c r="K601" s="4" t="str">
        <f>IF(OR(Копия_20206[[#This Row],[Value (in 1000 rub)]]&gt;$S$7,Копия_20206[[#This Row],[Value (in 1000 rub)]]&lt;$S$6),"outlier","not outlier")</f>
        <v>not outlier</v>
      </c>
      <c r="L601" s="4" t="str">
        <f>IF(OR(Копия_20206[[#This Row],[Volume (in 1000 kg)]]&gt;$T$7,Копия_20206[[#This Row],[Volume (in 1000 kg)]]&lt;$T$6),"outlier","not outlier")</f>
        <v>not outlier</v>
      </c>
      <c r="M601" s="4" t="str">
        <f>IF(OR(Копия_20206[[#This Row],[Number of stores]]&gt;$U$7,Копия_20206[[#This Row],[Number of stores]]&lt;$U$6),"outlier","not outlier")</f>
        <v>not outlier</v>
      </c>
    </row>
    <row r="602" spans="1:13" x14ac:dyDescent="0.25">
      <c r="A602">
        <v>2020</v>
      </c>
      <c r="B602">
        <v>6</v>
      </c>
      <c r="C602" s="1" t="s">
        <v>8</v>
      </c>
      <c r="D602" s="1" t="s">
        <v>17</v>
      </c>
      <c r="E602" s="1" t="s">
        <v>18</v>
      </c>
      <c r="F602" s="5">
        <v>3.9369999999999998</v>
      </c>
      <c r="G602" s="5">
        <v>360.47724399999998</v>
      </c>
      <c r="H602" s="5">
        <v>0.7087</v>
      </c>
      <c r="I602">
        <v>98</v>
      </c>
      <c r="J602" s="4" t="str">
        <f>IF(OR(Копия_20206[[#This Row],[Units (in 1000)]]&gt;$R$7,Копия_20206[[#This Row],[Units (in 1000)]]&lt;$R$6),"outlier","not outlier")</f>
        <v>not outlier</v>
      </c>
      <c r="K602" s="4" t="str">
        <f>IF(OR(Копия_20206[[#This Row],[Value (in 1000 rub)]]&gt;$S$7,Копия_20206[[#This Row],[Value (in 1000 rub)]]&lt;$S$6),"outlier","not outlier")</f>
        <v>not outlier</v>
      </c>
      <c r="L602" s="4" t="str">
        <f>IF(OR(Копия_20206[[#This Row],[Volume (in 1000 kg)]]&gt;$T$7,Копия_20206[[#This Row],[Volume (in 1000 kg)]]&lt;$T$6),"outlier","not outlier")</f>
        <v>not outlier</v>
      </c>
      <c r="M602" s="4" t="str">
        <f>IF(OR(Копия_20206[[#This Row],[Number of stores]]&gt;$U$7,Копия_20206[[#This Row],[Number of stores]]&lt;$U$6),"outlier","not outlier")</f>
        <v>not outlier</v>
      </c>
    </row>
    <row r="603" spans="1:13" x14ac:dyDescent="0.25">
      <c r="A603">
        <v>2020</v>
      </c>
      <c r="B603">
        <v>6</v>
      </c>
      <c r="C603" s="1" t="s">
        <v>25</v>
      </c>
      <c r="D603" s="1" t="s">
        <v>17</v>
      </c>
      <c r="E603" s="1" t="s">
        <v>18</v>
      </c>
      <c r="F603" s="5">
        <v>1.34</v>
      </c>
      <c r="G603" s="5">
        <v>120.12206</v>
      </c>
      <c r="H603" s="5">
        <v>0.2412</v>
      </c>
      <c r="I603">
        <v>367</v>
      </c>
      <c r="J603" s="4" t="str">
        <f>IF(OR(Копия_20206[[#This Row],[Units (in 1000)]]&gt;$R$7,Копия_20206[[#This Row],[Units (in 1000)]]&lt;$R$6),"outlier","not outlier")</f>
        <v>not outlier</v>
      </c>
      <c r="K603" s="4" t="str">
        <f>IF(OR(Копия_20206[[#This Row],[Value (in 1000 rub)]]&gt;$S$7,Копия_20206[[#This Row],[Value (in 1000 rub)]]&lt;$S$6),"outlier","not outlier")</f>
        <v>not outlier</v>
      </c>
      <c r="L603" s="4" t="str">
        <f>IF(OR(Копия_20206[[#This Row],[Volume (in 1000 kg)]]&gt;$T$7,Копия_20206[[#This Row],[Volume (in 1000 kg)]]&lt;$T$6),"outlier","not outlier")</f>
        <v>not outlier</v>
      </c>
      <c r="M603" s="4" t="str">
        <f>IF(OR(Копия_20206[[#This Row],[Number of stores]]&gt;$U$7,Копия_20206[[#This Row],[Number of stores]]&lt;$U$6),"outlier","not outlier")</f>
        <v>not outlier</v>
      </c>
    </row>
    <row r="604" spans="1:13" x14ac:dyDescent="0.25">
      <c r="A604">
        <v>2020</v>
      </c>
      <c r="B604">
        <v>7</v>
      </c>
      <c r="C604" s="1" t="s">
        <v>8</v>
      </c>
      <c r="D604" s="1" t="s">
        <v>17</v>
      </c>
      <c r="E604" s="1" t="s">
        <v>18</v>
      </c>
      <c r="F604" s="5">
        <v>3.0070999999999999</v>
      </c>
      <c r="G604" s="5">
        <v>290.43078500000001</v>
      </c>
      <c r="H604" s="5">
        <v>0.5413</v>
      </c>
      <c r="I604">
        <v>97</v>
      </c>
      <c r="J604" s="4" t="str">
        <f>IF(OR(Копия_20206[[#This Row],[Units (in 1000)]]&gt;$R$7,Копия_20206[[#This Row],[Units (in 1000)]]&lt;$R$6),"outlier","not outlier")</f>
        <v>not outlier</v>
      </c>
      <c r="K604" s="4" t="str">
        <f>IF(OR(Копия_20206[[#This Row],[Value (in 1000 rub)]]&gt;$S$7,Копия_20206[[#This Row],[Value (in 1000 rub)]]&lt;$S$6),"outlier","not outlier")</f>
        <v>not outlier</v>
      </c>
      <c r="L604" s="4" t="str">
        <f>IF(OR(Копия_20206[[#This Row],[Volume (in 1000 kg)]]&gt;$T$7,Копия_20206[[#This Row],[Volume (in 1000 kg)]]&lt;$T$6),"outlier","not outlier")</f>
        <v>not outlier</v>
      </c>
      <c r="M604" s="4" t="str">
        <f>IF(OR(Копия_20206[[#This Row],[Number of stores]]&gt;$U$7,Копия_20206[[#This Row],[Number of stores]]&lt;$U$6),"outlier","not outlier")</f>
        <v>not outlier</v>
      </c>
    </row>
    <row r="605" spans="1:13" x14ac:dyDescent="0.25">
      <c r="A605">
        <v>2020</v>
      </c>
      <c r="B605">
        <v>7</v>
      </c>
      <c r="C605" s="1" t="s">
        <v>25</v>
      </c>
      <c r="D605" s="1" t="s">
        <v>17</v>
      </c>
      <c r="E605" s="1" t="s">
        <v>18</v>
      </c>
      <c r="F605" s="5">
        <v>1.3448</v>
      </c>
      <c r="G605" s="5">
        <v>119.129525</v>
      </c>
      <c r="H605" s="5">
        <v>0.24199999999999999</v>
      </c>
      <c r="I605">
        <v>394</v>
      </c>
      <c r="J605" s="4" t="str">
        <f>IF(OR(Копия_20206[[#This Row],[Units (in 1000)]]&gt;$R$7,Копия_20206[[#This Row],[Units (in 1000)]]&lt;$R$6),"outlier","not outlier")</f>
        <v>not outlier</v>
      </c>
      <c r="K605" s="4" t="str">
        <f>IF(OR(Копия_20206[[#This Row],[Value (in 1000 rub)]]&gt;$S$7,Копия_20206[[#This Row],[Value (in 1000 rub)]]&lt;$S$6),"outlier","not outlier")</f>
        <v>not outlier</v>
      </c>
      <c r="L605" s="4" t="str">
        <f>IF(OR(Копия_20206[[#This Row],[Volume (in 1000 kg)]]&gt;$T$7,Копия_20206[[#This Row],[Volume (in 1000 kg)]]&lt;$T$6),"outlier","not outlier")</f>
        <v>not outlier</v>
      </c>
      <c r="M605" s="4" t="str">
        <f>IF(OR(Копия_20206[[#This Row],[Number of stores]]&gt;$U$7,Копия_20206[[#This Row],[Number of stores]]&lt;$U$6),"outlier","not outlier")</f>
        <v>not outlier</v>
      </c>
    </row>
    <row r="606" spans="1:13" x14ac:dyDescent="0.25">
      <c r="A606">
        <v>2020</v>
      </c>
      <c r="B606">
        <v>7</v>
      </c>
      <c r="C606" s="1" t="s">
        <v>29</v>
      </c>
      <c r="D606" s="1" t="s">
        <v>17</v>
      </c>
      <c r="E606" s="1" t="s">
        <v>18</v>
      </c>
      <c r="F606" s="5">
        <v>1.5679000000000001</v>
      </c>
      <c r="G606" s="5">
        <v>154.4753</v>
      </c>
      <c r="H606" s="5">
        <v>0.28220000000000001</v>
      </c>
      <c r="I606">
        <v>201</v>
      </c>
      <c r="J606" s="4" t="str">
        <f>IF(OR(Копия_20206[[#This Row],[Units (in 1000)]]&gt;$R$7,Копия_20206[[#This Row],[Units (in 1000)]]&lt;$R$6),"outlier","not outlier")</f>
        <v>not outlier</v>
      </c>
      <c r="K606" s="4" t="str">
        <f>IF(OR(Копия_20206[[#This Row],[Value (in 1000 rub)]]&gt;$S$7,Копия_20206[[#This Row],[Value (in 1000 rub)]]&lt;$S$6),"outlier","not outlier")</f>
        <v>not outlier</v>
      </c>
      <c r="L606" s="4" t="str">
        <f>IF(OR(Копия_20206[[#This Row],[Volume (in 1000 kg)]]&gt;$T$7,Копия_20206[[#This Row],[Volume (in 1000 kg)]]&lt;$T$6),"outlier","not outlier")</f>
        <v>not outlier</v>
      </c>
      <c r="M606" s="4" t="str">
        <f>IF(OR(Копия_20206[[#This Row],[Number of stores]]&gt;$U$7,Копия_20206[[#This Row],[Number of stores]]&lt;$U$6),"outlier","not outlier")</f>
        <v>not outlier</v>
      </c>
    </row>
    <row r="607" spans="1:13" x14ac:dyDescent="0.25">
      <c r="A607">
        <v>2020</v>
      </c>
      <c r="B607">
        <v>8</v>
      </c>
      <c r="C607" s="1" t="s">
        <v>8</v>
      </c>
      <c r="D607" s="1" t="s">
        <v>17</v>
      </c>
      <c r="E607" s="1" t="s">
        <v>18</v>
      </c>
      <c r="F607" s="5">
        <v>2.8443000000000001</v>
      </c>
      <c r="G607" s="5">
        <v>284.90218499999997</v>
      </c>
      <c r="H607" s="5">
        <v>0.51200000000000001</v>
      </c>
      <c r="I607">
        <v>97</v>
      </c>
      <c r="J607" s="4" t="str">
        <f>IF(OR(Копия_20206[[#This Row],[Units (in 1000)]]&gt;$R$7,Копия_20206[[#This Row],[Units (in 1000)]]&lt;$R$6),"outlier","not outlier")</f>
        <v>not outlier</v>
      </c>
      <c r="K607" s="4" t="str">
        <f>IF(OR(Копия_20206[[#This Row],[Value (in 1000 rub)]]&gt;$S$7,Копия_20206[[#This Row],[Value (in 1000 rub)]]&lt;$S$6),"outlier","not outlier")</f>
        <v>not outlier</v>
      </c>
      <c r="L607" s="4" t="str">
        <f>IF(OR(Копия_20206[[#This Row],[Volume (in 1000 kg)]]&gt;$T$7,Копия_20206[[#This Row],[Volume (in 1000 kg)]]&lt;$T$6),"outlier","not outlier")</f>
        <v>not outlier</v>
      </c>
      <c r="M607" s="4" t="str">
        <f>IF(OR(Копия_20206[[#This Row],[Number of stores]]&gt;$U$7,Копия_20206[[#This Row],[Number of stores]]&lt;$U$6),"outlier","not outlier")</f>
        <v>not outlier</v>
      </c>
    </row>
    <row r="608" spans="1:13" x14ac:dyDescent="0.25">
      <c r="A608">
        <v>2020</v>
      </c>
      <c r="B608">
        <v>8</v>
      </c>
      <c r="C608" s="1" t="s">
        <v>25</v>
      </c>
      <c r="D608" s="1" t="s">
        <v>17</v>
      </c>
      <c r="E608" s="1" t="s">
        <v>18</v>
      </c>
      <c r="F608" s="5">
        <v>1.1651</v>
      </c>
      <c r="G608" s="5">
        <v>103.196774</v>
      </c>
      <c r="H608" s="5">
        <v>0.2097</v>
      </c>
      <c r="I608">
        <v>256</v>
      </c>
      <c r="J608" s="4" t="str">
        <f>IF(OR(Копия_20206[[#This Row],[Units (in 1000)]]&gt;$R$7,Копия_20206[[#This Row],[Units (in 1000)]]&lt;$R$6),"outlier","not outlier")</f>
        <v>not outlier</v>
      </c>
      <c r="K608" s="4" t="str">
        <f>IF(OR(Копия_20206[[#This Row],[Value (in 1000 rub)]]&gt;$S$7,Копия_20206[[#This Row],[Value (in 1000 rub)]]&lt;$S$6),"outlier","not outlier")</f>
        <v>not outlier</v>
      </c>
      <c r="L608" s="4" t="str">
        <f>IF(OR(Копия_20206[[#This Row],[Volume (in 1000 kg)]]&gt;$T$7,Копия_20206[[#This Row],[Volume (in 1000 kg)]]&lt;$T$6),"outlier","not outlier")</f>
        <v>not outlier</v>
      </c>
      <c r="M608" s="4" t="str">
        <f>IF(OR(Копия_20206[[#This Row],[Number of stores]]&gt;$U$7,Копия_20206[[#This Row],[Number of stores]]&lt;$U$6),"outlier","not outlier")</f>
        <v>not outlier</v>
      </c>
    </row>
    <row r="609" spans="1:13" x14ac:dyDescent="0.25">
      <c r="A609">
        <v>2020</v>
      </c>
      <c r="B609">
        <v>8</v>
      </c>
      <c r="C609" s="1" t="s">
        <v>29</v>
      </c>
      <c r="D609" s="1" t="s">
        <v>17</v>
      </c>
      <c r="E609" s="1" t="s">
        <v>18</v>
      </c>
      <c r="F609" s="5">
        <v>1.4419999999999999</v>
      </c>
      <c r="G609" s="5">
        <v>152.140199</v>
      </c>
      <c r="H609" s="5">
        <v>0.2596</v>
      </c>
      <c r="I609">
        <v>190</v>
      </c>
      <c r="J609" s="4" t="str">
        <f>IF(OR(Копия_20206[[#This Row],[Units (in 1000)]]&gt;$R$7,Копия_20206[[#This Row],[Units (in 1000)]]&lt;$R$6),"outlier","not outlier")</f>
        <v>not outlier</v>
      </c>
      <c r="K609" s="4" t="str">
        <f>IF(OR(Копия_20206[[#This Row],[Value (in 1000 rub)]]&gt;$S$7,Копия_20206[[#This Row],[Value (in 1000 rub)]]&lt;$S$6),"outlier","not outlier")</f>
        <v>not outlier</v>
      </c>
      <c r="L609" s="4" t="str">
        <f>IF(OR(Копия_20206[[#This Row],[Volume (in 1000 kg)]]&gt;$T$7,Копия_20206[[#This Row],[Volume (in 1000 kg)]]&lt;$T$6),"outlier","not outlier")</f>
        <v>not outlier</v>
      </c>
      <c r="M609" s="4" t="str">
        <f>IF(OR(Копия_20206[[#This Row],[Number of stores]]&gt;$U$7,Копия_20206[[#This Row],[Number of stores]]&lt;$U$6),"outlier","not outlier")</f>
        <v>not outlier</v>
      </c>
    </row>
    <row r="610" spans="1:13" x14ac:dyDescent="0.25">
      <c r="A610">
        <v>2020</v>
      </c>
      <c r="B610">
        <v>9</v>
      </c>
      <c r="C610" s="1" t="s">
        <v>8</v>
      </c>
      <c r="D610" s="1" t="s">
        <v>17</v>
      </c>
      <c r="E610" s="1" t="s">
        <v>18</v>
      </c>
      <c r="F610" s="5">
        <v>2.7854999999999999</v>
      </c>
      <c r="G610" s="5">
        <v>291.05724500000002</v>
      </c>
      <c r="H610" s="5">
        <v>0.50149999999999995</v>
      </c>
      <c r="I610">
        <v>98</v>
      </c>
      <c r="J610" s="4" t="str">
        <f>IF(OR(Копия_20206[[#This Row],[Units (in 1000)]]&gt;$R$7,Копия_20206[[#This Row],[Units (in 1000)]]&lt;$R$6),"outlier","not outlier")</f>
        <v>not outlier</v>
      </c>
      <c r="K610" s="4" t="str">
        <f>IF(OR(Копия_20206[[#This Row],[Value (in 1000 rub)]]&gt;$S$7,Копия_20206[[#This Row],[Value (in 1000 rub)]]&lt;$S$6),"outlier","not outlier")</f>
        <v>not outlier</v>
      </c>
      <c r="L610" s="4" t="str">
        <f>IF(OR(Копия_20206[[#This Row],[Volume (in 1000 kg)]]&gt;$T$7,Копия_20206[[#This Row],[Volume (in 1000 kg)]]&lt;$T$6),"outlier","not outlier")</f>
        <v>not outlier</v>
      </c>
      <c r="M610" s="4" t="str">
        <f>IF(OR(Копия_20206[[#This Row],[Number of stores]]&gt;$U$7,Копия_20206[[#This Row],[Number of stores]]&lt;$U$6),"outlier","not outlier")</f>
        <v>not outlier</v>
      </c>
    </row>
    <row r="611" spans="1:13" x14ac:dyDescent="0.25">
      <c r="A611">
        <v>2020</v>
      </c>
      <c r="B611">
        <v>9</v>
      </c>
      <c r="C611" s="1" t="s">
        <v>25</v>
      </c>
      <c r="D611" s="1" t="s">
        <v>17</v>
      </c>
      <c r="E611" s="1" t="s">
        <v>18</v>
      </c>
      <c r="F611" s="5">
        <v>1.1543000000000001</v>
      </c>
      <c r="G611" s="5">
        <v>102.77844899999999</v>
      </c>
      <c r="H611" s="5">
        <v>0.20780000000000001</v>
      </c>
      <c r="I611">
        <v>259</v>
      </c>
      <c r="J611" s="4" t="str">
        <f>IF(OR(Копия_20206[[#This Row],[Units (in 1000)]]&gt;$R$7,Копия_20206[[#This Row],[Units (in 1000)]]&lt;$R$6),"outlier","not outlier")</f>
        <v>not outlier</v>
      </c>
      <c r="K611" s="4" t="str">
        <f>IF(OR(Копия_20206[[#This Row],[Value (in 1000 rub)]]&gt;$S$7,Копия_20206[[#This Row],[Value (in 1000 rub)]]&lt;$S$6),"outlier","not outlier")</f>
        <v>not outlier</v>
      </c>
      <c r="L611" s="4" t="str">
        <f>IF(OR(Копия_20206[[#This Row],[Volume (in 1000 kg)]]&gt;$T$7,Копия_20206[[#This Row],[Volume (in 1000 kg)]]&lt;$T$6),"outlier","not outlier")</f>
        <v>not outlier</v>
      </c>
      <c r="M611" s="4" t="str">
        <f>IF(OR(Копия_20206[[#This Row],[Number of stores]]&gt;$U$7,Копия_20206[[#This Row],[Number of stores]]&lt;$U$6),"outlier","not outlier")</f>
        <v>not outlier</v>
      </c>
    </row>
    <row r="612" spans="1:13" x14ac:dyDescent="0.25">
      <c r="A612">
        <v>2020</v>
      </c>
      <c r="B612">
        <v>10</v>
      </c>
      <c r="C612" s="1" t="s">
        <v>8</v>
      </c>
      <c r="D612" s="1" t="s">
        <v>17</v>
      </c>
      <c r="E612" s="1" t="s">
        <v>18</v>
      </c>
      <c r="F612" s="5">
        <v>2.7048999999999999</v>
      </c>
      <c r="G612" s="5">
        <v>285.144203</v>
      </c>
      <c r="H612" s="5">
        <v>0.4869</v>
      </c>
      <c r="I612">
        <v>101</v>
      </c>
      <c r="J612" s="4" t="str">
        <f>IF(OR(Копия_20206[[#This Row],[Units (in 1000)]]&gt;$R$7,Копия_20206[[#This Row],[Units (in 1000)]]&lt;$R$6),"outlier","not outlier")</f>
        <v>not outlier</v>
      </c>
      <c r="K612" s="4" t="str">
        <f>IF(OR(Копия_20206[[#This Row],[Value (in 1000 rub)]]&gt;$S$7,Копия_20206[[#This Row],[Value (in 1000 rub)]]&lt;$S$6),"outlier","not outlier")</f>
        <v>not outlier</v>
      </c>
      <c r="L612" s="4" t="str">
        <f>IF(OR(Копия_20206[[#This Row],[Volume (in 1000 kg)]]&gt;$T$7,Копия_20206[[#This Row],[Volume (in 1000 kg)]]&lt;$T$6),"outlier","not outlier")</f>
        <v>not outlier</v>
      </c>
      <c r="M612" s="4" t="str">
        <f>IF(OR(Копия_20206[[#This Row],[Number of stores]]&gt;$U$7,Копия_20206[[#This Row],[Number of stores]]&lt;$U$6),"outlier","not outlier")</f>
        <v>not outlier</v>
      </c>
    </row>
    <row r="613" spans="1:13" x14ac:dyDescent="0.25">
      <c r="A613">
        <v>2020</v>
      </c>
      <c r="B613">
        <v>10</v>
      </c>
      <c r="C613" s="1" t="s">
        <v>25</v>
      </c>
      <c r="D613" s="1" t="s">
        <v>17</v>
      </c>
      <c r="E613" s="1" t="s">
        <v>18</v>
      </c>
      <c r="F613" s="5">
        <v>1.1305000000000001</v>
      </c>
      <c r="G613" s="5">
        <v>100.54479600000001</v>
      </c>
      <c r="H613" s="5">
        <v>0.2034</v>
      </c>
      <c r="I613">
        <v>177</v>
      </c>
      <c r="J613" s="4" t="str">
        <f>IF(OR(Копия_20206[[#This Row],[Units (in 1000)]]&gt;$R$7,Копия_20206[[#This Row],[Units (in 1000)]]&lt;$R$6),"outlier","not outlier")</f>
        <v>not outlier</v>
      </c>
      <c r="K613" s="4" t="str">
        <f>IF(OR(Копия_20206[[#This Row],[Value (in 1000 rub)]]&gt;$S$7,Копия_20206[[#This Row],[Value (in 1000 rub)]]&lt;$S$6),"outlier","not outlier")</f>
        <v>not outlier</v>
      </c>
      <c r="L613" s="4" t="str">
        <f>IF(OR(Копия_20206[[#This Row],[Volume (in 1000 kg)]]&gt;$T$7,Копия_20206[[#This Row],[Volume (in 1000 kg)]]&lt;$T$6),"outlier","not outlier")</f>
        <v>not outlier</v>
      </c>
      <c r="M613" s="4" t="str">
        <f>IF(OR(Копия_20206[[#This Row],[Number of stores]]&gt;$U$7,Копия_20206[[#This Row],[Number of stores]]&lt;$U$6),"outlier","not outlier")</f>
        <v>not outlier</v>
      </c>
    </row>
    <row r="614" spans="1:13" x14ac:dyDescent="0.25">
      <c r="A614">
        <v>2020</v>
      </c>
      <c r="B614">
        <v>11</v>
      </c>
      <c r="C614" s="1" t="s">
        <v>8</v>
      </c>
      <c r="D614" s="1" t="s">
        <v>17</v>
      </c>
      <c r="E614" s="1" t="s">
        <v>18</v>
      </c>
      <c r="F614" s="5">
        <v>2.7119</v>
      </c>
      <c r="G614" s="5">
        <v>283.88014399999997</v>
      </c>
      <c r="H614" s="5">
        <v>0.48809999999999998</v>
      </c>
      <c r="I614">
        <v>103</v>
      </c>
      <c r="J614" s="4" t="str">
        <f>IF(OR(Копия_20206[[#This Row],[Units (in 1000)]]&gt;$R$7,Копия_20206[[#This Row],[Units (in 1000)]]&lt;$R$6),"outlier","not outlier")</f>
        <v>not outlier</v>
      </c>
      <c r="K614" s="4" t="str">
        <f>IF(OR(Копия_20206[[#This Row],[Value (in 1000 rub)]]&gt;$S$7,Копия_20206[[#This Row],[Value (in 1000 rub)]]&lt;$S$6),"outlier","not outlier")</f>
        <v>not outlier</v>
      </c>
      <c r="L614" s="4" t="str">
        <f>IF(OR(Копия_20206[[#This Row],[Volume (in 1000 kg)]]&gt;$T$7,Копия_20206[[#This Row],[Volume (in 1000 kg)]]&lt;$T$6),"outlier","not outlier")</f>
        <v>not outlier</v>
      </c>
      <c r="M614" s="4" t="str">
        <f>IF(OR(Копия_20206[[#This Row],[Number of stores]]&gt;$U$7,Копия_20206[[#This Row],[Number of stores]]&lt;$U$6),"outlier","not outlier")</f>
        <v>not outlier</v>
      </c>
    </row>
    <row r="615" spans="1:13" x14ac:dyDescent="0.25">
      <c r="A615">
        <v>2020</v>
      </c>
      <c r="B615">
        <v>11</v>
      </c>
      <c r="C615" s="1" t="s">
        <v>25</v>
      </c>
      <c r="D615" s="1" t="s">
        <v>17</v>
      </c>
      <c r="E615" s="1" t="s">
        <v>18</v>
      </c>
      <c r="F615" s="5">
        <v>2.8003999999999998</v>
      </c>
      <c r="G615" s="5">
        <v>304.455579</v>
      </c>
      <c r="H615" s="5">
        <v>0.50409999999999999</v>
      </c>
      <c r="I615">
        <v>257</v>
      </c>
      <c r="J615" s="4" t="str">
        <f>IF(OR(Копия_20206[[#This Row],[Units (in 1000)]]&gt;$R$7,Копия_20206[[#This Row],[Units (in 1000)]]&lt;$R$6),"outlier","not outlier")</f>
        <v>not outlier</v>
      </c>
      <c r="K615" s="4" t="str">
        <f>IF(OR(Копия_20206[[#This Row],[Value (in 1000 rub)]]&gt;$S$7,Копия_20206[[#This Row],[Value (in 1000 rub)]]&lt;$S$6),"outlier","not outlier")</f>
        <v>not outlier</v>
      </c>
      <c r="L615" s="4" t="str">
        <f>IF(OR(Копия_20206[[#This Row],[Volume (in 1000 kg)]]&gt;$T$7,Копия_20206[[#This Row],[Volume (in 1000 kg)]]&lt;$T$6),"outlier","not outlier")</f>
        <v>not outlier</v>
      </c>
      <c r="M615" s="4" t="str">
        <f>IF(OR(Копия_20206[[#This Row],[Number of stores]]&gt;$U$7,Копия_20206[[#This Row],[Number of stores]]&lt;$U$6),"outlier","not outlier")</f>
        <v>not outlier</v>
      </c>
    </row>
    <row r="616" spans="1:13" x14ac:dyDescent="0.25">
      <c r="A616">
        <v>2020</v>
      </c>
      <c r="B616">
        <v>12</v>
      </c>
      <c r="C616" s="1" t="s">
        <v>8</v>
      </c>
      <c r="D616" s="1" t="s">
        <v>17</v>
      </c>
      <c r="E616" s="1" t="s">
        <v>18</v>
      </c>
      <c r="F616" s="5">
        <v>2.8290999999999999</v>
      </c>
      <c r="G616" s="5">
        <v>306.53553399999998</v>
      </c>
      <c r="H616" s="5">
        <v>0.50919999999999999</v>
      </c>
      <c r="I616">
        <v>103</v>
      </c>
      <c r="J616" s="4" t="str">
        <f>IF(OR(Копия_20206[[#This Row],[Units (in 1000)]]&gt;$R$7,Копия_20206[[#This Row],[Units (in 1000)]]&lt;$R$6),"outlier","not outlier")</f>
        <v>not outlier</v>
      </c>
      <c r="K616" s="4" t="str">
        <f>IF(OR(Копия_20206[[#This Row],[Value (in 1000 rub)]]&gt;$S$7,Копия_20206[[#This Row],[Value (in 1000 rub)]]&lt;$S$6),"outlier","not outlier")</f>
        <v>not outlier</v>
      </c>
      <c r="L616" s="4" t="str">
        <f>IF(OR(Копия_20206[[#This Row],[Volume (in 1000 kg)]]&gt;$T$7,Копия_20206[[#This Row],[Volume (in 1000 kg)]]&lt;$T$6),"outlier","not outlier")</f>
        <v>not outlier</v>
      </c>
      <c r="M616" s="4" t="str">
        <f>IF(OR(Копия_20206[[#This Row],[Number of stores]]&gt;$U$7,Копия_20206[[#This Row],[Number of stores]]&lt;$U$6),"outlier","not outlier")</f>
        <v>not outlier</v>
      </c>
    </row>
    <row r="617" spans="1:13" x14ac:dyDescent="0.25">
      <c r="A617">
        <v>2020</v>
      </c>
      <c r="B617">
        <v>12</v>
      </c>
      <c r="C617" s="1" t="s">
        <v>25</v>
      </c>
      <c r="D617" s="1" t="s">
        <v>17</v>
      </c>
      <c r="E617" s="1" t="s">
        <v>18</v>
      </c>
      <c r="F617" s="5">
        <v>1.5923</v>
      </c>
      <c r="G617" s="5">
        <v>134.403459</v>
      </c>
      <c r="H617" s="5">
        <v>0.28660000000000002</v>
      </c>
      <c r="I617">
        <v>220</v>
      </c>
      <c r="J617" s="4" t="str">
        <f>IF(OR(Копия_20206[[#This Row],[Units (in 1000)]]&gt;$R$7,Копия_20206[[#This Row],[Units (in 1000)]]&lt;$R$6),"outlier","not outlier")</f>
        <v>not outlier</v>
      </c>
      <c r="K617" s="4" t="str">
        <f>IF(OR(Копия_20206[[#This Row],[Value (in 1000 rub)]]&gt;$S$7,Копия_20206[[#This Row],[Value (in 1000 rub)]]&lt;$S$6),"outlier","not outlier")</f>
        <v>not outlier</v>
      </c>
      <c r="L617" s="4" t="str">
        <f>IF(OR(Копия_20206[[#This Row],[Volume (in 1000 kg)]]&gt;$T$7,Копия_20206[[#This Row],[Volume (in 1000 kg)]]&lt;$T$6),"outlier","not outlier")</f>
        <v>not outlier</v>
      </c>
      <c r="M617" s="4" t="str">
        <f>IF(OR(Копия_20206[[#This Row],[Number of stores]]&gt;$U$7,Копия_20206[[#This Row],[Number of stores]]&lt;$U$6),"outlier","not outlier")</f>
        <v>not outlier</v>
      </c>
    </row>
    <row r="618" spans="1:13" x14ac:dyDescent="0.25">
      <c r="A618">
        <v>2020</v>
      </c>
      <c r="B618">
        <v>1</v>
      </c>
      <c r="C618" s="1" t="s">
        <v>8</v>
      </c>
      <c r="D618" s="1" t="s">
        <v>16</v>
      </c>
      <c r="E618" s="1" t="s">
        <v>11</v>
      </c>
      <c r="F618" s="5">
        <v>2.8313000000000001</v>
      </c>
      <c r="G618" s="5">
        <v>200.763102</v>
      </c>
      <c r="H618" s="5">
        <v>1.0193000000000001</v>
      </c>
      <c r="I618">
        <v>191</v>
      </c>
      <c r="J618" s="4" t="str">
        <f>IF(OR(Копия_20206[[#This Row],[Units (in 1000)]]&gt;$R$7,Копия_20206[[#This Row],[Units (in 1000)]]&lt;$R$6),"outlier","not outlier")</f>
        <v>not outlier</v>
      </c>
      <c r="K618" s="4" t="str">
        <f>IF(OR(Копия_20206[[#This Row],[Value (in 1000 rub)]]&gt;$S$7,Копия_20206[[#This Row],[Value (in 1000 rub)]]&lt;$S$6),"outlier","not outlier")</f>
        <v>not outlier</v>
      </c>
      <c r="L618" s="4" t="str">
        <f>IF(OR(Копия_20206[[#This Row],[Volume (in 1000 kg)]]&gt;$T$7,Копия_20206[[#This Row],[Volume (in 1000 kg)]]&lt;$T$6),"outlier","not outlier")</f>
        <v>not outlier</v>
      </c>
      <c r="M618" s="4" t="str">
        <f>IF(OR(Копия_20206[[#This Row],[Number of stores]]&gt;$U$7,Копия_20206[[#This Row],[Number of stores]]&lt;$U$6),"outlier","not outlier")</f>
        <v>not outlier</v>
      </c>
    </row>
    <row r="619" spans="1:13" x14ac:dyDescent="0.25">
      <c r="A619">
        <v>2020</v>
      </c>
      <c r="B619">
        <v>1</v>
      </c>
      <c r="C619" s="1" t="s">
        <v>25</v>
      </c>
      <c r="D619" s="1" t="s">
        <v>16</v>
      </c>
      <c r="E619" s="1" t="s">
        <v>11</v>
      </c>
      <c r="F619" s="5">
        <v>52.790100000000002</v>
      </c>
      <c r="G619" s="5">
        <v>3000.9626050000002</v>
      </c>
      <c r="H619" s="5">
        <v>19.0044</v>
      </c>
      <c r="I619">
        <v>5948</v>
      </c>
      <c r="J619" s="4" t="str">
        <f>IF(OR(Копия_20206[[#This Row],[Units (in 1000)]]&gt;$R$7,Копия_20206[[#This Row],[Units (in 1000)]]&lt;$R$6),"outlier","not outlier")</f>
        <v>outlier</v>
      </c>
      <c r="K619" s="4" t="str">
        <f>IF(OR(Копия_20206[[#This Row],[Value (in 1000 rub)]]&gt;$S$7,Копия_20206[[#This Row],[Value (in 1000 rub)]]&lt;$S$6),"outlier","not outlier")</f>
        <v>outlier</v>
      </c>
      <c r="L619" s="4" t="str">
        <f>IF(OR(Копия_20206[[#This Row],[Volume (in 1000 kg)]]&gt;$T$7,Копия_20206[[#This Row],[Volume (in 1000 kg)]]&lt;$T$6),"outlier","not outlier")</f>
        <v>outlier</v>
      </c>
      <c r="M619" s="4" t="str">
        <f>IF(OR(Копия_20206[[#This Row],[Number of stores]]&gt;$U$7,Копия_20206[[#This Row],[Number of stores]]&lt;$U$6),"outlier","not outlier")</f>
        <v>outlier</v>
      </c>
    </row>
    <row r="620" spans="1:13" x14ac:dyDescent="0.25">
      <c r="A620">
        <v>2020</v>
      </c>
      <c r="B620">
        <v>1</v>
      </c>
      <c r="C620" s="1" t="s">
        <v>29</v>
      </c>
      <c r="D620" s="1" t="s">
        <v>16</v>
      </c>
      <c r="E620" s="1" t="s">
        <v>11</v>
      </c>
      <c r="F620" s="5">
        <v>55.337499999999999</v>
      </c>
      <c r="G620" s="5">
        <v>3197.0532509999998</v>
      </c>
      <c r="H620" s="5">
        <v>19.921500000000002</v>
      </c>
      <c r="I620">
        <v>6724</v>
      </c>
      <c r="J620" s="4" t="str">
        <f>IF(OR(Копия_20206[[#This Row],[Units (in 1000)]]&gt;$R$7,Копия_20206[[#This Row],[Units (in 1000)]]&lt;$R$6),"outlier","not outlier")</f>
        <v>outlier</v>
      </c>
      <c r="K620" s="4" t="str">
        <f>IF(OR(Копия_20206[[#This Row],[Value (in 1000 rub)]]&gt;$S$7,Копия_20206[[#This Row],[Value (in 1000 rub)]]&lt;$S$6),"outlier","not outlier")</f>
        <v>outlier</v>
      </c>
      <c r="L620" s="4" t="str">
        <f>IF(OR(Копия_20206[[#This Row],[Volume (in 1000 kg)]]&gt;$T$7,Копия_20206[[#This Row],[Volume (in 1000 kg)]]&lt;$T$6),"outlier","not outlier")</f>
        <v>outlier</v>
      </c>
      <c r="M620" s="4" t="str">
        <f>IF(OR(Копия_20206[[#This Row],[Number of stores]]&gt;$U$7,Копия_20206[[#This Row],[Number of stores]]&lt;$U$6),"outlier","not outlier")</f>
        <v>outlier</v>
      </c>
    </row>
    <row r="621" spans="1:13" x14ac:dyDescent="0.25">
      <c r="A621">
        <v>2020</v>
      </c>
      <c r="B621">
        <v>2</v>
      </c>
      <c r="C621" s="1" t="s">
        <v>8</v>
      </c>
      <c r="D621" s="1" t="s">
        <v>16</v>
      </c>
      <c r="E621" s="1" t="s">
        <v>11</v>
      </c>
      <c r="F621" s="5">
        <v>2.4809999999999999</v>
      </c>
      <c r="G621" s="5">
        <v>184.941745</v>
      </c>
      <c r="H621" s="5">
        <v>0.8931</v>
      </c>
      <c r="I621">
        <v>168</v>
      </c>
      <c r="J621" s="4" t="str">
        <f>IF(OR(Копия_20206[[#This Row],[Units (in 1000)]]&gt;$R$7,Копия_20206[[#This Row],[Units (in 1000)]]&lt;$R$6),"outlier","not outlier")</f>
        <v>not outlier</v>
      </c>
      <c r="K621" s="4" t="str">
        <f>IF(OR(Копия_20206[[#This Row],[Value (in 1000 rub)]]&gt;$S$7,Копия_20206[[#This Row],[Value (in 1000 rub)]]&lt;$S$6),"outlier","not outlier")</f>
        <v>not outlier</v>
      </c>
      <c r="L621" s="4" t="str">
        <f>IF(OR(Копия_20206[[#This Row],[Volume (in 1000 kg)]]&gt;$T$7,Копия_20206[[#This Row],[Volume (in 1000 kg)]]&lt;$T$6),"outlier","not outlier")</f>
        <v>not outlier</v>
      </c>
      <c r="M621" s="4" t="str">
        <f>IF(OR(Копия_20206[[#This Row],[Number of stores]]&gt;$U$7,Копия_20206[[#This Row],[Number of stores]]&lt;$U$6),"outlier","not outlier")</f>
        <v>not outlier</v>
      </c>
    </row>
    <row r="622" spans="1:13" x14ac:dyDescent="0.25">
      <c r="A622">
        <v>2020</v>
      </c>
      <c r="B622">
        <v>2</v>
      </c>
      <c r="C622" s="1" t="s">
        <v>25</v>
      </c>
      <c r="D622" s="1" t="s">
        <v>16</v>
      </c>
      <c r="E622" s="1" t="s">
        <v>11</v>
      </c>
      <c r="F622" s="5">
        <v>39.954599999999999</v>
      </c>
      <c r="G622" s="5">
        <v>2210.363738</v>
      </c>
      <c r="H622" s="5">
        <v>14.383599999999999</v>
      </c>
      <c r="I622">
        <v>5524</v>
      </c>
      <c r="J622" s="4" t="str">
        <f>IF(OR(Копия_20206[[#This Row],[Units (in 1000)]]&gt;$R$7,Копия_20206[[#This Row],[Units (in 1000)]]&lt;$R$6),"outlier","not outlier")</f>
        <v>outlier</v>
      </c>
      <c r="K622" s="4" t="str">
        <f>IF(OR(Копия_20206[[#This Row],[Value (in 1000 rub)]]&gt;$S$7,Копия_20206[[#This Row],[Value (in 1000 rub)]]&lt;$S$6),"outlier","not outlier")</f>
        <v>outlier</v>
      </c>
      <c r="L622" s="4" t="str">
        <f>IF(OR(Копия_20206[[#This Row],[Volume (in 1000 kg)]]&gt;$T$7,Копия_20206[[#This Row],[Volume (in 1000 kg)]]&lt;$T$6),"outlier","not outlier")</f>
        <v>outlier</v>
      </c>
      <c r="M622" s="4" t="str">
        <f>IF(OR(Копия_20206[[#This Row],[Number of stores]]&gt;$U$7,Копия_20206[[#This Row],[Number of stores]]&lt;$U$6),"outlier","not outlier")</f>
        <v>outlier</v>
      </c>
    </row>
    <row r="623" spans="1:13" x14ac:dyDescent="0.25">
      <c r="A623">
        <v>2020</v>
      </c>
      <c r="B623">
        <v>2</v>
      </c>
      <c r="C623" s="1" t="s">
        <v>29</v>
      </c>
      <c r="D623" s="1" t="s">
        <v>16</v>
      </c>
      <c r="E623" s="1" t="s">
        <v>11</v>
      </c>
      <c r="F623" s="5">
        <v>43.391399999999997</v>
      </c>
      <c r="G623" s="5">
        <v>2388.3426169999998</v>
      </c>
      <c r="H623" s="5">
        <v>15.620900000000001</v>
      </c>
      <c r="I623">
        <v>6043</v>
      </c>
      <c r="J623" s="4" t="str">
        <f>IF(OR(Копия_20206[[#This Row],[Units (in 1000)]]&gt;$R$7,Копия_20206[[#This Row],[Units (in 1000)]]&lt;$R$6),"outlier","not outlier")</f>
        <v>outlier</v>
      </c>
      <c r="K623" s="4" t="str">
        <f>IF(OR(Копия_20206[[#This Row],[Value (in 1000 rub)]]&gt;$S$7,Копия_20206[[#This Row],[Value (in 1000 rub)]]&lt;$S$6),"outlier","not outlier")</f>
        <v>outlier</v>
      </c>
      <c r="L623" s="4" t="str">
        <f>IF(OR(Копия_20206[[#This Row],[Volume (in 1000 kg)]]&gt;$T$7,Копия_20206[[#This Row],[Volume (in 1000 kg)]]&lt;$T$6),"outlier","not outlier")</f>
        <v>outlier</v>
      </c>
      <c r="M623" s="4" t="str">
        <f>IF(OR(Копия_20206[[#This Row],[Number of stores]]&gt;$U$7,Копия_20206[[#This Row],[Number of stores]]&lt;$U$6),"outlier","not outlier")</f>
        <v>outlier</v>
      </c>
    </row>
    <row r="624" spans="1:13" x14ac:dyDescent="0.25">
      <c r="A624">
        <v>2020</v>
      </c>
      <c r="B624">
        <v>3</v>
      </c>
      <c r="C624" s="1" t="s">
        <v>8</v>
      </c>
      <c r="D624" s="1" t="s">
        <v>16</v>
      </c>
      <c r="E624" s="1" t="s">
        <v>11</v>
      </c>
      <c r="F624" s="5">
        <v>2.6175999999999999</v>
      </c>
      <c r="G624" s="5">
        <v>197.90961999999999</v>
      </c>
      <c r="H624" s="5">
        <v>0.94230000000000003</v>
      </c>
      <c r="I624">
        <v>128</v>
      </c>
      <c r="J624" s="4" t="str">
        <f>IF(OR(Копия_20206[[#This Row],[Units (in 1000)]]&gt;$R$7,Копия_20206[[#This Row],[Units (in 1000)]]&lt;$R$6),"outlier","not outlier")</f>
        <v>not outlier</v>
      </c>
      <c r="K624" s="4" t="str">
        <f>IF(OR(Копия_20206[[#This Row],[Value (in 1000 rub)]]&gt;$S$7,Копия_20206[[#This Row],[Value (in 1000 rub)]]&lt;$S$6),"outlier","not outlier")</f>
        <v>not outlier</v>
      </c>
      <c r="L624" s="4" t="str">
        <f>IF(OR(Копия_20206[[#This Row],[Volume (in 1000 kg)]]&gt;$T$7,Копия_20206[[#This Row],[Volume (in 1000 kg)]]&lt;$T$6),"outlier","not outlier")</f>
        <v>not outlier</v>
      </c>
      <c r="M624" s="4" t="str">
        <f>IF(OR(Копия_20206[[#This Row],[Number of stores]]&gt;$U$7,Копия_20206[[#This Row],[Number of stores]]&lt;$U$6),"outlier","not outlier")</f>
        <v>not outlier</v>
      </c>
    </row>
    <row r="625" spans="1:13" x14ac:dyDescent="0.25">
      <c r="A625">
        <v>2020</v>
      </c>
      <c r="B625">
        <v>3</v>
      </c>
      <c r="C625" s="1" t="s">
        <v>25</v>
      </c>
      <c r="D625" s="1" t="s">
        <v>16</v>
      </c>
      <c r="E625" s="1" t="s">
        <v>11</v>
      </c>
      <c r="F625" s="5">
        <v>15.8856</v>
      </c>
      <c r="G625" s="5">
        <v>1072.2208250000001</v>
      </c>
      <c r="H625" s="5">
        <v>5.7187999999999999</v>
      </c>
      <c r="I625">
        <v>3521</v>
      </c>
      <c r="J625" s="4" t="str">
        <f>IF(OR(Копия_20206[[#This Row],[Units (in 1000)]]&gt;$R$7,Копия_20206[[#This Row],[Units (in 1000)]]&lt;$R$6),"outlier","not outlier")</f>
        <v>not outlier</v>
      </c>
      <c r="K625" s="4" t="str">
        <f>IF(OR(Копия_20206[[#This Row],[Value (in 1000 rub)]]&gt;$S$7,Копия_20206[[#This Row],[Value (in 1000 rub)]]&lt;$S$6),"outlier","not outlier")</f>
        <v>not outlier</v>
      </c>
      <c r="L625" s="4" t="str">
        <f>IF(OR(Копия_20206[[#This Row],[Volume (in 1000 kg)]]&gt;$T$7,Копия_20206[[#This Row],[Volume (in 1000 kg)]]&lt;$T$6),"outlier","not outlier")</f>
        <v>not outlier</v>
      </c>
      <c r="M625" s="4" t="str">
        <f>IF(OR(Копия_20206[[#This Row],[Number of stores]]&gt;$U$7,Копия_20206[[#This Row],[Number of stores]]&lt;$U$6),"outlier","not outlier")</f>
        <v>outlier</v>
      </c>
    </row>
    <row r="626" spans="1:13" x14ac:dyDescent="0.25">
      <c r="A626">
        <v>2020</v>
      </c>
      <c r="B626">
        <v>3</v>
      </c>
      <c r="C626" s="1" t="s">
        <v>29</v>
      </c>
      <c r="D626" s="1" t="s">
        <v>16</v>
      </c>
      <c r="E626" s="1" t="s">
        <v>11</v>
      </c>
      <c r="F626" s="5">
        <v>20.995999999999999</v>
      </c>
      <c r="G626" s="5">
        <v>1306.620265</v>
      </c>
      <c r="H626" s="5">
        <v>7.5586000000000002</v>
      </c>
      <c r="I626">
        <v>3778</v>
      </c>
      <c r="J626" s="4" t="str">
        <f>IF(OR(Копия_20206[[#This Row],[Units (in 1000)]]&gt;$R$7,Копия_20206[[#This Row],[Units (in 1000)]]&lt;$R$6),"outlier","not outlier")</f>
        <v>not outlier</v>
      </c>
      <c r="K626" s="4" t="str">
        <f>IF(OR(Копия_20206[[#This Row],[Value (in 1000 rub)]]&gt;$S$7,Копия_20206[[#This Row],[Value (in 1000 rub)]]&lt;$S$6),"outlier","not outlier")</f>
        <v>not outlier</v>
      </c>
      <c r="L626" s="4" t="str">
        <f>IF(OR(Копия_20206[[#This Row],[Volume (in 1000 kg)]]&gt;$T$7,Копия_20206[[#This Row],[Volume (in 1000 kg)]]&lt;$T$6),"outlier","not outlier")</f>
        <v>outlier</v>
      </c>
      <c r="M626" s="4" t="str">
        <f>IF(OR(Копия_20206[[#This Row],[Number of stores]]&gt;$U$7,Копия_20206[[#This Row],[Number of stores]]&lt;$U$6),"outlier","not outlier")</f>
        <v>outlier</v>
      </c>
    </row>
    <row r="627" spans="1:13" x14ac:dyDescent="0.25">
      <c r="A627">
        <v>2020</v>
      </c>
      <c r="B627">
        <v>4</v>
      </c>
      <c r="C627" s="1" t="s">
        <v>8</v>
      </c>
      <c r="D627" s="1" t="s">
        <v>16</v>
      </c>
      <c r="E627" s="1" t="s">
        <v>11</v>
      </c>
      <c r="F627" s="5">
        <v>2.3170999999999999</v>
      </c>
      <c r="G627" s="5">
        <v>172.71895000000001</v>
      </c>
      <c r="H627" s="5">
        <v>0.83409999999999995</v>
      </c>
      <c r="I627">
        <v>119</v>
      </c>
      <c r="J627" s="4" t="str">
        <f>IF(OR(Копия_20206[[#This Row],[Units (in 1000)]]&gt;$R$7,Копия_20206[[#This Row],[Units (in 1000)]]&lt;$R$6),"outlier","not outlier")</f>
        <v>not outlier</v>
      </c>
      <c r="K627" s="4" t="str">
        <f>IF(OR(Копия_20206[[#This Row],[Value (in 1000 rub)]]&gt;$S$7,Копия_20206[[#This Row],[Value (in 1000 rub)]]&lt;$S$6),"outlier","not outlier")</f>
        <v>not outlier</v>
      </c>
      <c r="L627" s="4" t="str">
        <f>IF(OR(Копия_20206[[#This Row],[Volume (in 1000 kg)]]&gt;$T$7,Копия_20206[[#This Row],[Volume (in 1000 kg)]]&lt;$T$6),"outlier","not outlier")</f>
        <v>not outlier</v>
      </c>
      <c r="M627" s="4" t="str">
        <f>IF(OR(Копия_20206[[#This Row],[Number of stores]]&gt;$U$7,Копия_20206[[#This Row],[Number of stores]]&lt;$U$6),"outlier","not outlier")</f>
        <v>not outlier</v>
      </c>
    </row>
    <row r="628" spans="1:13" x14ac:dyDescent="0.25">
      <c r="A628">
        <v>2020</v>
      </c>
      <c r="B628">
        <v>4</v>
      </c>
      <c r="C628" s="1" t="s">
        <v>25</v>
      </c>
      <c r="D628" s="1" t="s">
        <v>16</v>
      </c>
      <c r="E628" s="1" t="s">
        <v>11</v>
      </c>
      <c r="F628" s="5">
        <v>17.1067</v>
      </c>
      <c r="G628" s="5">
        <v>1076.4419350000001</v>
      </c>
      <c r="H628" s="5">
        <v>6.1584000000000003</v>
      </c>
      <c r="I628">
        <v>2626</v>
      </c>
      <c r="J628" s="4" t="str">
        <f>IF(OR(Копия_20206[[#This Row],[Units (in 1000)]]&gt;$R$7,Копия_20206[[#This Row],[Units (in 1000)]]&lt;$R$6),"outlier","not outlier")</f>
        <v>not outlier</v>
      </c>
      <c r="K628" s="4" t="str">
        <f>IF(OR(Копия_20206[[#This Row],[Value (in 1000 rub)]]&gt;$S$7,Копия_20206[[#This Row],[Value (in 1000 rub)]]&lt;$S$6),"outlier","not outlier")</f>
        <v>not outlier</v>
      </c>
      <c r="L628" s="4" t="str">
        <f>IF(OR(Копия_20206[[#This Row],[Volume (in 1000 kg)]]&gt;$T$7,Копия_20206[[#This Row],[Volume (in 1000 kg)]]&lt;$T$6),"outlier","not outlier")</f>
        <v>not outlier</v>
      </c>
      <c r="M628" s="4" t="str">
        <f>IF(OR(Копия_20206[[#This Row],[Number of stores]]&gt;$U$7,Копия_20206[[#This Row],[Number of stores]]&lt;$U$6),"outlier","not outlier")</f>
        <v>not outlier</v>
      </c>
    </row>
    <row r="629" spans="1:13" x14ac:dyDescent="0.25">
      <c r="A629">
        <v>2020</v>
      </c>
      <c r="B629">
        <v>4</v>
      </c>
      <c r="C629" s="1" t="s">
        <v>29</v>
      </c>
      <c r="D629" s="1" t="s">
        <v>16</v>
      </c>
      <c r="E629" s="1" t="s">
        <v>11</v>
      </c>
      <c r="F629" s="5">
        <v>18.3218</v>
      </c>
      <c r="G629" s="5">
        <v>1168.5843609999999</v>
      </c>
      <c r="H629" s="5">
        <v>6.5957999999999997</v>
      </c>
      <c r="I629">
        <v>2651</v>
      </c>
      <c r="J629" s="4" t="str">
        <f>IF(OR(Копия_20206[[#This Row],[Units (in 1000)]]&gt;$R$7,Копия_20206[[#This Row],[Units (in 1000)]]&lt;$R$6),"outlier","not outlier")</f>
        <v>not outlier</v>
      </c>
      <c r="K629" s="4" t="str">
        <f>IF(OR(Копия_20206[[#This Row],[Value (in 1000 rub)]]&gt;$S$7,Копия_20206[[#This Row],[Value (in 1000 rub)]]&lt;$S$6),"outlier","not outlier")</f>
        <v>not outlier</v>
      </c>
      <c r="L629" s="4" t="str">
        <f>IF(OR(Копия_20206[[#This Row],[Volume (in 1000 kg)]]&gt;$T$7,Копия_20206[[#This Row],[Volume (in 1000 kg)]]&lt;$T$6),"outlier","not outlier")</f>
        <v>not outlier</v>
      </c>
      <c r="M629" s="4" t="str">
        <f>IF(OR(Копия_20206[[#This Row],[Number of stores]]&gt;$U$7,Копия_20206[[#This Row],[Number of stores]]&lt;$U$6),"outlier","not outlier")</f>
        <v>not outlier</v>
      </c>
    </row>
    <row r="630" spans="1:13" x14ac:dyDescent="0.25">
      <c r="A630">
        <v>2020</v>
      </c>
      <c r="B630">
        <v>5</v>
      </c>
      <c r="C630" s="1" t="s">
        <v>8</v>
      </c>
      <c r="D630" s="1" t="s">
        <v>16</v>
      </c>
      <c r="E630" s="1" t="s">
        <v>11</v>
      </c>
      <c r="F630" s="5">
        <v>1.8592</v>
      </c>
      <c r="G630" s="5">
        <v>140.87174899999999</v>
      </c>
      <c r="H630" s="5">
        <v>0.66920000000000002</v>
      </c>
      <c r="I630">
        <v>105</v>
      </c>
      <c r="J630" s="4" t="str">
        <f>IF(OR(Копия_20206[[#This Row],[Units (in 1000)]]&gt;$R$7,Копия_20206[[#This Row],[Units (in 1000)]]&lt;$R$6),"outlier","not outlier")</f>
        <v>not outlier</v>
      </c>
      <c r="K630" s="4" t="str">
        <f>IF(OR(Копия_20206[[#This Row],[Value (in 1000 rub)]]&gt;$S$7,Копия_20206[[#This Row],[Value (in 1000 rub)]]&lt;$S$6),"outlier","not outlier")</f>
        <v>not outlier</v>
      </c>
      <c r="L630" s="4" t="str">
        <f>IF(OR(Копия_20206[[#This Row],[Volume (in 1000 kg)]]&gt;$T$7,Копия_20206[[#This Row],[Volume (in 1000 kg)]]&lt;$T$6),"outlier","not outlier")</f>
        <v>not outlier</v>
      </c>
      <c r="M630" s="4" t="str">
        <f>IF(OR(Копия_20206[[#This Row],[Number of stores]]&gt;$U$7,Копия_20206[[#This Row],[Number of stores]]&lt;$U$6),"outlier","not outlier")</f>
        <v>not outlier</v>
      </c>
    </row>
    <row r="631" spans="1:13" x14ac:dyDescent="0.25">
      <c r="A631">
        <v>2020</v>
      </c>
      <c r="B631">
        <v>5</v>
      </c>
      <c r="C631" s="1" t="s">
        <v>25</v>
      </c>
      <c r="D631" s="1" t="s">
        <v>16</v>
      </c>
      <c r="E631" s="1" t="s">
        <v>11</v>
      </c>
      <c r="F631" s="5">
        <v>14.6881</v>
      </c>
      <c r="G631" s="5">
        <v>881.70830999999998</v>
      </c>
      <c r="H631" s="5">
        <v>5.2877999999999998</v>
      </c>
      <c r="I631">
        <v>2350</v>
      </c>
      <c r="J631" s="4" t="str">
        <f>IF(OR(Копия_20206[[#This Row],[Units (in 1000)]]&gt;$R$7,Копия_20206[[#This Row],[Units (in 1000)]]&lt;$R$6),"outlier","not outlier")</f>
        <v>not outlier</v>
      </c>
      <c r="K631" s="4" t="str">
        <f>IF(OR(Копия_20206[[#This Row],[Value (in 1000 rub)]]&gt;$S$7,Копия_20206[[#This Row],[Value (in 1000 rub)]]&lt;$S$6),"outlier","not outlier")</f>
        <v>not outlier</v>
      </c>
      <c r="L631" s="4" t="str">
        <f>IF(OR(Копия_20206[[#This Row],[Volume (in 1000 kg)]]&gt;$T$7,Копия_20206[[#This Row],[Volume (in 1000 kg)]]&lt;$T$6),"outlier","not outlier")</f>
        <v>not outlier</v>
      </c>
      <c r="M631" s="4" t="str">
        <f>IF(OR(Копия_20206[[#This Row],[Number of stores]]&gt;$U$7,Копия_20206[[#This Row],[Number of stores]]&lt;$U$6),"outlier","not outlier")</f>
        <v>not outlier</v>
      </c>
    </row>
    <row r="632" spans="1:13" x14ac:dyDescent="0.25">
      <c r="A632">
        <v>2020</v>
      </c>
      <c r="B632">
        <v>5</v>
      </c>
      <c r="C632" s="1" t="s">
        <v>29</v>
      </c>
      <c r="D632" s="1" t="s">
        <v>16</v>
      </c>
      <c r="E632" s="1" t="s">
        <v>11</v>
      </c>
      <c r="F632" s="5">
        <v>16.150099999999998</v>
      </c>
      <c r="G632" s="5">
        <v>985.10154799999998</v>
      </c>
      <c r="H632" s="5">
        <v>5.8140000000000001</v>
      </c>
      <c r="I632">
        <v>2207</v>
      </c>
      <c r="J632" s="4" t="str">
        <f>IF(OR(Копия_20206[[#This Row],[Units (in 1000)]]&gt;$R$7,Копия_20206[[#This Row],[Units (in 1000)]]&lt;$R$6),"outlier","not outlier")</f>
        <v>not outlier</v>
      </c>
      <c r="K632" s="4" t="str">
        <f>IF(OR(Копия_20206[[#This Row],[Value (in 1000 rub)]]&gt;$S$7,Копия_20206[[#This Row],[Value (in 1000 rub)]]&lt;$S$6),"outlier","not outlier")</f>
        <v>not outlier</v>
      </c>
      <c r="L632" s="4" t="str">
        <f>IF(OR(Копия_20206[[#This Row],[Volume (in 1000 kg)]]&gt;$T$7,Копия_20206[[#This Row],[Volume (in 1000 kg)]]&lt;$T$6),"outlier","not outlier")</f>
        <v>not outlier</v>
      </c>
      <c r="M632" s="4" t="str">
        <f>IF(OR(Копия_20206[[#This Row],[Number of stores]]&gt;$U$7,Копия_20206[[#This Row],[Number of stores]]&lt;$U$6),"outlier","not outlier")</f>
        <v>not outlier</v>
      </c>
    </row>
    <row r="633" spans="1:13" x14ac:dyDescent="0.25">
      <c r="A633">
        <v>2020</v>
      </c>
      <c r="B633">
        <v>6</v>
      </c>
      <c r="C633" s="1" t="s">
        <v>8</v>
      </c>
      <c r="D633" s="1" t="s">
        <v>16</v>
      </c>
      <c r="E633" s="1" t="s">
        <v>11</v>
      </c>
      <c r="F633" s="5">
        <v>2.1413000000000002</v>
      </c>
      <c r="G633" s="5">
        <v>156.110209</v>
      </c>
      <c r="H633" s="5">
        <v>0.77090000000000003</v>
      </c>
      <c r="I633">
        <v>100</v>
      </c>
      <c r="J633" s="4" t="str">
        <f>IF(OR(Копия_20206[[#This Row],[Units (in 1000)]]&gt;$R$7,Копия_20206[[#This Row],[Units (in 1000)]]&lt;$R$6),"outlier","not outlier")</f>
        <v>not outlier</v>
      </c>
      <c r="K633" s="4" t="str">
        <f>IF(OR(Копия_20206[[#This Row],[Value (in 1000 rub)]]&gt;$S$7,Копия_20206[[#This Row],[Value (in 1000 rub)]]&lt;$S$6),"outlier","not outlier")</f>
        <v>not outlier</v>
      </c>
      <c r="L633" s="4" t="str">
        <f>IF(OR(Копия_20206[[#This Row],[Volume (in 1000 kg)]]&gt;$T$7,Копия_20206[[#This Row],[Volume (in 1000 kg)]]&lt;$T$6),"outlier","not outlier")</f>
        <v>not outlier</v>
      </c>
      <c r="M633" s="4" t="str">
        <f>IF(OR(Копия_20206[[#This Row],[Number of stores]]&gt;$U$7,Копия_20206[[#This Row],[Number of stores]]&lt;$U$6),"outlier","not outlier")</f>
        <v>not outlier</v>
      </c>
    </row>
    <row r="634" spans="1:13" x14ac:dyDescent="0.25">
      <c r="A634">
        <v>2020</v>
      </c>
      <c r="B634">
        <v>6</v>
      </c>
      <c r="C634" s="1" t="s">
        <v>25</v>
      </c>
      <c r="D634" s="1" t="s">
        <v>16</v>
      </c>
      <c r="E634" s="1" t="s">
        <v>11</v>
      </c>
      <c r="F634" s="5">
        <v>18.790299999999998</v>
      </c>
      <c r="G634" s="5">
        <v>1016.720657</v>
      </c>
      <c r="H634" s="5">
        <v>6.7645</v>
      </c>
      <c r="I634">
        <v>2074</v>
      </c>
      <c r="J634" s="4" t="str">
        <f>IF(OR(Копия_20206[[#This Row],[Units (in 1000)]]&gt;$R$7,Копия_20206[[#This Row],[Units (in 1000)]]&lt;$R$6),"outlier","not outlier")</f>
        <v>not outlier</v>
      </c>
      <c r="K634" s="4" t="str">
        <f>IF(OR(Копия_20206[[#This Row],[Value (in 1000 rub)]]&gt;$S$7,Копия_20206[[#This Row],[Value (in 1000 rub)]]&lt;$S$6),"outlier","not outlier")</f>
        <v>not outlier</v>
      </c>
      <c r="L634" s="4" t="str">
        <f>IF(OR(Копия_20206[[#This Row],[Volume (in 1000 kg)]]&gt;$T$7,Копия_20206[[#This Row],[Volume (in 1000 kg)]]&lt;$T$6),"outlier","not outlier")</f>
        <v>not outlier</v>
      </c>
      <c r="M634" s="4" t="str">
        <f>IF(OR(Копия_20206[[#This Row],[Number of stores]]&gt;$U$7,Копия_20206[[#This Row],[Number of stores]]&lt;$U$6),"outlier","not outlier")</f>
        <v>not outlier</v>
      </c>
    </row>
    <row r="635" spans="1:13" x14ac:dyDescent="0.25">
      <c r="A635">
        <v>2020</v>
      </c>
      <c r="B635">
        <v>6</v>
      </c>
      <c r="C635" s="1" t="s">
        <v>29</v>
      </c>
      <c r="D635" s="1" t="s">
        <v>16</v>
      </c>
      <c r="E635" s="1" t="s">
        <v>11</v>
      </c>
      <c r="F635" s="5">
        <v>31.279399999999999</v>
      </c>
      <c r="G635" s="5">
        <v>1824.2965959999999</v>
      </c>
      <c r="H635" s="5">
        <v>11.2606</v>
      </c>
      <c r="I635">
        <v>2090</v>
      </c>
      <c r="J635" s="4" t="str">
        <f>IF(OR(Копия_20206[[#This Row],[Units (in 1000)]]&gt;$R$7,Копия_20206[[#This Row],[Units (in 1000)]]&lt;$R$6),"outlier","not outlier")</f>
        <v>outlier</v>
      </c>
      <c r="K635" s="4" t="str">
        <f>IF(OR(Копия_20206[[#This Row],[Value (in 1000 rub)]]&gt;$S$7,Копия_20206[[#This Row],[Value (in 1000 rub)]]&lt;$S$6),"outlier","not outlier")</f>
        <v>not outlier</v>
      </c>
      <c r="L635" s="4" t="str">
        <f>IF(OR(Копия_20206[[#This Row],[Volume (in 1000 kg)]]&gt;$T$7,Копия_20206[[#This Row],[Volume (in 1000 kg)]]&lt;$T$6),"outlier","not outlier")</f>
        <v>outlier</v>
      </c>
      <c r="M635" s="4" t="str">
        <f>IF(OR(Копия_20206[[#This Row],[Number of stores]]&gt;$U$7,Копия_20206[[#This Row],[Number of stores]]&lt;$U$6),"outlier","not outlier")</f>
        <v>not outlier</v>
      </c>
    </row>
    <row r="636" spans="1:13" x14ac:dyDescent="0.25">
      <c r="A636">
        <v>2020</v>
      </c>
      <c r="B636">
        <v>7</v>
      </c>
      <c r="C636" s="1" t="s">
        <v>8</v>
      </c>
      <c r="D636" s="1" t="s">
        <v>16</v>
      </c>
      <c r="E636" s="1" t="s">
        <v>11</v>
      </c>
      <c r="F636" s="5">
        <v>3.0331999999999999</v>
      </c>
      <c r="G636" s="5">
        <v>201.709554</v>
      </c>
      <c r="H636" s="5">
        <v>1.0919000000000001</v>
      </c>
      <c r="I636">
        <v>172</v>
      </c>
      <c r="J636" s="4" t="str">
        <f>IF(OR(Копия_20206[[#This Row],[Units (in 1000)]]&gt;$R$7,Копия_20206[[#This Row],[Units (in 1000)]]&lt;$R$6),"outlier","not outlier")</f>
        <v>not outlier</v>
      </c>
      <c r="K636" s="4" t="str">
        <f>IF(OR(Копия_20206[[#This Row],[Value (in 1000 rub)]]&gt;$S$7,Копия_20206[[#This Row],[Value (in 1000 rub)]]&lt;$S$6),"outlier","not outlier")</f>
        <v>not outlier</v>
      </c>
      <c r="L636" s="4" t="str">
        <f>IF(OR(Копия_20206[[#This Row],[Volume (in 1000 kg)]]&gt;$T$7,Копия_20206[[#This Row],[Volume (in 1000 kg)]]&lt;$T$6),"outlier","not outlier")</f>
        <v>not outlier</v>
      </c>
      <c r="M636" s="4" t="str">
        <f>IF(OR(Копия_20206[[#This Row],[Number of stores]]&gt;$U$7,Копия_20206[[#This Row],[Number of stores]]&lt;$U$6),"outlier","not outlier")</f>
        <v>not outlier</v>
      </c>
    </row>
    <row r="637" spans="1:13" x14ac:dyDescent="0.25">
      <c r="A637">
        <v>2020</v>
      </c>
      <c r="B637">
        <v>7</v>
      </c>
      <c r="C637" s="1" t="s">
        <v>25</v>
      </c>
      <c r="D637" s="1" t="s">
        <v>16</v>
      </c>
      <c r="E637" s="1" t="s">
        <v>11</v>
      </c>
      <c r="F637" s="5">
        <v>8.89</v>
      </c>
      <c r="G637" s="5">
        <v>612.199476</v>
      </c>
      <c r="H637" s="5">
        <v>3.2004000000000001</v>
      </c>
      <c r="I637">
        <v>1973</v>
      </c>
      <c r="J637" s="4" t="str">
        <f>IF(OR(Копия_20206[[#This Row],[Units (in 1000)]]&gt;$R$7,Копия_20206[[#This Row],[Units (in 1000)]]&lt;$R$6),"outlier","not outlier")</f>
        <v>not outlier</v>
      </c>
      <c r="K637" s="4" t="str">
        <f>IF(OR(Копия_20206[[#This Row],[Value (in 1000 rub)]]&gt;$S$7,Копия_20206[[#This Row],[Value (in 1000 rub)]]&lt;$S$6),"outlier","not outlier")</f>
        <v>not outlier</v>
      </c>
      <c r="L637" s="4" t="str">
        <f>IF(OR(Копия_20206[[#This Row],[Volume (in 1000 kg)]]&gt;$T$7,Копия_20206[[#This Row],[Volume (in 1000 kg)]]&lt;$T$6),"outlier","not outlier")</f>
        <v>not outlier</v>
      </c>
      <c r="M637" s="4" t="str">
        <f>IF(OR(Копия_20206[[#This Row],[Number of stores]]&gt;$U$7,Копия_20206[[#This Row],[Number of stores]]&lt;$U$6),"outlier","not outlier")</f>
        <v>not outlier</v>
      </c>
    </row>
    <row r="638" spans="1:13" x14ac:dyDescent="0.25">
      <c r="A638">
        <v>2020</v>
      </c>
      <c r="B638">
        <v>7</v>
      </c>
      <c r="C638" s="1" t="s">
        <v>29</v>
      </c>
      <c r="D638" s="1" t="s">
        <v>16</v>
      </c>
      <c r="E638" s="1" t="s">
        <v>11</v>
      </c>
      <c r="F638" s="5">
        <v>21.8827</v>
      </c>
      <c r="G638" s="5">
        <v>1520.411846</v>
      </c>
      <c r="H638" s="5">
        <v>7.8777999999999997</v>
      </c>
      <c r="I638">
        <v>2063</v>
      </c>
      <c r="J638" s="4" t="str">
        <f>IF(OR(Копия_20206[[#This Row],[Units (in 1000)]]&gt;$R$7,Копия_20206[[#This Row],[Units (in 1000)]]&lt;$R$6),"outlier","not outlier")</f>
        <v>not outlier</v>
      </c>
      <c r="K638" s="4" t="str">
        <f>IF(OR(Копия_20206[[#This Row],[Value (in 1000 rub)]]&gt;$S$7,Копия_20206[[#This Row],[Value (in 1000 rub)]]&lt;$S$6),"outlier","not outlier")</f>
        <v>not outlier</v>
      </c>
      <c r="L638" s="4" t="str">
        <f>IF(OR(Копия_20206[[#This Row],[Volume (in 1000 kg)]]&gt;$T$7,Копия_20206[[#This Row],[Volume (in 1000 kg)]]&lt;$T$6),"outlier","not outlier")</f>
        <v>outlier</v>
      </c>
      <c r="M638" s="4" t="str">
        <f>IF(OR(Копия_20206[[#This Row],[Number of stores]]&gt;$U$7,Копия_20206[[#This Row],[Number of stores]]&lt;$U$6),"outlier","not outlier")</f>
        <v>not outlier</v>
      </c>
    </row>
    <row r="639" spans="1:13" x14ac:dyDescent="0.25">
      <c r="A639">
        <v>2020</v>
      </c>
      <c r="B639">
        <v>8</v>
      </c>
      <c r="C639" s="1" t="s">
        <v>8</v>
      </c>
      <c r="D639" s="1" t="s">
        <v>16</v>
      </c>
      <c r="E639" s="1" t="s">
        <v>11</v>
      </c>
      <c r="F639" s="5">
        <v>8.5170999999999992</v>
      </c>
      <c r="G639" s="5">
        <v>418.47555899999998</v>
      </c>
      <c r="H639" s="5">
        <v>3.0661999999999998</v>
      </c>
      <c r="I639">
        <v>172</v>
      </c>
      <c r="J639" s="4" t="str">
        <f>IF(OR(Копия_20206[[#This Row],[Units (in 1000)]]&gt;$R$7,Копия_20206[[#This Row],[Units (in 1000)]]&lt;$R$6),"outlier","not outlier")</f>
        <v>not outlier</v>
      </c>
      <c r="K639" s="4" t="str">
        <f>IF(OR(Копия_20206[[#This Row],[Value (in 1000 rub)]]&gt;$S$7,Копия_20206[[#This Row],[Value (in 1000 rub)]]&lt;$S$6),"outlier","not outlier")</f>
        <v>not outlier</v>
      </c>
      <c r="L639" s="4" t="str">
        <f>IF(OR(Копия_20206[[#This Row],[Volume (in 1000 kg)]]&gt;$T$7,Копия_20206[[#This Row],[Volume (in 1000 kg)]]&lt;$T$6),"outlier","not outlier")</f>
        <v>not outlier</v>
      </c>
      <c r="M639" s="4" t="str">
        <f>IF(OR(Копия_20206[[#This Row],[Number of stores]]&gt;$U$7,Копия_20206[[#This Row],[Number of stores]]&lt;$U$6),"outlier","not outlier")</f>
        <v>not outlier</v>
      </c>
    </row>
    <row r="640" spans="1:13" x14ac:dyDescent="0.25">
      <c r="A640">
        <v>2020</v>
      </c>
      <c r="B640">
        <v>8</v>
      </c>
      <c r="C640" s="1" t="s">
        <v>25</v>
      </c>
      <c r="D640" s="1" t="s">
        <v>16</v>
      </c>
      <c r="E640" s="1" t="s">
        <v>11</v>
      </c>
      <c r="F640" s="5">
        <v>14.2728</v>
      </c>
      <c r="G640" s="5">
        <v>797.20818899999995</v>
      </c>
      <c r="H640" s="5">
        <v>5.1383000000000001</v>
      </c>
      <c r="I640">
        <v>2058</v>
      </c>
      <c r="J640" s="4" t="str">
        <f>IF(OR(Копия_20206[[#This Row],[Units (in 1000)]]&gt;$R$7,Копия_20206[[#This Row],[Units (in 1000)]]&lt;$R$6),"outlier","not outlier")</f>
        <v>not outlier</v>
      </c>
      <c r="K640" s="4" t="str">
        <f>IF(OR(Копия_20206[[#This Row],[Value (in 1000 rub)]]&gt;$S$7,Копия_20206[[#This Row],[Value (in 1000 rub)]]&lt;$S$6),"outlier","not outlier")</f>
        <v>not outlier</v>
      </c>
      <c r="L640" s="4" t="str">
        <f>IF(OR(Копия_20206[[#This Row],[Volume (in 1000 kg)]]&gt;$T$7,Копия_20206[[#This Row],[Volume (in 1000 kg)]]&lt;$T$6),"outlier","not outlier")</f>
        <v>not outlier</v>
      </c>
      <c r="M640" s="4" t="str">
        <f>IF(OR(Копия_20206[[#This Row],[Number of stores]]&gt;$U$7,Копия_20206[[#This Row],[Number of stores]]&lt;$U$6),"outlier","not outlier")</f>
        <v>not outlier</v>
      </c>
    </row>
    <row r="641" spans="1:13" x14ac:dyDescent="0.25">
      <c r="A641">
        <v>2020</v>
      </c>
      <c r="B641">
        <v>8</v>
      </c>
      <c r="C641" s="1" t="s">
        <v>29</v>
      </c>
      <c r="D641" s="1" t="s">
        <v>16</v>
      </c>
      <c r="E641" s="1" t="s">
        <v>11</v>
      </c>
      <c r="F641" s="5">
        <v>31.6173</v>
      </c>
      <c r="G641" s="5">
        <v>1907.5230429999999</v>
      </c>
      <c r="H641" s="5">
        <v>11.382199999999999</v>
      </c>
      <c r="I641">
        <v>1997</v>
      </c>
      <c r="J641" s="4" t="str">
        <f>IF(OR(Копия_20206[[#This Row],[Units (in 1000)]]&gt;$R$7,Копия_20206[[#This Row],[Units (in 1000)]]&lt;$R$6),"outlier","not outlier")</f>
        <v>outlier</v>
      </c>
      <c r="K641" s="4" t="str">
        <f>IF(OR(Копия_20206[[#This Row],[Value (in 1000 rub)]]&gt;$S$7,Копия_20206[[#This Row],[Value (in 1000 rub)]]&lt;$S$6),"outlier","not outlier")</f>
        <v>not outlier</v>
      </c>
      <c r="L641" s="4" t="str">
        <f>IF(OR(Копия_20206[[#This Row],[Volume (in 1000 kg)]]&gt;$T$7,Копия_20206[[#This Row],[Volume (in 1000 kg)]]&lt;$T$6),"outlier","not outlier")</f>
        <v>outlier</v>
      </c>
      <c r="M641" s="4" t="str">
        <f>IF(OR(Копия_20206[[#This Row],[Number of stores]]&gt;$U$7,Копия_20206[[#This Row],[Number of stores]]&lt;$U$6),"outlier","not outlier")</f>
        <v>not outlier</v>
      </c>
    </row>
    <row r="642" spans="1:13" x14ac:dyDescent="0.25">
      <c r="A642">
        <v>2020</v>
      </c>
      <c r="B642">
        <v>9</v>
      </c>
      <c r="C642" s="1" t="s">
        <v>8</v>
      </c>
      <c r="D642" s="1" t="s">
        <v>16</v>
      </c>
      <c r="E642" s="1" t="s">
        <v>11</v>
      </c>
      <c r="F642" s="5">
        <v>5.6566000000000001</v>
      </c>
      <c r="G642" s="5">
        <v>335.49988100000002</v>
      </c>
      <c r="H642" s="5">
        <v>2.0364</v>
      </c>
      <c r="I642">
        <v>174</v>
      </c>
      <c r="J642" s="4" t="str">
        <f>IF(OR(Копия_20206[[#This Row],[Units (in 1000)]]&gt;$R$7,Копия_20206[[#This Row],[Units (in 1000)]]&lt;$R$6),"outlier","not outlier")</f>
        <v>not outlier</v>
      </c>
      <c r="K642" s="4" t="str">
        <f>IF(OR(Копия_20206[[#This Row],[Value (in 1000 rub)]]&gt;$S$7,Копия_20206[[#This Row],[Value (in 1000 rub)]]&lt;$S$6),"outlier","not outlier")</f>
        <v>not outlier</v>
      </c>
      <c r="L642" s="4" t="str">
        <f>IF(OR(Копия_20206[[#This Row],[Volume (in 1000 kg)]]&gt;$T$7,Копия_20206[[#This Row],[Volume (in 1000 kg)]]&lt;$T$6),"outlier","not outlier")</f>
        <v>not outlier</v>
      </c>
      <c r="M642" s="4" t="str">
        <f>IF(OR(Копия_20206[[#This Row],[Number of stores]]&gt;$U$7,Копия_20206[[#This Row],[Number of stores]]&lt;$U$6),"outlier","not outlier")</f>
        <v>not outlier</v>
      </c>
    </row>
    <row r="643" spans="1:13" x14ac:dyDescent="0.25">
      <c r="A643">
        <v>2020</v>
      </c>
      <c r="B643">
        <v>9</v>
      </c>
      <c r="C643" s="1" t="s">
        <v>25</v>
      </c>
      <c r="D643" s="1" t="s">
        <v>16</v>
      </c>
      <c r="E643" s="1" t="s">
        <v>11</v>
      </c>
      <c r="F643" s="5">
        <v>8.1877999999999993</v>
      </c>
      <c r="G643" s="5">
        <v>600.12229000000002</v>
      </c>
      <c r="H643" s="5">
        <v>2.9476</v>
      </c>
      <c r="I643">
        <v>1787</v>
      </c>
      <c r="J643" s="4" t="str">
        <f>IF(OR(Копия_20206[[#This Row],[Units (in 1000)]]&gt;$R$7,Копия_20206[[#This Row],[Units (in 1000)]]&lt;$R$6),"outlier","not outlier")</f>
        <v>not outlier</v>
      </c>
      <c r="K643" s="4" t="str">
        <f>IF(OR(Копия_20206[[#This Row],[Value (in 1000 rub)]]&gt;$S$7,Копия_20206[[#This Row],[Value (in 1000 rub)]]&lt;$S$6),"outlier","not outlier")</f>
        <v>not outlier</v>
      </c>
      <c r="L643" s="4" t="str">
        <f>IF(OR(Копия_20206[[#This Row],[Volume (in 1000 kg)]]&gt;$T$7,Копия_20206[[#This Row],[Volume (in 1000 kg)]]&lt;$T$6),"outlier","not outlier")</f>
        <v>not outlier</v>
      </c>
      <c r="M643" s="4" t="str">
        <f>IF(OR(Копия_20206[[#This Row],[Number of stores]]&gt;$U$7,Копия_20206[[#This Row],[Number of stores]]&lt;$U$6),"outlier","not outlier")</f>
        <v>not outlier</v>
      </c>
    </row>
    <row r="644" spans="1:13" x14ac:dyDescent="0.25">
      <c r="A644">
        <v>2020</v>
      </c>
      <c r="B644">
        <v>9</v>
      </c>
      <c r="C644" s="1" t="s">
        <v>29</v>
      </c>
      <c r="D644" s="1" t="s">
        <v>16</v>
      </c>
      <c r="E644" s="1" t="s">
        <v>11</v>
      </c>
      <c r="F644" s="5">
        <v>26.433</v>
      </c>
      <c r="G644" s="5">
        <v>1826.3910060000001</v>
      </c>
      <c r="H644" s="5">
        <v>9.5158000000000005</v>
      </c>
      <c r="I644">
        <v>2081</v>
      </c>
      <c r="J644" s="4" t="str">
        <f>IF(OR(Копия_20206[[#This Row],[Units (in 1000)]]&gt;$R$7,Копия_20206[[#This Row],[Units (in 1000)]]&lt;$R$6),"outlier","not outlier")</f>
        <v>outlier</v>
      </c>
      <c r="K644" s="4" t="str">
        <f>IF(OR(Копия_20206[[#This Row],[Value (in 1000 rub)]]&gt;$S$7,Копия_20206[[#This Row],[Value (in 1000 rub)]]&lt;$S$6),"outlier","not outlier")</f>
        <v>not outlier</v>
      </c>
      <c r="L644" s="4" t="str">
        <f>IF(OR(Копия_20206[[#This Row],[Volume (in 1000 kg)]]&gt;$T$7,Копия_20206[[#This Row],[Volume (in 1000 kg)]]&lt;$T$6),"outlier","not outlier")</f>
        <v>outlier</v>
      </c>
      <c r="M644" s="4" t="str">
        <f>IF(OR(Копия_20206[[#This Row],[Number of stores]]&gt;$U$7,Копия_20206[[#This Row],[Number of stores]]&lt;$U$6),"outlier","not outlier")</f>
        <v>not outlier</v>
      </c>
    </row>
    <row r="645" spans="1:13" x14ac:dyDescent="0.25">
      <c r="A645">
        <v>2020</v>
      </c>
      <c r="B645">
        <v>10</v>
      </c>
      <c r="C645" s="1" t="s">
        <v>8</v>
      </c>
      <c r="D645" s="1" t="s">
        <v>16</v>
      </c>
      <c r="E645" s="1" t="s">
        <v>11</v>
      </c>
      <c r="F645" s="5">
        <v>9.4437999999999995</v>
      </c>
      <c r="G645" s="5">
        <v>458.54192799999998</v>
      </c>
      <c r="H645" s="5">
        <v>3.3997000000000002</v>
      </c>
      <c r="I645">
        <v>171</v>
      </c>
      <c r="J645" s="4" t="str">
        <f>IF(OR(Копия_20206[[#This Row],[Units (in 1000)]]&gt;$R$7,Копия_20206[[#This Row],[Units (in 1000)]]&lt;$R$6),"outlier","not outlier")</f>
        <v>not outlier</v>
      </c>
      <c r="K645" s="4" t="str">
        <f>IF(OR(Копия_20206[[#This Row],[Value (in 1000 rub)]]&gt;$S$7,Копия_20206[[#This Row],[Value (in 1000 rub)]]&lt;$S$6),"outlier","not outlier")</f>
        <v>not outlier</v>
      </c>
      <c r="L645" s="4" t="str">
        <f>IF(OR(Копия_20206[[#This Row],[Volume (in 1000 kg)]]&gt;$T$7,Копия_20206[[#This Row],[Volume (in 1000 kg)]]&lt;$T$6),"outlier","not outlier")</f>
        <v>not outlier</v>
      </c>
      <c r="M645" s="4" t="str">
        <f>IF(OR(Копия_20206[[#This Row],[Number of stores]]&gt;$U$7,Копия_20206[[#This Row],[Number of stores]]&lt;$U$6),"outlier","not outlier")</f>
        <v>not outlier</v>
      </c>
    </row>
    <row r="646" spans="1:13" x14ac:dyDescent="0.25">
      <c r="A646">
        <v>2020</v>
      </c>
      <c r="B646">
        <v>10</v>
      </c>
      <c r="C646" s="1" t="s">
        <v>25</v>
      </c>
      <c r="D646" s="1" t="s">
        <v>16</v>
      </c>
      <c r="E646" s="1" t="s">
        <v>11</v>
      </c>
      <c r="F646" s="5">
        <v>18.396799999999999</v>
      </c>
      <c r="G646" s="5">
        <v>987.11645699999997</v>
      </c>
      <c r="H646" s="5">
        <v>6.6227999999999998</v>
      </c>
      <c r="I646">
        <v>1872</v>
      </c>
      <c r="J646" s="4" t="str">
        <f>IF(OR(Копия_20206[[#This Row],[Units (in 1000)]]&gt;$R$7,Копия_20206[[#This Row],[Units (in 1000)]]&lt;$R$6),"outlier","not outlier")</f>
        <v>not outlier</v>
      </c>
      <c r="K646" s="4" t="str">
        <f>IF(OR(Копия_20206[[#This Row],[Value (in 1000 rub)]]&gt;$S$7,Копия_20206[[#This Row],[Value (in 1000 rub)]]&lt;$S$6),"outlier","not outlier")</f>
        <v>not outlier</v>
      </c>
      <c r="L646" s="4" t="str">
        <f>IF(OR(Копия_20206[[#This Row],[Volume (in 1000 kg)]]&gt;$T$7,Копия_20206[[#This Row],[Volume (in 1000 kg)]]&lt;$T$6),"outlier","not outlier")</f>
        <v>not outlier</v>
      </c>
      <c r="M646" s="4" t="str">
        <f>IF(OR(Копия_20206[[#This Row],[Number of stores]]&gt;$U$7,Копия_20206[[#This Row],[Number of stores]]&lt;$U$6),"outlier","not outlier")</f>
        <v>not outlier</v>
      </c>
    </row>
    <row r="647" spans="1:13" x14ac:dyDescent="0.25">
      <c r="A647">
        <v>2020</v>
      </c>
      <c r="B647">
        <v>10</v>
      </c>
      <c r="C647" s="1" t="s">
        <v>29</v>
      </c>
      <c r="D647" s="1" t="s">
        <v>16</v>
      </c>
      <c r="E647" s="1" t="s">
        <v>11</v>
      </c>
      <c r="F647" s="5">
        <v>28.3202</v>
      </c>
      <c r="G647" s="5">
        <v>1773.8757390000001</v>
      </c>
      <c r="H647" s="5">
        <v>10.1952</v>
      </c>
      <c r="I647">
        <v>2129</v>
      </c>
      <c r="J647" s="4" t="str">
        <f>IF(OR(Копия_20206[[#This Row],[Units (in 1000)]]&gt;$R$7,Копия_20206[[#This Row],[Units (in 1000)]]&lt;$R$6),"outlier","not outlier")</f>
        <v>outlier</v>
      </c>
      <c r="K647" s="4" t="str">
        <f>IF(OR(Копия_20206[[#This Row],[Value (in 1000 rub)]]&gt;$S$7,Копия_20206[[#This Row],[Value (in 1000 rub)]]&lt;$S$6),"outlier","not outlier")</f>
        <v>not outlier</v>
      </c>
      <c r="L647" s="4" t="str">
        <f>IF(OR(Копия_20206[[#This Row],[Volume (in 1000 kg)]]&gt;$T$7,Копия_20206[[#This Row],[Volume (in 1000 kg)]]&lt;$T$6),"outlier","not outlier")</f>
        <v>outlier</v>
      </c>
      <c r="M647" s="4" t="str">
        <f>IF(OR(Копия_20206[[#This Row],[Number of stores]]&gt;$U$7,Копия_20206[[#This Row],[Number of stores]]&lt;$U$6),"outlier","not outlier")</f>
        <v>not outlier</v>
      </c>
    </row>
    <row r="648" spans="1:13" x14ac:dyDescent="0.25">
      <c r="A648">
        <v>2020</v>
      </c>
      <c r="B648">
        <v>11</v>
      </c>
      <c r="C648" s="1" t="s">
        <v>8</v>
      </c>
      <c r="D648" s="1" t="s">
        <v>16</v>
      </c>
      <c r="E648" s="1" t="s">
        <v>11</v>
      </c>
      <c r="F648" s="5">
        <v>4.9584999999999999</v>
      </c>
      <c r="G648" s="5">
        <v>300.08249499999999</v>
      </c>
      <c r="H648" s="5">
        <v>1.7850999999999999</v>
      </c>
      <c r="I648">
        <v>175</v>
      </c>
      <c r="J648" s="4" t="str">
        <f>IF(OR(Копия_20206[[#This Row],[Units (in 1000)]]&gt;$R$7,Копия_20206[[#This Row],[Units (in 1000)]]&lt;$R$6),"outlier","not outlier")</f>
        <v>not outlier</v>
      </c>
      <c r="K648" s="4" t="str">
        <f>IF(OR(Копия_20206[[#This Row],[Value (in 1000 rub)]]&gt;$S$7,Копия_20206[[#This Row],[Value (in 1000 rub)]]&lt;$S$6),"outlier","not outlier")</f>
        <v>not outlier</v>
      </c>
      <c r="L648" s="4" t="str">
        <f>IF(OR(Копия_20206[[#This Row],[Volume (in 1000 kg)]]&gt;$T$7,Копия_20206[[#This Row],[Volume (in 1000 kg)]]&lt;$T$6),"outlier","not outlier")</f>
        <v>not outlier</v>
      </c>
      <c r="M648" s="4" t="str">
        <f>IF(OR(Копия_20206[[#This Row],[Number of stores]]&gt;$U$7,Копия_20206[[#This Row],[Number of stores]]&lt;$U$6),"outlier","not outlier")</f>
        <v>not outlier</v>
      </c>
    </row>
    <row r="649" spans="1:13" x14ac:dyDescent="0.25">
      <c r="A649">
        <v>2020</v>
      </c>
      <c r="B649">
        <v>11</v>
      </c>
      <c r="C649" s="1" t="s">
        <v>25</v>
      </c>
      <c r="D649" s="1" t="s">
        <v>16</v>
      </c>
      <c r="E649" s="1" t="s">
        <v>11</v>
      </c>
      <c r="F649" s="5">
        <v>8.8801000000000005</v>
      </c>
      <c r="G649" s="5">
        <v>646.05694500000004</v>
      </c>
      <c r="H649" s="5">
        <v>3.1968000000000001</v>
      </c>
      <c r="I649">
        <v>1860</v>
      </c>
      <c r="J649" s="4" t="str">
        <f>IF(OR(Копия_20206[[#This Row],[Units (in 1000)]]&gt;$R$7,Копия_20206[[#This Row],[Units (in 1000)]]&lt;$R$6),"outlier","not outlier")</f>
        <v>not outlier</v>
      </c>
      <c r="K649" s="4" t="str">
        <f>IF(OR(Копия_20206[[#This Row],[Value (in 1000 rub)]]&gt;$S$7,Копия_20206[[#This Row],[Value (in 1000 rub)]]&lt;$S$6),"outlier","not outlier")</f>
        <v>not outlier</v>
      </c>
      <c r="L649" s="4" t="str">
        <f>IF(OR(Копия_20206[[#This Row],[Volume (in 1000 kg)]]&gt;$T$7,Копия_20206[[#This Row],[Volume (in 1000 kg)]]&lt;$T$6),"outlier","not outlier")</f>
        <v>not outlier</v>
      </c>
      <c r="M649" s="4" t="str">
        <f>IF(OR(Копия_20206[[#This Row],[Number of stores]]&gt;$U$7,Копия_20206[[#This Row],[Number of stores]]&lt;$U$6),"outlier","not outlier")</f>
        <v>not outlier</v>
      </c>
    </row>
    <row r="650" spans="1:13" x14ac:dyDescent="0.25">
      <c r="A650">
        <v>2020</v>
      </c>
      <c r="B650">
        <v>11</v>
      </c>
      <c r="C650" s="1" t="s">
        <v>29</v>
      </c>
      <c r="D650" s="1" t="s">
        <v>16</v>
      </c>
      <c r="E650" s="1" t="s">
        <v>11</v>
      </c>
      <c r="F650" s="5">
        <v>18.704899999999999</v>
      </c>
      <c r="G650" s="5">
        <v>1373.5066429999999</v>
      </c>
      <c r="H650" s="5">
        <v>6.7337999999999996</v>
      </c>
      <c r="I650">
        <v>2071</v>
      </c>
      <c r="J650" s="4" t="str">
        <f>IF(OR(Копия_20206[[#This Row],[Units (in 1000)]]&gt;$R$7,Копия_20206[[#This Row],[Units (in 1000)]]&lt;$R$6),"outlier","not outlier")</f>
        <v>not outlier</v>
      </c>
      <c r="K650" s="4" t="str">
        <f>IF(OR(Копия_20206[[#This Row],[Value (in 1000 rub)]]&gt;$S$7,Копия_20206[[#This Row],[Value (in 1000 rub)]]&lt;$S$6),"outlier","not outlier")</f>
        <v>not outlier</v>
      </c>
      <c r="L650" s="4" t="str">
        <f>IF(OR(Копия_20206[[#This Row],[Volume (in 1000 kg)]]&gt;$T$7,Копия_20206[[#This Row],[Volume (in 1000 kg)]]&lt;$T$6),"outlier","not outlier")</f>
        <v>not outlier</v>
      </c>
      <c r="M650" s="4" t="str">
        <f>IF(OR(Копия_20206[[#This Row],[Number of stores]]&gt;$U$7,Копия_20206[[#This Row],[Number of stores]]&lt;$U$6),"outlier","not outlier")</f>
        <v>not outlier</v>
      </c>
    </row>
    <row r="651" spans="1:13" x14ac:dyDescent="0.25">
      <c r="A651">
        <v>2020</v>
      </c>
      <c r="B651">
        <v>12</v>
      </c>
      <c r="C651" s="1" t="s">
        <v>8</v>
      </c>
      <c r="D651" s="1" t="s">
        <v>16</v>
      </c>
      <c r="E651" s="1" t="s">
        <v>11</v>
      </c>
      <c r="F651" s="5">
        <v>4.4035000000000002</v>
      </c>
      <c r="G651" s="5">
        <v>282.29456699999997</v>
      </c>
      <c r="H651" s="5">
        <v>1.5852999999999999</v>
      </c>
      <c r="I651">
        <v>225</v>
      </c>
      <c r="J651" s="4" t="str">
        <f>IF(OR(Копия_20206[[#This Row],[Units (in 1000)]]&gt;$R$7,Копия_20206[[#This Row],[Units (in 1000)]]&lt;$R$6),"outlier","not outlier")</f>
        <v>not outlier</v>
      </c>
      <c r="K651" s="4" t="str">
        <f>IF(OR(Копия_20206[[#This Row],[Value (in 1000 rub)]]&gt;$S$7,Копия_20206[[#This Row],[Value (in 1000 rub)]]&lt;$S$6),"outlier","not outlier")</f>
        <v>not outlier</v>
      </c>
      <c r="L651" s="4" t="str">
        <f>IF(OR(Копия_20206[[#This Row],[Volume (in 1000 kg)]]&gt;$T$7,Копия_20206[[#This Row],[Volume (in 1000 kg)]]&lt;$T$6),"outlier","not outlier")</f>
        <v>not outlier</v>
      </c>
      <c r="M651" s="4" t="str">
        <f>IF(OR(Копия_20206[[#This Row],[Number of stores]]&gt;$U$7,Копия_20206[[#This Row],[Number of stores]]&lt;$U$6),"outlier","not outlier")</f>
        <v>not outlier</v>
      </c>
    </row>
    <row r="652" spans="1:13" x14ac:dyDescent="0.25">
      <c r="A652">
        <v>2020</v>
      </c>
      <c r="B652">
        <v>12</v>
      </c>
      <c r="C652" s="1" t="s">
        <v>25</v>
      </c>
      <c r="D652" s="1" t="s">
        <v>16</v>
      </c>
      <c r="E652" s="1" t="s">
        <v>11</v>
      </c>
      <c r="F652" s="5">
        <v>7.5570000000000004</v>
      </c>
      <c r="G652" s="5">
        <v>574.50500699999998</v>
      </c>
      <c r="H652" s="5">
        <v>2.7206000000000001</v>
      </c>
      <c r="I652">
        <v>1595</v>
      </c>
      <c r="J652" s="4" t="str">
        <f>IF(OR(Копия_20206[[#This Row],[Units (in 1000)]]&gt;$R$7,Копия_20206[[#This Row],[Units (in 1000)]]&lt;$R$6),"outlier","not outlier")</f>
        <v>not outlier</v>
      </c>
      <c r="K652" s="4" t="str">
        <f>IF(OR(Копия_20206[[#This Row],[Value (in 1000 rub)]]&gt;$S$7,Копия_20206[[#This Row],[Value (in 1000 rub)]]&lt;$S$6),"outlier","not outlier")</f>
        <v>not outlier</v>
      </c>
      <c r="L652" s="4" t="str">
        <f>IF(OR(Копия_20206[[#This Row],[Volume (in 1000 kg)]]&gt;$T$7,Копия_20206[[#This Row],[Volume (in 1000 kg)]]&lt;$T$6),"outlier","not outlier")</f>
        <v>not outlier</v>
      </c>
      <c r="M652" s="4" t="str">
        <f>IF(OR(Копия_20206[[#This Row],[Number of stores]]&gt;$U$7,Копия_20206[[#This Row],[Number of stores]]&lt;$U$6),"outlier","not outlier")</f>
        <v>not outlier</v>
      </c>
    </row>
    <row r="653" spans="1:13" x14ac:dyDescent="0.25">
      <c r="A653">
        <v>2020</v>
      </c>
      <c r="B653">
        <v>12</v>
      </c>
      <c r="C653" s="1" t="s">
        <v>29</v>
      </c>
      <c r="D653" s="1" t="s">
        <v>16</v>
      </c>
      <c r="E653" s="1" t="s">
        <v>11</v>
      </c>
      <c r="F653" s="5">
        <v>18.111799999999999</v>
      </c>
      <c r="G653" s="5">
        <v>1362.937588</v>
      </c>
      <c r="H653" s="5">
        <v>6.5202999999999998</v>
      </c>
      <c r="I653">
        <v>2078</v>
      </c>
      <c r="J653" s="4" t="str">
        <f>IF(OR(Копия_20206[[#This Row],[Units (in 1000)]]&gt;$R$7,Копия_20206[[#This Row],[Units (in 1000)]]&lt;$R$6),"outlier","not outlier")</f>
        <v>not outlier</v>
      </c>
      <c r="K653" s="4" t="str">
        <f>IF(OR(Копия_20206[[#This Row],[Value (in 1000 rub)]]&gt;$S$7,Копия_20206[[#This Row],[Value (in 1000 rub)]]&lt;$S$6),"outlier","not outlier")</f>
        <v>not outlier</v>
      </c>
      <c r="L653" s="4" t="str">
        <f>IF(OR(Копия_20206[[#This Row],[Volume (in 1000 kg)]]&gt;$T$7,Копия_20206[[#This Row],[Volume (in 1000 kg)]]&lt;$T$6),"outlier","not outlier")</f>
        <v>not outlier</v>
      </c>
      <c r="M653" s="4" t="str">
        <f>IF(OR(Копия_20206[[#This Row],[Number of stores]]&gt;$U$7,Копия_20206[[#This Row],[Number of stores]]&lt;$U$6),"outlier","not outlier")</f>
        <v>not outlier</v>
      </c>
    </row>
    <row r="654" spans="1:13" x14ac:dyDescent="0.25">
      <c r="A654">
        <v>2021</v>
      </c>
      <c r="B654">
        <v>4</v>
      </c>
      <c r="C654" s="1" t="s">
        <v>29</v>
      </c>
      <c r="D654" s="1" t="s">
        <v>39</v>
      </c>
      <c r="E654" s="1" t="s">
        <v>10</v>
      </c>
      <c r="F654" s="4">
        <v>0.1671</v>
      </c>
      <c r="G654" s="4">
        <v>83.729709999999997</v>
      </c>
      <c r="H654" s="4">
        <v>3.3399999999999999E-2</v>
      </c>
      <c r="I654">
        <v>0</v>
      </c>
      <c r="J654" s="4" t="str">
        <f>IF(OR(Копия_20206[[#This Row],[Units (in 1000)]]&gt;$R$7,Копия_20206[[#This Row],[Units (in 1000)]]&lt;$R$6),"outlier","not outlier")</f>
        <v>not outlier</v>
      </c>
      <c r="K654" s="4" t="str">
        <f>IF(OR(Копия_20206[[#This Row],[Value (in 1000 rub)]]&gt;$S$7,Копия_20206[[#This Row],[Value (in 1000 rub)]]&lt;$S$6),"outlier","not outlier")</f>
        <v>not outlier</v>
      </c>
      <c r="L654" s="4" t="str">
        <f>IF(OR(Копия_20206[[#This Row],[Volume (in 1000 kg)]]&gt;$T$7,Копия_20206[[#This Row],[Volume (in 1000 kg)]]&lt;$T$6),"outlier","not outlier")</f>
        <v>not outlier</v>
      </c>
      <c r="M654" s="4" t="str">
        <f>IF(OR(Копия_20206[[#This Row],[Number of stores]]&gt;$U$7,Копия_20206[[#This Row],[Number of stores]]&lt;$U$6),"outlier","not outlier")</f>
        <v>not outlier</v>
      </c>
    </row>
    <row r="655" spans="1:13" x14ac:dyDescent="0.25">
      <c r="A655">
        <v>2021</v>
      </c>
      <c r="B655">
        <v>4</v>
      </c>
      <c r="C655" s="1" t="s">
        <v>29</v>
      </c>
      <c r="D655" s="1" t="s">
        <v>39</v>
      </c>
      <c r="E655" s="1" t="s">
        <v>11</v>
      </c>
      <c r="F655" s="4">
        <v>0.24410000000000001</v>
      </c>
      <c r="G655" s="4">
        <v>124.68517799999999</v>
      </c>
      <c r="H655" s="4">
        <v>8.5500000000000007E-2</v>
      </c>
      <c r="I655">
        <v>0</v>
      </c>
      <c r="J655" s="4" t="str">
        <f>IF(OR(Копия_20206[[#This Row],[Units (in 1000)]]&gt;$R$7,Копия_20206[[#This Row],[Units (in 1000)]]&lt;$R$6),"outlier","not outlier")</f>
        <v>not outlier</v>
      </c>
      <c r="K655" s="4" t="str">
        <f>IF(OR(Копия_20206[[#This Row],[Value (in 1000 rub)]]&gt;$S$7,Копия_20206[[#This Row],[Value (in 1000 rub)]]&lt;$S$6),"outlier","not outlier")</f>
        <v>not outlier</v>
      </c>
      <c r="L655" s="4" t="str">
        <f>IF(OR(Копия_20206[[#This Row],[Volume (in 1000 kg)]]&gt;$T$7,Копия_20206[[#This Row],[Volume (in 1000 kg)]]&lt;$T$6),"outlier","not outlier")</f>
        <v>not outlier</v>
      </c>
      <c r="M655" s="4" t="str">
        <f>IF(OR(Копия_20206[[#This Row],[Number of stores]]&gt;$U$7,Копия_20206[[#This Row],[Number of stores]]&lt;$U$6),"outlier","not outlier")</f>
        <v>not outlier</v>
      </c>
    </row>
    <row r="656" spans="1:13" x14ac:dyDescent="0.25">
      <c r="A656">
        <v>2021</v>
      </c>
      <c r="B656">
        <v>11</v>
      </c>
      <c r="C656" s="1" t="s">
        <v>29</v>
      </c>
      <c r="D656" s="1" t="s">
        <v>39</v>
      </c>
      <c r="E656" s="1" t="s">
        <v>10</v>
      </c>
      <c r="F656" s="4">
        <v>0.2777</v>
      </c>
      <c r="G656" s="4">
        <v>139.08552900000001</v>
      </c>
      <c r="H656" s="4">
        <v>5.5599999999999997E-2</v>
      </c>
      <c r="I656">
        <v>0</v>
      </c>
      <c r="J656" s="4" t="str">
        <f>IF(OR(Копия_20206[[#This Row],[Units (in 1000)]]&gt;$R$7,Копия_20206[[#This Row],[Units (in 1000)]]&lt;$R$6),"outlier","not outlier")</f>
        <v>not outlier</v>
      </c>
      <c r="K656" s="4" t="str">
        <f>IF(OR(Копия_20206[[#This Row],[Value (in 1000 rub)]]&gt;$S$7,Копия_20206[[#This Row],[Value (in 1000 rub)]]&lt;$S$6),"outlier","not outlier")</f>
        <v>not outlier</v>
      </c>
      <c r="L656" s="4" t="str">
        <f>IF(OR(Копия_20206[[#This Row],[Volume (in 1000 kg)]]&gt;$T$7,Копия_20206[[#This Row],[Volume (in 1000 kg)]]&lt;$T$6),"outlier","not outlier")</f>
        <v>not outlier</v>
      </c>
      <c r="M656" s="4" t="str">
        <f>IF(OR(Копия_20206[[#This Row],[Number of stores]]&gt;$U$7,Копия_20206[[#This Row],[Number of stores]]&lt;$U$6),"outlier","not outlier")</f>
        <v>not outlier</v>
      </c>
    </row>
    <row r="657" spans="1:13" x14ac:dyDescent="0.25">
      <c r="A657">
        <v>2021</v>
      </c>
      <c r="B657">
        <v>11</v>
      </c>
      <c r="C657" s="1" t="s">
        <v>29</v>
      </c>
      <c r="D657" s="1" t="s">
        <v>39</v>
      </c>
      <c r="E657" s="1" t="s">
        <v>11</v>
      </c>
      <c r="F657" s="4">
        <v>0.25569999999999998</v>
      </c>
      <c r="G657" s="4">
        <v>129.39920799999999</v>
      </c>
      <c r="H657" s="4">
        <v>8.9399999999999993E-2</v>
      </c>
      <c r="I657">
        <v>0</v>
      </c>
      <c r="J657" s="4" t="str">
        <f>IF(OR(Копия_20206[[#This Row],[Units (in 1000)]]&gt;$R$7,Копия_20206[[#This Row],[Units (in 1000)]]&lt;$R$6),"outlier","not outlier")</f>
        <v>not outlier</v>
      </c>
      <c r="K657" s="4" t="str">
        <f>IF(OR(Копия_20206[[#This Row],[Value (in 1000 rub)]]&gt;$S$7,Копия_20206[[#This Row],[Value (in 1000 rub)]]&lt;$S$6),"outlier","not outlier")</f>
        <v>not outlier</v>
      </c>
      <c r="L657" s="4" t="str">
        <f>IF(OR(Копия_20206[[#This Row],[Volume (in 1000 kg)]]&gt;$T$7,Копия_20206[[#This Row],[Volume (in 1000 kg)]]&lt;$T$6),"outlier","not outlier")</f>
        <v>not outlier</v>
      </c>
      <c r="M657" s="4" t="str">
        <f>IF(OR(Копия_20206[[#This Row],[Number of stores]]&gt;$U$7,Копия_20206[[#This Row],[Number of stores]]&lt;$U$6),"outlier","not outlier")</f>
        <v>not outlier</v>
      </c>
    </row>
    <row r="658" spans="1:13" x14ac:dyDescent="0.25">
      <c r="A658">
        <v>2021</v>
      </c>
      <c r="B658">
        <v>1</v>
      </c>
      <c r="C658" s="1" t="s">
        <v>8</v>
      </c>
      <c r="D658" s="1" t="s">
        <v>15</v>
      </c>
      <c r="E658" s="1" t="s">
        <v>10</v>
      </c>
      <c r="F658" s="4">
        <v>3.3614999999999999</v>
      </c>
      <c r="G658" s="4">
        <v>224.65112199999999</v>
      </c>
      <c r="H658" s="4">
        <v>0.77310000000000001</v>
      </c>
      <c r="I658">
        <v>366</v>
      </c>
      <c r="J658" s="4" t="str">
        <f>IF(OR(Копия_20206[[#This Row],[Units (in 1000)]]&gt;$R$7,Копия_20206[[#This Row],[Units (in 1000)]]&lt;$R$6),"outlier","not outlier")</f>
        <v>not outlier</v>
      </c>
      <c r="K658" s="4" t="str">
        <f>IF(OR(Копия_20206[[#This Row],[Value (in 1000 rub)]]&gt;$S$7,Копия_20206[[#This Row],[Value (in 1000 rub)]]&lt;$S$6),"outlier","not outlier")</f>
        <v>not outlier</v>
      </c>
      <c r="L658" s="4" t="str">
        <f>IF(OR(Копия_20206[[#This Row],[Volume (in 1000 kg)]]&gt;$T$7,Копия_20206[[#This Row],[Volume (in 1000 kg)]]&lt;$T$6),"outlier","not outlier")</f>
        <v>not outlier</v>
      </c>
      <c r="M658" s="4" t="str">
        <f>IF(OR(Копия_20206[[#This Row],[Number of stores]]&gt;$U$7,Копия_20206[[#This Row],[Number of stores]]&lt;$U$6),"outlier","not outlier")</f>
        <v>not outlier</v>
      </c>
    </row>
    <row r="659" spans="1:13" x14ac:dyDescent="0.25">
      <c r="A659">
        <v>2021</v>
      </c>
      <c r="B659">
        <v>1</v>
      </c>
      <c r="C659" s="1" t="s">
        <v>8</v>
      </c>
      <c r="D659" s="1" t="s">
        <v>15</v>
      </c>
      <c r="E659" s="1" t="s">
        <v>12</v>
      </c>
      <c r="F659" s="4">
        <v>1.4148000000000001</v>
      </c>
      <c r="G659" s="4">
        <v>172.73904099999999</v>
      </c>
      <c r="H659" s="4">
        <v>0.63670000000000004</v>
      </c>
      <c r="I659">
        <v>281</v>
      </c>
      <c r="J659" s="4" t="str">
        <f>IF(OR(Копия_20206[[#This Row],[Units (in 1000)]]&gt;$R$7,Копия_20206[[#This Row],[Units (in 1000)]]&lt;$R$6),"outlier","not outlier")</f>
        <v>not outlier</v>
      </c>
      <c r="K659" s="4" t="str">
        <f>IF(OR(Копия_20206[[#This Row],[Value (in 1000 rub)]]&gt;$S$7,Копия_20206[[#This Row],[Value (in 1000 rub)]]&lt;$S$6),"outlier","not outlier")</f>
        <v>not outlier</v>
      </c>
      <c r="L659" s="4" t="str">
        <f>IF(OR(Копия_20206[[#This Row],[Volume (in 1000 kg)]]&gt;$T$7,Копия_20206[[#This Row],[Volume (in 1000 kg)]]&lt;$T$6),"outlier","not outlier")</f>
        <v>not outlier</v>
      </c>
      <c r="M659" s="4" t="str">
        <f>IF(OR(Копия_20206[[#This Row],[Number of stores]]&gt;$U$7,Копия_20206[[#This Row],[Number of stores]]&lt;$U$6),"outlier","not outlier")</f>
        <v>not outlier</v>
      </c>
    </row>
    <row r="660" spans="1:13" x14ac:dyDescent="0.25">
      <c r="A660">
        <v>2021</v>
      </c>
      <c r="B660">
        <v>1</v>
      </c>
      <c r="C660" s="1" t="s">
        <v>25</v>
      </c>
      <c r="D660" s="1" t="s">
        <v>15</v>
      </c>
      <c r="E660" s="1" t="s">
        <v>10</v>
      </c>
      <c r="F660" s="4">
        <v>3.3679999999999999</v>
      </c>
      <c r="G660" s="4">
        <v>248.80781500000001</v>
      </c>
      <c r="H660" s="4">
        <v>0.77470000000000006</v>
      </c>
      <c r="I660">
        <v>1602</v>
      </c>
      <c r="J660" s="4" t="str">
        <f>IF(OR(Копия_20206[[#This Row],[Units (in 1000)]]&gt;$R$7,Копия_20206[[#This Row],[Units (in 1000)]]&lt;$R$6),"outlier","not outlier")</f>
        <v>not outlier</v>
      </c>
      <c r="K660" s="4" t="str">
        <f>IF(OR(Копия_20206[[#This Row],[Value (in 1000 rub)]]&gt;$S$7,Копия_20206[[#This Row],[Value (in 1000 rub)]]&lt;$S$6),"outlier","not outlier")</f>
        <v>not outlier</v>
      </c>
      <c r="L660" s="4" t="str">
        <f>IF(OR(Копия_20206[[#This Row],[Volume (in 1000 kg)]]&gt;$T$7,Копия_20206[[#This Row],[Volume (in 1000 kg)]]&lt;$T$6),"outlier","not outlier")</f>
        <v>not outlier</v>
      </c>
      <c r="M660" s="4" t="str">
        <f>IF(OR(Копия_20206[[#This Row],[Number of stores]]&gt;$U$7,Копия_20206[[#This Row],[Number of stores]]&lt;$U$6),"outlier","not outlier")</f>
        <v>not outlier</v>
      </c>
    </row>
    <row r="661" spans="1:13" x14ac:dyDescent="0.25">
      <c r="A661">
        <v>2021</v>
      </c>
      <c r="B661">
        <v>1</v>
      </c>
      <c r="C661" s="1" t="s">
        <v>25</v>
      </c>
      <c r="D661" s="1" t="s">
        <v>15</v>
      </c>
      <c r="E661" s="1" t="s">
        <v>12</v>
      </c>
      <c r="F661" s="4">
        <v>0.64419999999999999</v>
      </c>
      <c r="G661" s="4">
        <v>121.949721</v>
      </c>
      <c r="H661" s="4">
        <v>0.28989999999999999</v>
      </c>
      <c r="I661">
        <v>498</v>
      </c>
      <c r="J661" s="4" t="str">
        <f>IF(OR(Копия_20206[[#This Row],[Units (in 1000)]]&gt;$R$7,Копия_20206[[#This Row],[Units (in 1000)]]&lt;$R$6),"outlier","not outlier")</f>
        <v>not outlier</v>
      </c>
      <c r="K661" s="4" t="str">
        <f>IF(OR(Копия_20206[[#This Row],[Value (in 1000 rub)]]&gt;$S$7,Копия_20206[[#This Row],[Value (in 1000 rub)]]&lt;$S$6),"outlier","not outlier")</f>
        <v>not outlier</v>
      </c>
      <c r="L661" s="4" t="str">
        <f>IF(OR(Копия_20206[[#This Row],[Volume (in 1000 kg)]]&gt;$T$7,Копия_20206[[#This Row],[Volume (in 1000 kg)]]&lt;$T$6),"outlier","not outlier")</f>
        <v>not outlier</v>
      </c>
      <c r="M661" s="4" t="str">
        <f>IF(OR(Копия_20206[[#This Row],[Number of stores]]&gt;$U$7,Копия_20206[[#This Row],[Number of stores]]&lt;$U$6),"outlier","not outlier")</f>
        <v>not outlier</v>
      </c>
    </row>
    <row r="662" spans="1:13" x14ac:dyDescent="0.25">
      <c r="A662">
        <v>2021</v>
      </c>
      <c r="B662">
        <v>1</v>
      </c>
      <c r="C662" s="1" t="s">
        <v>29</v>
      </c>
      <c r="D662" s="1" t="s">
        <v>15</v>
      </c>
      <c r="E662" s="1" t="s">
        <v>10</v>
      </c>
      <c r="F662" s="4">
        <v>2.7810999999999999</v>
      </c>
      <c r="G662" s="4">
        <v>190.90902500000001</v>
      </c>
      <c r="H662" s="4">
        <v>0.63970000000000005</v>
      </c>
      <c r="I662">
        <v>842</v>
      </c>
      <c r="J662" s="4" t="str">
        <f>IF(OR(Копия_20206[[#This Row],[Units (in 1000)]]&gt;$R$7,Копия_20206[[#This Row],[Units (in 1000)]]&lt;$R$6),"outlier","not outlier")</f>
        <v>not outlier</v>
      </c>
      <c r="K662" s="4" t="str">
        <f>IF(OR(Копия_20206[[#This Row],[Value (in 1000 rub)]]&gt;$S$7,Копия_20206[[#This Row],[Value (in 1000 rub)]]&lt;$S$6),"outlier","not outlier")</f>
        <v>not outlier</v>
      </c>
      <c r="L662" s="4" t="str">
        <f>IF(OR(Копия_20206[[#This Row],[Volume (in 1000 kg)]]&gt;$T$7,Копия_20206[[#This Row],[Volume (in 1000 kg)]]&lt;$T$6),"outlier","not outlier")</f>
        <v>not outlier</v>
      </c>
      <c r="M662" s="4" t="str">
        <f>IF(OR(Копия_20206[[#This Row],[Number of stores]]&gt;$U$7,Копия_20206[[#This Row],[Number of stores]]&lt;$U$6),"outlier","not outlier")</f>
        <v>not outlier</v>
      </c>
    </row>
    <row r="663" spans="1:13" x14ac:dyDescent="0.25">
      <c r="A663">
        <v>2021</v>
      </c>
      <c r="B663">
        <v>1</v>
      </c>
      <c r="C663" s="1" t="s">
        <v>29</v>
      </c>
      <c r="D663" s="1" t="s">
        <v>15</v>
      </c>
      <c r="E663" s="1" t="s">
        <v>12</v>
      </c>
      <c r="F663" s="4">
        <v>5.3559000000000001</v>
      </c>
      <c r="G663" s="4">
        <v>807.00975100000005</v>
      </c>
      <c r="H663" s="4">
        <v>2.4102000000000001</v>
      </c>
      <c r="I663">
        <v>1879</v>
      </c>
      <c r="J663" s="4" t="str">
        <f>IF(OR(Копия_20206[[#This Row],[Units (in 1000)]]&gt;$R$7,Копия_20206[[#This Row],[Units (in 1000)]]&lt;$R$6),"outlier","not outlier")</f>
        <v>not outlier</v>
      </c>
      <c r="K663" s="4" t="str">
        <f>IF(OR(Копия_20206[[#This Row],[Value (in 1000 rub)]]&gt;$S$7,Копия_20206[[#This Row],[Value (in 1000 rub)]]&lt;$S$6),"outlier","not outlier")</f>
        <v>not outlier</v>
      </c>
      <c r="L663" s="4" t="str">
        <f>IF(OR(Копия_20206[[#This Row],[Volume (in 1000 kg)]]&gt;$T$7,Копия_20206[[#This Row],[Volume (in 1000 kg)]]&lt;$T$6),"outlier","not outlier")</f>
        <v>not outlier</v>
      </c>
      <c r="M663" s="4" t="str">
        <f>IF(OR(Копия_20206[[#This Row],[Number of stores]]&gt;$U$7,Копия_20206[[#This Row],[Number of stores]]&lt;$U$6),"outlier","not outlier")</f>
        <v>not outlier</v>
      </c>
    </row>
    <row r="664" spans="1:13" x14ac:dyDescent="0.25">
      <c r="A664">
        <v>2021</v>
      </c>
      <c r="B664">
        <v>2</v>
      </c>
      <c r="C664" s="1" t="s">
        <v>8</v>
      </c>
      <c r="D664" s="1" t="s">
        <v>15</v>
      </c>
      <c r="E664" s="1" t="s">
        <v>10</v>
      </c>
      <c r="F664" s="4">
        <v>2.4279000000000002</v>
      </c>
      <c r="G664" s="4">
        <v>182.747544</v>
      </c>
      <c r="H664" s="4">
        <v>0.55840000000000001</v>
      </c>
      <c r="I664">
        <v>343</v>
      </c>
      <c r="J664" s="4" t="str">
        <f>IF(OR(Копия_20206[[#This Row],[Units (in 1000)]]&gt;$R$7,Копия_20206[[#This Row],[Units (in 1000)]]&lt;$R$6),"outlier","not outlier")</f>
        <v>not outlier</v>
      </c>
      <c r="K664" s="4" t="str">
        <f>IF(OR(Копия_20206[[#This Row],[Value (in 1000 rub)]]&gt;$S$7,Копия_20206[[#This Row],[Value (in 1000 rub)]]&lt;$S$6),"outlier","not outlier")</f>
        <v>not outlier</v>
      </c>
      <c r="L664" s="4" t="str">
        <f>IF(OR(Копия_20206[[#This Row],[Volume (in 1000 kg)]]&gt;$T$7,Копия_20206[[#This Row],[Volume (in 1000 kg)]]&lt;$T$6),"outlier","not outlier")</f>
        <v>not outlier</v>
      </c>
      <c r="M664" s="4" t="str">
        <f>IF(OR(Копия_20206[[#This Row],[Number of stores]]&gt;$U$7,Копия_20206[[#This Row],[Number of stores]]&lt;$U$6),"outlier","not outlier")</f>
        <v>not outlier</v>
      </c>
    </row>
    <row r="665" spans="1:13" x14ac:dyDescent="0.25">
      <c r="A665">
        <v>2021</v>
      </c>
      <c r="B665">
        <v>2</v>
      </c>
      <c r="C665" s="1" t="s">
        <v>8</v>
      </c>
      <c r="D665" s="1" t="s">
        <v>15</v>
      </c>
      <c r="E665" s="1" t="s">
        <v>12</v>
      </c>
      <c r="F665" s="4">
        <v>0.70809999999999995</v>
      </c>
      <c r="G665" s="4">
        <v>89.899091999999996</v>
      </c>
      <c r="H665" s="4">
        <v>0.31859999999999999</v>
      </c>
      <c r="I665">
        <v>208</v>
      </c>
      <c r="J665" s="4" t="str">
        <f>IF(OR(Копия_20206[[#This Row],[Units (in 1000)]]&gt;$R$7,Копия_20206[[#This Row],[Units (in 1000)]]&lt;$R$6),"outlier","not outlier")</f>
        <v>not outlier</v>
      </c>
      <c r="K665" s="4" t="str">
        <f>IF(OR(Копия_20206[[#This Row],[Value (in 1000 rub)]]&gt;$S$7,Копия_20206[[#This Row],[Value (in 1000 rub)]]&lt;$S$6),"outlier","not outlier")</f>
        <v>not outlier</v>
      </c>
      <c r="L665" s="4" t="str">
        <f>IF(OR(Копия_20206[[#This Row],[Volume (in 1000 kg)]]&gt;$T$7,Копия_20206[[#This Row],[Volume (in 1000 kg)]]&lt;$T$6),"outlier","not outlier")</f>
        <v>not outlier</v>
      </c>
      <c r="M665" s="4" t="str">
        <f>IF(OR(Копия_20206[[#This Row],[Number of stores]]&gt;$U$7,Копия_20206[[#This Row],[Number of stores]]&lt;$U$6),"outlier","not outlier")</f>
        <v>not outlier</v>
      </c>
    </row>
    <row r="666" spans="1:13" x14ac:dyDescent="0.25">
      <c r="A666">
        <v>2021</v>
      </c>
      <c r="B666">
        <v>2</v>
      </c>
      <c r="C666" s="1" t="s">
        <v>25</v>
      </c>
      <c r="D666" s="1" t="s">
        <v>15</v>
      </c>
      <c r="E666" s="1" t="s">
        <v>10</v>
      </c>
      <c r="F666" s="4">
        <v>4.0811000000000002</v>
      </c>
      <c r="G666" s="4">
        <v>299.708529</v>
      </c>
      <c r="H666" s="4">
        <v>0.93869999999999998</v>
      </c>
      <c r="I666">
        <v>1955</v>
      </c>
      <c r="J666" s="4" t="str">
        <f>IF(OR(Копия_20206[[#This Row],[Units (in 1000)]]&gt;$R$7,Копия_20206[[#This Row],[Units (in 1000)]]&lt;$R$6),"outlier","not outlier")</f>
        <v>not outlier</v>
      </c>
      <c r="K666" s="4" t="str">
        <f>IF(OR(Копия_20206[[#This Row],[Value (in 1000 rub)]]&gt;$S$7,Копия_20206[[#This Row],[Value (in 1000 rub)]]&lt;$S$6),"outlier","not outlier")</f>
        <v>not outlier</v>
      </c>
      <c r="L666" s="4" t="str">
        <f>IF(OR(Копия_20206[[#This Row],[Volume (in 1000 kg)]]&gt;$T$7,Копия_20206[[#This Row],[Volume (in 1000 kg)]]&lt;$T$6),"outlier","not outlier")</f>
        <v>not outlier</v>
      </c>
      <c r="M666" s="4" t="str">
        <f>IF(OR(Копия_20206[[#This Row],[Number of stores]]&gt;$U$7,Копия_20206[[#This Row],[Number of stores]]&lt;$U$6),"outlier","not outlier")</f>
        <v>not outlier</v>
      </c>
    </row>
    <row r="667" spans="1:13" x14ac:dyDescent="0.25">
      <c r="A667">
        <v>2021</v>
      </c>
      <c r="B667">
        <v>2</v>
      </c>
      <c r="C667" s="1" t="s">
        <v>25</v>
      </c>
      <c r="D667" s="1" t="s">
        <v>15</v>
      </c>
      <c r="E667" s="1" t="s">
        <v>12</v>
      </c>
      <c r="F667" s="4">
        <v>0.5181</v>
      </c>
      <c r="G667" s="4">
        <v>82.924092000000002</v>
      </c>
      <c r="H667" s="4">
        <v>0.2331</v>
      </c>
      <c r="I667">
        <v>507</v>
      </c>
      <c r="J667" s="4" t="str">
        <f>IF(OR(Копия_20206[[#This Row],[Units (in 1000)]]&gt;$R$7,Копия_20206[[#This Row],[Units (in 1000)]]&lt;$R$6),"outlier","not outlier")</f>
        <v>not outlier</v>
      </c>
      <c r="K667" s="4" t="str">
        <f>IF(OR(Копия_20206[[#This Row],[Value (in 1000 rub)]]&gt;$S$7,Копия_20206[[#This Row],[Value (in 1000 rub)]]&lt;$S$6),"outlier","not outlier")</f>
        <v>not outlier</v>
      </c>
      <c r="L667" s="4" t="str">
        <f>IF(OR(Копия_20206[[#This Row],[Volume (in 1000 kg)]]&gt;$T$7,Копия_20206[[#This Row],[Volume (in 1000 kg)]]&lt;$T$6),"outlier","not outlier")</f>
        <v>not outlier</v>
      </c>
      <c r="M667" s="4" t="str">
        <f>IF(OR(Копия_20206[[#This Row],[Number of stores]]&gt;$U$7,Копия_20206[[#This Row],[Number of stores]]&lt;$U$6),"outlier","not outlier")</f>
        <v>not outlier</v>
      </c>
    </row>
    <row r="668" spans="1:13" x14ac:dyDescent="0.25">
      <c r="A668">
        <v>2021</v>
      </c>
      <c r="B668">
        <v>2</v>
      </c>
      <c r="C668" s="1" t="s">
        <v>29</v>
      </c>
      <c r="D668" s="1" t="s">
        <v>15</v>
      </c>
      <c r="E668" s="1" t="s">
        <v>10</v>
      </c>
      <c r="F668" s="4">
        <v>2.9780000000000002</v>
      </c>
      <c r="G668" s="4">
        <v>170.088854</v>
      </c>
      <c r="H668" s="4">
        <v>0.68489999999999995</v>
      </c>
      <c r="I668">
        <v>800</v>
      </c>
      <c r="J668" s="4" t="str">
        <f>IF(OR(Копия_20206[[#This Row],[Units (in 1000)]]&gt;$R$7,Копия_20206[[#This Row],[Units (in 1000)]]&lt;$R$6),"outlier","not outlier")</f>
        <v>not outlier</v>
      </c>
      <c r="K668" s="4" t="str">
        <f>IF(OR(Копия_20206[[#This Row],[Value (in 1000 rub)]]&gt;$S$7,Копия_20206[[#This Row],[Value (in 1000 rub)]]&lt;$S$6),"outlier","not outlier")</f>
        <v>not outlier</v>
      </c>
      <c r="L668" s="4" t="str">
        <f>IF(OR(Копия_20206[[#This Row],[Volume (in 1000 kg)]]&gt;$T$7,Копия_20206[[#This Row],[Volume (in 1000 kg)]]&lt;$T$6),"outlier","not outlier")</f>
        <v>not outlier</v>
      </c>
      <c r="M668" s="4" t="str">
        <f>IF(OR(Копия_20206[[#This Row],[Number of stores]]&gt;$U$7,Копия_20206[[#This Row],[Number of stores]]&lt;$U$6),"outlier","not outlier")</f>
        <v>not outlier</v>
      </c>
    </row>
    <row r="669" spans="1:13" x14ac:dyDescent="0.25">
      <c r="A669">
        <v>2021</v>
      </c>
      <c r="B669">
        <v>2</v>
      </c>
      <c r="C669" s="1" t="s">
        <v>29</v>
      </c>
      <c r="D669" s="1" t="s">
        <v>15</v>
      </c>
      <c r="E669" s="1" t="s">
        <v>12</v>
      </c>
      <c r="F669" s="4">
        <v>3.2412000000000001</v>
      </c>
      <c r="G669" s="4">
        <v>503.77652399999999</v>
      </c>
      <c r="H669" s="4">
        <v>1.4584999999999999</v>
      </c>
      <c r="I669">
        <v>2043</v>
      </c>
      <c r="J669" s="4" t="str">
        <f>IF(OR(Копия_20206[[#This Row],[Units (in 1000)]]&gt;$R$7,Копия_20206[[#This Row],[Units (in 1000)]]&lt;$R$6),"outlier","not outlier")</f>
        <v>not outlier</v>
      </c>
      <c r="K669" s="4" t="str">
        <f>IF(OR(Копия_20206[[#This Row],[Value (in 1000 rub)]]&gt;$S$7,Копия_20206[[#This Row],[Value (in 1000 rub)]]&lt;$S$6),"outlier","not outlier")</f>
        <v>not outlier</v>
      </c>
      <c r="L669" s="4" t="str">
        <f>IF(OR(Копия_20206[[#This Row],[Volume (in 1000 kg)]]&gt;$T$7,Копия_20206[[#This Row],[Volume (in 1000 kg)]]&lt;$T$6),"outlier","not outlier")</f>
        <v>not outlier</v>
      </c>
      <c r="M669" s="4" t="str">
        <f>IF(OR(Копия_20206[[#This Row],[Number of stores]]&gt;$U$7,Копия_20206[[#This Row],[Number of stores]]&lt;$U$6),"outlier","not outlier")</f>
        <v>not outlier</v>
      </c>
    </row>
    <row r="670" spans="1:13" x14ac:dyDescent="0.25">
      <c r="A670">
        <v>2021</v>
      </c>
      <c r="B670">
        <v>3</v>
      </c>
      <c r="C670" s="1" t="s">
        <v>8</v>
      </c>
      <c r="D670" s="1" t="s">
        <v>15</v>
      </c>
      <c r="E670" s="1" t="s">
        <v>10</v>
      </c>
      <c r="F670" s="4">
        <v>2.5792999999999999</v>
      </c>
      <c r="G670" s="4">
        <v>194.22379799999999</v>
      </c>
      <c r="H670" s="4">
        <v>0.59319999999999995</v>
      </c>
      <c r="I670">
        <v>310</v>
      </c>
      <c r="J670" s="4" t="str">
        <f>IF(OR(Копия_20206[[#This Row],[Units (in 1000)]]&gt;$R$7,Копия_20206[[#This Row],[Units (in 1000)]]&lt;$R$6),"outlier","not outlier")</f>
        <v>not outlier</v>
      </c>
      <c r="K670" s="4" t="str">
        <f>IF(OR(Копия_20206[[#This Row],[Value (in 1000 rub)]]&gt;$S$7,Копия_20206[[#This Row],[Value (in 1000 rub)]]&lt;$S$6),"outlier","not outlier")</f>
        <v>not outlier</v>
      </c>
      <c r="L670" s="4" t="str">
        <f>IF(OR(Копия_20206[[#This Row],[Volume (in 1000 kg)]]&gt;$T$7,Копия_20206[[#This Row],[Volume (in 1000 kg)]]&lt;$T$6),"outlier","not outlier")</f>
        <v>not outlier</v>
      </c>
      <c r="M670" s="4" t="str">
        <f>IF(OR(Копия_20206[[#This Row],[Number of stores]]&gt;$U$7,Копия_20206[[#This Row],[Number of stores]]&lt;$U$6),"outlier","not outlier")</f>
        <v>not outlier</v>
      </c>
    </row>
    <row r="671" spans="1:13" x14ac:dyDescent="0.25">
      <c r="A671">
        <v>2021</v>
      </c>
      <c r="B671">
        <v>3</v>
      </c>
      <c r="C671" s="1" t="s">
        <v>8</v>
      </c>
      <c r="D671" s="1" t="s">
        <v>15</v>
      </c>
      <c r="E671" s="1" t="s">
        <v>12</v>
      </c>
      <c r="F671" s="4">
        <v>0.41339999999999999</v>
      </c>
      <c r="G671" s="4">
        <v>59.907001000000001</v>
      </c>
      <c r="H671" s="4">
        <v>0.186</v>
      </c>
      <c r="I671">
        <v>148</v>
      </c>
      <c r="J671" s="4" t="str">
        <f>IF(OR(Копия_20206[[#This Row],[Units (in 1000)]]&gt;$R$7,Копия_20206[[#This Row],[Units (in 1000)]]&lt;$R$6),"outlier","not outlier")</f>
        <v>not outlier</v>
      </c>
      <c r="K671" s="4" t="str">
        <f>IF(OR(Копия_20206[[#This Row],[Value (in 1000 rub)]]&gt;$S$7,Копия_20206[[#This Row],[Value (in 1000 rub)]]&lt;$S$6),"outlier","not outlier")</f>
        <v>not outlier</v>
      </c>
      <c r="L671" s="4" t="str">
        <f>IF(OR(Копия_20206[[#This Row],[Volume (in 1000 kg)]]&gt;$T$7,Копия_20206[[#This Row],[Volume (in 1000 kg)]]&lt;$T$6),"outlier","not outlier")</f>
        <v>not outlier</v>
      </c>
      <c r="M671" s="4" t="str">
        <f>IF(OR(Копия_20206[[#This Row],[Number of stores]]&gt;$U$7,Копия_20206[[#This Row],[Number of stores]]&lt;$U$6),"outlier","not outlier")</f>
        <v>not outlier</v>
      </c>
    </row>
    <row r="672" spans="1:13" x14ac:dyDescent="0.25">
      <c r="A672">
        <v>2021</v>
      </c>
      <c r="B672">
        <v>3</v>
      </c>
      <c r="C672" s="1" t="s">
        <v>25</v>
      </c>
      <c r="D672" s="1" t="s">
        <v>15</v>
      </c>
      <c r="E672" s="1" t="s">
        <v>10</v>
      </c>
      <c r="F672" s="4">
        <v>6.6417000000000002</v>
      </c>
      <c r="G672" s="4">
        <v>461.54479700000002</v>
      </c>
      <c r="H672" s="4">
        <v>1.5276000000000001</v>
      </c>
      <c r="I672">
        <v>2390</v>
      </c>
      <c r="J672" s="4" t="str">
        <f>IF(OR(Копия_20206[[#This Row],[Units (in 1000)]]&gt;$R$7,Копия_20206[[#This Row],[Units (in 1000)]]&lt;$R$6),"outlier","not outlier")</f>
        <v>not outlier</v>
      </c>
      <c r="K672" s="4" t="str">
        <f>IF(OR(Копия_20206[[#This Row],[Value (in 1000 rub)]]&gt;$S$7,Копия_20206[[#This Row],[Value (in 1000 rub)]]&lt;$S$6),"outlier","not outlier")</f>
        <v>not outlier</v>
      </c>
      <c r="L672" s="4" t="str">
        <f>IF(OR(Копия_20206[[#This Row],[Volume (in 1000 kg)]]&gt;$T$7,Копия_20206[[#This Row],[Volume (in 1000 kg)]]&lt;$T$6),"outlier","not outlier")</f>
        <v>not outlier</v>
      </c>
      <c r="M672" s="4" t="str">
        <f>IF(OR(Копия_20206[[#This Row],[Number of stores]]&gt;$U$7,Копия_20206[[#This Row],[Number of stores]]&lt;$U$6),"outlier","not outlier")</f>
        <v>not outlier</v>
      </c>
    </row>
    <row r="673" spans="1:13" x14ac:dyDescent="0.25">
      <c r="A673">
        <v>2021</v>
      </c>
      <c r="B673">
        <v>3</v>
      </c>
      <c r="C673" s="1" t="s">
        <v>25</v>
      </c>
      <c r="D673" s="1" t="s">
        <v>15</v>
      </c>
      <c r="E673" s="1" t="s">
        <v>12</v>
      </c>
      <c r="F673" s="4">
        <v>0.52949999999999997</v>
      </c>
      <c r="G673" s="4">
        <v>85.414349000000001</v>
      </c>
      <c r="H673" s="4">
        <v>0.23830000000000001</v>
      </c>
      <c r="I673">
        <v>446</v>
      </c>
      <c r="J673" s="4" t="str">
        <f>IF(OR(Копия_20206[[#This Row],[Units (in 1000)]]&gt;$R$7,Копия_20206[[#This Row],[Units (in 1000)]]&lt;$R$6),"outlier","not outlier")</f>
        <v>not outlier</v>
      </c>
      <c r="K673" s="4" t="str">
        <f>IF(OR(Копия_20206[[#This Row],[Value (in 1000 rub)]]&gt;$S$7,Копия_20206[[#This Row],[Value (in 1000 rub)]]&lt;$S$6),"outlier","not outlier")</f>
        <v>not outlier</v>
      </c>
      <c r="L673" s="4" t="str">
        <f>IF(OR(Копия_20206[[#This Row],[Volume (in 1000 kg)]]&gt;$T$7,Копия_20206[[#This Row],[Volume (in 1000 kg)]]&lt;$T$6),"outlier","not outlier")</f>
        <v>not outlier</v>
      </c>
      <c r="M673" s="4" t="str">
        <f>IF(OR(Копия_20206[[#This Row],[Number of stores]]&gt;$U$7,Копия_20206[[#This Row],[Number of stores]]&lt;$U$6),"outlier","not outlier")</f>
        <v>not outlier</v>
      </c>
    </row>
    <row r="674" spans="1:13" x14ac:dyDescent="0.25">
      <c r="A674">
        <v>2021</v>
      </c>
      <c r="B674">
        <v>3</v>
      </c>
      <c r="C674" s="1" t="s">
        <v>29</v>
      </c>
      <c r="D674" s="1" t="s">
        <v>15</v>
      </c>
      <c r="E674" s="1" t="s">
        <v>10</v>
      </c>
      <c r="F674" s="4">
        <v>3.2189999999999999</v>
      </c>
      <c r="G674" s="4">
        <v>151.43410599999999</v>
      </c>
      <c r="H674" s="4">
        <v>0.74039999999999995</v>
      </c>
      <c r="I674">
        <v>707</v>
      </c>
      <c r="J674" s="4" t="str">
        <f>IF(OR(Копия_20206[[#This Row],[Units (in 1000)]]&gt;$R$7,Копия_20206[[#This Row],[Units (in 1000)]]&lt;$R$6),"outlier","not outlier")</f>
        <v>not outlier</v>
      </c>
      <c r="K674" s="4" t="str">
        <f>IF(OR(Копия_20206[[#This Row],[Value (in 1000 rub)]]&gt;$S$7,Копия_20206[[#This Row],[Value (in 1000 rub)]]&lt;$S$6),"outlier","not outlier")</f>
        <v>not outlier</v>
      </c>
      <c r="L674" s="4" t="str">
        <f>IF(OR(Копия_20206[[#This Row],[Volume (in 1000 kg)]]&gt;$T$7,Копия_20206[[#This Row],[Volume (in 1000 kg)]]&lt;$T$6),"outlier","not outlier")</f>
        <v>not outlier</v>
      </c>
      <c r="M674" s="4" t="str">
        <f>IF(OR(Копия_20206[[#This Row],[Number of stores]]&gt;$U$7,Копия_20206[[#This Row],[Number of stores]]&lt;$U$6),"outlier","not outlier")</f>
        <v>not outlier</v>
      </c>
    </row>
    <row r="675" spans="1:13" x14ac:dyDescent="0.25">
      <c r="A675">
        <v>2021</v>
      </c>
      <c r="B675">
        <v>3</v>
      </c>
      <c r="C675" s="1" t="s">
        <v>29</v>
      </c>
      <c r="D675" s="1" t="s">
        <v>15</v>
      </c>
      <c r="E675" s="1" t="s">
        <v>12</v>
      </c>
      <c r="F675" s="4">
        <v>2.5952000000000002</v>
      </c>
      <c r="G675" s="4">
        <v>395.922213</v>
      </c>
      <c r="H675" s="4">
        <v>1.1677999999999999</v>
      </c>
      <c r="I675">
        <v>1904</v>
      </c>
      <c r="J675" s="4" t="str">
        <f>IF(OR(Копия_20206[[#This Row],[Units (in 1000)]]&gt;$R$7,Копия_20206[[#This Row],[Units (in 1000)]]&lt;$R$6),"outlier","not outlier")</f>
        <v>not outlier</v>
      </c>
      <c r="K675" s="4" t="str">
        <f>IF(OR(Копия_20206[[#This Row],[Value (in 1000 rub)]]&gt;$S$7,Копия_20206[[#This Row],[Value (in 1000 rub)]]&lt;$S$6),"outlier","not outlier")</f>
        <v>not outlier</v>
      </c>
      <c r="L675" s="4" t="str">
        <f>IF(OR(Копия_20206[[#This Row],[Volume (in 1000 kg)]]&gt;$T$7,Копия_20206[[#This Row],[Volume (in 1000 kg)]]&lt;$T$6),"outlier","not outlier")</f>
        <v>not outlier</v>
      </c>
      <c r="M675" s="4" t="str">
        <f>IF(OR(Копия_20206[[#This Row],[Number of stores]]&gt;$U$7,Копия_20206[[#This Row],[Number of stores]]&lt;$U$6),"outlier","not outlier")</f>
        <v>not outlier</v>
      </c>
    </row>
    <row r="676" spans="1:13" x14ac:dyDescent="0.25">
      <c r="A676">
        <v>2021</v>
      </c>
      <c r="B676">
        <v>4</v>
      </c>
      <c r="C676" s="1" t="s">
        <v>8</v>
      </c>
      <c r="D676" s="1" t="s">
        <v>15</v>
      </c>
      <c r="E676" s="1" t="s">
        <v>10</v>
      </c>
      <c r="F676" s="4">
        <v>2.1124000000000001</v>
      </c>
      <c r="G676" s="4">
        <v>138.82256000000001</v>
      </c>
      <c r="H676" s="4">
        <v>0.4859</v>
      </c>
      <c r="I676">
        <v>260</v>
      </c>
      <c r="J676" s="4" t="str">
        <f>IF(OR(Копия_20206[[#This Row],[Units (in 1000)]]&gt;$R$7,Копия_20206[[#This Row],[Units (in 1000)]]&lt;$R$6),"outlier","not outlier")</f>
        <v>not outlier</v>
      </c>
      <c r="K676" s="4" t="str">
        <f>IF(OR(Копия_20206[[#This Row],[Value (in 1000 rub)]]&gt;$S$7,Копия_20206[[#This Row],[Value (in 1000 rub)]]&lt;$S$6),"outlier","not outlier")</f>
        <v>not outlier</v>
      </c>
      <c r="L676" s="4" t="str">
        <f>IF(OR(Копия_20206[[#This Row],[Volume (in 1000 kg)]]&gt;$T$7,Копия_20206[[#This Row],[Volume (in 1000 kg)]]&lt;$T$6),"outlier","not outlier")</f>
        <v>not outlier</v>
      </c>
      <c r="M676" s="4" t="str">
        <f>IF(OR(Копия_20206[[#This Row],[Number of stores]]&gt;$U$7,Копия_20206[[#This Row],[Number of stores]]&lt;$U$6),"outlier","not outlier")</f>
        <v>not outlier</v>
      </c>
    </row>
    <row r="677" spans="1:13" x14ac:dyDescent="0.25">
      <c r="A677">
        <v>2021</v>
      </c>
      <c r="B677">
        <v>4</v>
      </c>
      <c r="C677" s="1" t="s">
        <v>8</v>
      </c>
      <c r="D677" s="1" t="s">
        <v>15</v>
      </c>
      <c r="E677" s="1" t="s">
        <v>12</v>
      </c>
      <c r="F677" s="4">
        <v>0.55410000000000004</v>
      </c>
      <c r="G677" s="4">
        <v>59.119019999999999</v>
      </c>
      <c r="H677" s="4">
        <v>0.24929999999999999</v>
      </c>
      <c r="I677">
        <v>100</v>
      </c>
      <c r="J677" s="4" t="str">
        <f>IF(OR(Копия_20206[[#This Row],[Units (in 1000)]]&gt;$R$7,Копия_20206[[#This Row],[Units (in 1000)]]&lt;$R$6),"outlier","not outlier")</f>
        <v>not outlier</v>
      </c>
      <c r="K677" s="4" t="str">
        <f>IF(OR(Копия_20206[[#This Row],[Value (in 1000 rub)]]&gt;$S$7,Копия_20206[[#This Row],[Value (in 1000 rub)]]&lt;$S$6),"outlier","not outlier")</f>
        <v>not outlier</v>
      </c>
      <c r="L677" s="4" t="str">
        <f>IF(OR(Копия_20206[[#This Row],[Volume (in 1000 kg)]]&gt;$T$7,Копия_20206[[#This Row],[Volume (in 1000 kg)]]&lt;$T$6),"outlier","not outlier")</f>
        <v>not outlier</v>
      </c>
      <c r="M677" s="4" t="str">
        <f>IF(OR(Копия_20206[[#This Row],[Number of stores]]&gt;$U$7,Копия_20206[[#This Row],[Number of stores]]&lt;$U$6),"outlier","not outlier")</f>
        <v>not outlier</v>
      </c>
    </row>
    <row r="678" spans="1:13" x14ac:dyDescent="0.25">
      <c r="A678">
        <v>2021</v>
      </c>
      <c r="B678">
        <v>4</v>
      </c>
      <c r="C678" s="1" t="s">
        <v>25</v>
      </c>
      <c r="D678" s="1" t="s">
        <v>15</v>
      </c>
      <c r="E678" s="1" t="s">
        <v>10</v>
      </c>
      <c r="F678" s="4">
        <v>5.1908000000000003</v>
      </c>
      <c r="G678" s="4">
        <v>360.73378200000002</v>
      </c>
      <c r="H678" s="4">
        <v>1.1939</v>
      </c>
      <c r="I678">
        <v>1868</v>
      </c>
      <c r="J678" s="4" t="str">
        <f>IF(OR(Копия_20206[[#This Row],[Units (in 1000)]]&gt;$R$7,Копия_20206[[#This Row],[Units (in 1000)]]&lt;$R$6),"outlier","not outlier")</f>
        <v>not outlier</v>
      </c>
      <c r="K678" s="4" t="str">
        <f>IF(OR(Копия_20206[[#This Row],[Value (in 1000 rub)]]&gt;$S$7,Копия_20206[[#This Row],[Value (in 1000 rub)]]&lt;$S$6),"outlier","not outlier")</f>
        <v>not outlier</v>
      </c>
      <c r="L678" s="4" t="str">
        <f>IF(OR(Копия_20206[[#This Row],[Volume (in 1000 kg)]]&gt;$T$7,Копия_20206[[#This Row],[Volume (in 1000 kg)]]&lt;$T$6),"outlier","not outlier")</f>
        <v>not outlier</v>
      </c>
      <c r="M678" s="4" t="str">
        <f>IF(OR(Копия_20206[[#This Row],[Number of stores]]&gt;$U$7,Копия_20206[[#This Row],[Number of stores]]&lt;$U$6),"outlier","not outlier")</f>
        <v>not outlier</v>
      </c>
    </row>
    <row r="679" spans="1:13" x14ac:dyDescent="0.25">
      <c r="A679">
        <v>2021</v>
      </c>
      <c r="B679">
        <v>4</v>
      </c>
      <c r="C679" s="1" t="s">
        <v>25</v>
      </c>
      <c r="D679" s="1" t="s">
        <v>15</v>
      </c>
      <c r="E679" s="1" t="s">
        <v>12</v>
      </c>
      <c r="F679" s="4">
        <v>0.70299999999999996</v>
      </c>
      <c r="G679" s="4">
        <v>79.828062000000003</v>
      </c>
      <c r="H679" s="4">
        <v>0.31630000000000003</v>
      </c>
      <c r="I679">
        <v>461</v>
      </c>
      <c r="J679" s="4" t="str">
        <f>IF(OR(Копия_20206[[#This Row],[Units (in 1000)]]&gt;$R$7,Копия_20206[[#This Row],[Units (in 1000)]]&lt;$R$6),"outlier","not outlier")</f>
        <v>not outlier</v>
      </c>
      <c r="K679" s="4" t="str">
        <f>IF(OR(Копия_20206[[#This Row],[Value (in 1000 rub)]]&gt;$S$7,Копия_20206[[#This Row],[Value (in 1000 rub)]]&lt;$S$6),"outlier","not outlier")</f>
        <v>not outlier</v>
      </c>
      <c r="L679" s="4" t="str">
        <f>IF(OR(Копия_20206[[#This Row],[Volume (in 1000 kg)]]&gt;$T$7,Копия_20206[[#This Row],[Volume (in 1000 kg)]]&lt;$T$6),"outlier","not outlier")</f>
        <v>not outlier</v>
      </c>
      <c r="M679" s="4" t="str">
        <f>IF(OR(Копия_20206[[#This Row],[Number of stores]]&gt;$U$7,Копия_20206[[#This Row],[Number of stores]]&lt;$U$6),"outlier","not outlier")</f>
        <v>not outlier</v>
      </c>
    </row>
    <row r="680" spans="1:13" x14ac:dyDescent="0.25">
      <c r="A680">
        <v>2021</v>
      </c>
      <c r="B680">
        <v>4</v>
      </c>
      <c r="C680" s="1" t="s">
        <v>29</v>
      </c>
      <c r="D680" s="1" t="s">
        <v>15</v>
      </c>
      <c r="E680" s="1" t="s">
        <v>10</v>
      </c>
      <c r="F680" s="4">
        <v>2.0750000000000002</v>
      </c>
      <c r="G680" s="4">
        <v>96.486401000000001</v>
      </c>
      <c r="H680" s="4">
        <v>0.4773</v>
      </c>
      <c r="I680">
        <v>421</v>
      </c>
      <c r="J680" s="4" t="str">
        <f>IF(OR(Копия_20206[[#This Row],[Units (in 1000)]]&gt;$R$7,Копия_20206[[#This Row],[Units (in 1000)]]&lt;$R$6),"outlier","not outlier")</f>
        <v>not outlier</v>
      </c>
      <c r="K680" s="4" t="str">
        <f>IF(OR(Копия_20206[[#This Row],[Value (in 1000 rub)]]&gt;$S$7,Копия_20206[[#This Row],[Value (in 1000 rub)]]&lt;$S$6),"outlier","not outlier")</f>
        <v>not outlier</v>
      </c>
      <c r="L680" s="4" t="str">
        <f>IF(OR(Копия_20206[[#This Row],[Volume (in 1000 kg)]]&gt;$T$7,Копия_20206[[#This Row],[Volume (in 1000 kg)]]&lt;$T$6),"outlier","not outlier")</f>
        <v>not outlier</v>
      </c>
      <c r="M680" s="4" t="str">
        <f>IF(OR(Копия_20206[[#This Row],[Number of stores]]&gt;$U$7,Копия_20206[[#This Row],[Number of stores]]&lt;$U$6),"outlier","not outlier")</f>
        <v>not outlier</v>
      </c>
    </row>
    <row r="681" spans="1:13" x14ac:dyDescent="0.25">
      <c r="A681">
        <v>2021</v>
      </c>
      <c r="B681">
        <v>4</v>
      </c>
      <c r="C681" s="1" t="s">
        <v>29</v>
      </c>
      <c r="D681" s="1" t="s">
        <v>15</v>
      </c>
      <c r="E681" s="1" t="s">
        <v>12</v>
      </c>
      <c r="F681" s="4">
        <v>3.1939000000000002</v>
      </c>
      <c r="G681" s="4">
        <v>374.99953299999999</v>
      </c>
      <c r="H681" s="4">
        <v>1.4373</v>
      </c>
      <c r="I681">
        <v>1777</v>
      </c>
      <c r="J681" s="4" t="str">
        <f>IF(OR(Копия_20206[[#This Row],[Units (in 1000)]]&gt;$R$7,Копия_20206[[#This Row],[Units (in 1000)]]&lt;$R$6),"outlier","not outlier")</f>
        <v>not outlier</v>
      </c>
      <c r="K681" s="4" t="str">
        <f>IF(OR(Копия_20206[[#This Row],[Value (in 1000 rub)]]&gt;$S$7,Копия_20206[[#This Row],[Value (in 1000 rub)]]&lt;$S$6),"outlier","not outlier")</f>
        <v>not outlier</v>
      </c>
      <c r="L681" s="4" t="str">
        <f>IF(OR(Копия_20206[[#This Row],[Volume (in 1000 kg)]]&gt;$T$7,Копия_20206[[#This Row],[Volume (in 1000 kg)]]&lt;$T$6),"outlier","not outlier")</f>
        <v>not outlier</v>
      </c>
      <c r="M681" s="4" t="str">
        <f>IF(OR(Копия_20206[[#This Row],[Number of stores]]&gt;$U$7,Копия_20206[[#This Row],[Number of stores]]&lt;$U$6),"outlier","not outlier")</f>
        <v>not outlier</v>
      </c>
    </row>
    <row r="682" spans="1:13" x14ac:dyDescent="0.25">
      <c r="A682">
        <v>2021</v>
      </c>
      <c r="B682">
        <v>5</v>
      </c>
      <c r="C682" s="1" t="s">
        <v>8</v>
      </c>
      <c r="D682" s="1" t="s">
        <v>15</v>
      </c>
      <c r="E682" s="1" t="s">
        <v>10</v>
      </c>
      <c r="F682" s="4">
        <v>1.2445999999999999</v>
      </c>
      <c r="G682" s="4">
        <v>82.654955000000001</v>
      </c>
      <c r="H682" s="4">
        <v>0.28620000000000001</v>
      </c>
      <c r="I682">
        <v>205</v>
      </c>
      <c r="J682" s="4" t="str">
        <f>IF(OR(Копия_20206[[#This Row],[Units (in 1000)]]&gt;$R$7,Копия_20206[[#This Row],[Units (in 1000)]]&lt;$R$6),"outlier","not outlier")</f>
        <v>not outlier</v>
      </c>
      <c r="K682" s="4" t="str">
        <f>IF(OR(Копия_20206[[#This Row],[Value (in 1000 rub)]]&gt;$S$7,Копия_20206[[#This Row],[Value (in 1000 rub)]]&lt;$S$6),"outlier","not outlier")</f>
        <v>not outlier</v>
      </c>
      <c r="L682" s="4" t="str">
        <f>IF(OR(Копия_20206[[#This Row],[Volume (in 1000 kg)]]&gt;$T$7,Копия_20206[[#This Row],[Volume (in 1000 kg)]]&lt;$T$6),"outlier","not outlier")</f>
        <v>not outlier</v>
      </c>
      <c r="M682" s="4" t="str">
        <f>IF(OR(Копия_20206[[#This Row],[Number of stores]]&gt;$U$7,Копия_20206[[#This Row],[Number of stores]]&lt;$U$6),"outlier","not outlier")</f>
        <v>not outlier</v>
      </c>
    </row>
    <row r="683" spans="1:13" x14ac:dyDescent="0.25">
      <c r="A683">
        <v>2021</v>
      </c>
      <c r="B683">
        <v>5</v>
      </c>
      <c r="C683" s="1" t="s">
        <v>8</v>
      </c>
      <c r="D683" s="1" t="s">
        <v>15</v>
      </c>
      <c r="E683" s="1" t="s">
        <v>12</v>
      </c>
      <c r="F683" s="4">
        <v>1.3680000000000001</v>
      </c>
      <c r="G683" s="4">
        <v>98.160893999999999</v>
      </c>
      <c r="H683" s="4">
        <v>0.61560000000000004</v>
      </c>
      <c r="I683">
        <v>85</v>
      </c>
      <c r="J683" s="4" t="str">
        <f>IF(OR(Копия_20206[[#This Row],[Units (in 1000)]]&gt;$R$7,Копия_20206[[#This Row],[Units (in 1000)]]&lt;$R$6),"outlier","not outlier")</f>
        <v>not outlier</v>
      </c>
      <c r="K683" s="4" t="str">
        <f>IF(OR(Копия_20206[[#This Row],[Value (in 1000 rub)]]&gt;$S$7,Копия_20206[[#This Row],[Value (in 1000 rub)]]&lt;$S$6),"outlier","not outlier")</f>
        <v>not outlier</v>
      </c>
      <c r="L683" s="4" t="str">
        <f>IF(OR(Копия_20206[[#This Row],[Volume (in 1000 kg)]]&gt;$T$7,Копия_20206[[#This Row],[Volume (in 1000 kg)]]&lt;$T$6),"outlier","not outlier")</f>
        <v>not outlier</v>
      </c>
      <c r="M683" s="4" t="str">
        <f>IF(OR(Копия_20206[[#This Row],[Number of stores]]&gt;$U$7,Копия_20206[[#This Row],[Number of stores]]&lt;$U$6),"outlier","not outlier")</f>
        <v>not outlier</v>
      </c>
    </row>
    <row r="684" spans="1:13" x14ac:dyDescent="0.25">
      <c r="A684">
        <v>2021</v>
      </c>
      <c r="B684">
        <v>5</v>
      </c>
      <c r="C684" s="1" t="s">
        <v>25</v>
      </c>
      <c r="D684" s="1" t="s">
        <v>15</v>
      </c>
      <c r="E684" s="1" t="s">
        <v>10</v>
      </c>
      <c r="F684" s="4">
        <v>4.1646000000000001</v>
      </c>
      <c r="G684" s="4">
        <v>281.72460000000001</v>
      </c>
      <c r="H684" s="4">
        <v>0.95789999999999997</v>
      </c>
      <c r="I684">
        <v>1325</v>
      </c>
      <c r="J684" s="4" t="str">
        <f>IF(OR(Копия_20206[[#This Row],[Units (in 1000)]]&gt;$R$7,Копия_20206[[#This Row],[Units (in 1000)]]&lt;$R$6),"outlier","not outlier")</f>
        <v>not outlier</v>
      </c>
      <c r="K684" s="4" t="str">
        <f>IF(OR(Копия_20206[[#This Row],[Value (in 1000 rub)]]&gt;$S$7,Копия_20206[[#This Row],[Value (in 1000 rub)]]&lt;$S$6),"outlier","not outlier")</f>
        <v>not outlier</v>
      </c>
      <c r="L684" s="4" t="str">
        <f>IF(OR(Копия_20206[[#This Row],[Volume (in 1000 kg)]]&gt;$T$7,Копия_20206[[#This Row],[Volume (in 1000 kg)]]&lt;$T$6),"outlier","not outlier")</f>
        <v>not outlier</v>
      </c>
      <c r="M684" s="4" t="str">
        <f>IF(OR(Копия_20206[[#This Row],[Number of stores]]&gt;$U$7,Копия_20206[[#This Row],[Number of stores]]&lt;$U$6),"outlier","not outlier")</f>
        <v>not outlier</v>
      </c>
    </row>
    <row r="685" spans="1:13" x14ac:dyDescent="0.25">
      <c r="A685">
        <v>2021</v>
      </c>
      <c r="B685">
        <v>5</v>
      </c>
      <c r="C685" s="1" t="s">
        <v>25</v>
      </c>
      <c r="D685" s="1" t="s">
        <v>15</v>
      </c>
      <c r="E685" s="1" t="s">
        <v>12</v>
      </c>
      <c r="F685" s="4">
        <v>1.0117</v>
      </c>
      <c r="G685" s="4">
        <v>87.100711000000004</v>
      </c>
      <c r="H685" s="4">
        <v>0.45529999999999998</v>
      </c>
      <c r="I685">
        <v>386</v>
      </c>
      <c r="J685" s="4" t="str">
        <f>IF(OR(Копия_20206[[#This Row],[Units (in 1000)]]&gt;$R$7,Копия_20206[[#This Row],[Units (in 1000)]]&lt;$R$6),"outlier","not outlier")</f>
        <v>not outlier</v>
      </c>
      <c r="K685" s="4" t="str">
        <f>IF(OR(Копия_20206[[#This Row],[Value (in 1000 rub)]]&gt;$S$7,Копия_20206[[#This Row],[Value (in 1000 rub)]]&lt;$S$6),"outlier","not outlier")</f>
        <v>not outlier</v>
      </c>
      <c r="L685" s="4" t="str">
        <f>IF(OR(Копия_20206[[#This Row],[Volume (in 1000 kg)]]&gt;$T$7,Копия_20206[[#This Row],[Volume (in 1000 kg)]]&lt;$T$6),"outlier","not outlier")</f>
        <v>not outlier</v>
      </c>
      <c r="M685" s="4" t="str">
        <f>IF(OR(Копия_20206[[#This Row],[Number of stores]]&gt;$U$7,Копия_20206[[#This Row],[Number of stores]]&lt;$U$6),"outlier","not outlier")</f>
        <v>not outlier</v>
      </c>
    </row>
    <row r="686" spans="1:13" x14ac:dyDescent="0.25">
      <c r="A686">
        <v>2021</v>
      </c>
      <c r="B686">
        <v>5</v>
      </c>
      <c r="C686" s="1" t="s">
        <v>29</v>
      </c>
      <c r="D686" s="1" t="s">
        <v>15</v>
      </c>
      <c r="E686" s="1" t="s">
        <v>10</v>
      </c>
      <c r="F686" s="4">
        <v>1.9198999999999999</v>
      </c>
      <c r="G686" s="4">
        <v>60.751409000000002</v>
      </c>
      <c r="H686" s="4">
        <v>0.44159999999999999</v>
      </c>
      <c r="I686">
        <v>247</v>
      </c>
      <c r="J686" s="4" t="str">
        <f>IF(OR(Копия_20206[[#This Row],[Units (in 1000)]]&gt;$R$7,Копия_20206[[#This Row],[Units (in 1000)]]&lt;$R$6),"outlier","not outlier")</f>
        <v>not outlier</v>
      </c>
      <c r="K686" s="4" t="str">
        <f>IF(OR(Копия_20206[[#This Row],[Value (in 1000 rub)]]&gt;$S$7,Копия_20206[[#This Row],[Value (in 1000 rub)]]&lt;$S$6),"outlier","not outlier")</f>
        <v>not outlier</v>
      </c>
      <c r="L686" s="4" t="str">
        <f>IF(OR(Копия_20206[[#This Row],[Volume (in 1000 kg)]]&gt;$T$7,Копия_20206[[#This Row],[Volume (in 1000 kg)]]&lt;$T$6),"outlier","not outlier")</f>
        <v>not outlier</v>
      </c>
      <c r="M686" s="4" t="str">
        <f>IF(OR(Копия_20206[[#This Row],[Number of stores]]&gt;$U$7,Копия_20206[[#This Row],[Number of stores]]&lt;$U$6),"outlier","not outlier")</f>
        <v>not outlier</v>
      </c>
    </row>
    <row r="687" spans="1:13" x14ac:dyDescent="0.25">
      <c r="A687">
        <v>2021</v>
      </c>
      <c r="B687">
        <v>5</v>
      </c>
      <c r="C687" s="1" t="s">
        <v>29</v>
      </c>
      <c r="D687" s="1" t="s">
        <v>15</v>
      </c>
      <c r="E687" s="1" t="s">
        <v>12</v>
      </c>
      <c r="F687" s="4">
        <v>4.5819999999999999</v>
      </c>
      <c r="G687" s="4">
        <v>432.96244000000002</v>
      </c>
      <c r="H687" s="4">
        <v>2.0619000000000001</v>
      </c>
      <c r="I687">
        <v>1403</v>
      </c>
      <c r="J687" s="4" t="str">
        <f>IF(OR(Копия_20206[[#This Row],[Units (in 1000)]]&gt;$R$7,Копия_20206[[#This Row],[Units (in 1000)]]&lt;$R$6),"outlier","not outlier")</f>
        <v>not outlier</v>
      </c>
      <c r="K687" s="4" t="str">
        <f>IF(OR(Копия_20206[[#This Row],[Value (in 1000 rub)]]&gt;$S$7,Копия_20206[[#This Row],[Value (in 1000 rub)]]&lt;$S$6),"outlier","not outlier")</f>
        <v>not outlier</v>
      </c>
      <c r="L687" s="4" t="str">
        <f>IF(OR(Копия_20206[[#This Row],[Volume (in 1000 kg)]]&gt;$T$7,Копия_20206[[#This Row],[Volume (in 1000 kg)]]&lt;$T$6),"outlier","not outlier")</f>
        <v>not outlier</v>
      </c>
      <c r="M687" s="4" t="str">
        <f>IF(OR(Копия_20206[[#This Row],[Number of stores]]&gt;$U$7,Копия_20206[[#This Row],[Number of stores]]&lt;$U$6),"outlier","not outlier")</f>
        <v>not outlier</v>
      </c>
    </row>
    <row r="688" spans="1:13" x14ac:dyDescent="0.25">
      <c r="A688">
        <v>2021</v>
      </c>
      <c r="B688">
        <v>6</v>
      </c>
      <c r="C688" s="1" t="s">
        <v>8</v>
      </c>
      <c r="D688" s="1" t="s">
        <v>15</v>
      </c>
      <c r="E688" s="1" t="s">
        <v>10</v>
      </c>
      <c r="F688" s="4">
        <v>0.96430000000000005</v>
      </c>
      <c r="G688" s="4">
        <v>67.866183000000007</v>
      </c>
      <c r="H688" s="4">
        <v>0.2218</v>
      </c>
      <c r="I688">
        <v>149</v>
      </c>
      <c r="J688" s="4" t="str">
        <f>IF(OR(Копия_20206[[#This Row],[Units (in 1000)]]&gt;$R$7,Копия_20206[[#This Row],[Units (in 1000)]]&lt;$R$6),"outlier","not outlier")</f>
        <v>not outlier</v>
      </c>
      <c r="K688" s="4" t="str">
        <f>IF(OR(Копия_20206[[#This Row],[Value (in 1000 rub)]]&gt;$S$7,Копия_20206[[#This Row],[Value (in 1000 rub)]]&lt;$S$6),"outlier","not outlier")</f>
        <v>not outlier</v>
      </c>
      <c r="L688" s="4" t="str">
        <f>IF(OR(Копия_20206[[#This Row],[Volume (in 1000 kg)]]&gt;$T$7,Копия_20206[[#This Row],[Volume (in 1000 kg)]]&lt;$T$6),"outlier","not outlier")</f>
        <v>not outlier</v>
      </c>
      <c r="M688" s="4" t="str">
        <f>IF(OR(Копия_20206[[#This Row],[Number of stores]]&gt;$U$7,Копия_20206[[#This Row],[Number of stores]]&lt;$U$6),"outlier","not outlier")</f>
        <v>not outlier</v>
      </c>
    </row>
    <row r="689" spans="1:13" x14ac:dyDescent="0.25">
      <c r="A689">
        <v>2021</v>
      </c>
      <c r="B689">
        <v>6</v>
      </c>
      <c r="C689" s="1" t="s">
        <v>8</v>
      </c>
      <c r="D689" s="1" t="s">
        <v>15</v>
      </c>
      <c r="E689" s="1" t="s">
        <v>12</v>
      </c>
      <c r="F689" s="4">
        <v>0.71889999999999998</v>
      </c>
      <c r="G689" s="4">
        <v>59.064649000000003</v>
      </c>
      <c r="H689" s="4">
        <v>0.32350000000000001</v>
      </c>
      <c r="I689">
        <v>68</v>
      </c>
      <c r="J689" s="4" t="str">
        <f>IF(OR(Копия_20206[[#This Row],[Units (in 1000)]]&gt;$R$7,Копия_20206[[#This Row],[Units (in 1000)]]&lt;$R$6),"outlier","not outlier")</f>
        <v>not outlier</v>
      </c>
      <c r="K689" s="4" t="str">
        <f>IF(OR(Копия_20206[[#This Row],[Value (in 1000 rub)]]&gt;$S$7,Копия_20206[[#This Row],[Value (in 1000 rub)]]&lt;$S$6),"outlier","not outlier")</f>
        <v>not outlier</v>
      </c>
      <c r="L689" s="4" t="str">
        <f>IF(OR(Копия_20206[[#This Row],[Volume (in 1000 kg)]]&gt;$T$7,Копия_20206[[#This Row],[Volume (in 1000 kg)]]&lt;$T$6),"outlier","not outlier")</f>
        <v>not outlier</v>
      </c>
      <c r="M689" s="4" t="str">
        <f>IF(OR(Копия_20206[[#This Row],[Number of stores]]&gt;$U$7,Копия_20206[[#This Row],[Number of stores]]&lt;$U$6),"outlier","not outlier")</f>
        <v>not outlier</v>
      </c>
    </row>
    <row r="690" spans="1:13" x14ac:dyDescent="0.25">
      <c r="A690">
        <v>2021</v>
      </c>
      <c r="B690">
        <v>6</v>
      </c>
      <c r="C690" s="1" t="s">
        <v>25</v>
      </c>
      <c r="D690" s="1" t="s">
        <v>15</v>
      </c>
      <c r="E690" s="1" t="s">
        <v>10</v>
      </c>
      <c r="F690" s="4">
        <v>4.6757</v>
      </c>
      <c r="G690" s="4">
        <v>315.49719700000003</v>
      </c>
      <c r="H690" s="4">
        <v>1.0753999999999999</v>
      </c>
      <c r="I690">
        <v>1483</v>
      </c>
      <c r="J690" s="4" t="str">
        <f>IF(OR(Копия_20206[[#This Row],[Units (in 1000)]]&gt;$R$7,Копия_20206[[#This Row],[Units (in 1000)]]&lt;$R$6),"outlier","not outlier")</f>
        <v>not outlier</v>
      </c>
      <c r="K690" s="4" t="str">
        <f>IF(OR(Копия_20206[[#This Row],[Value (in 1000 rub)]]&gt;$S$7,Копия_20206[[#This Row],[Value (in 1000 rub)]]&lt;$S$6),"outlier","not outlier")</f>
        <v>not outlier</v>
      </c>
      <c r="L690" s="4" t="str">
        <f>IF(OR(Копия_20206[[#This Row],[Volume (in 1000 kg)]]&gt;$T$7,Копия_20206[[#This Row],[Volume (in 1000 kg)]]&lt;$T$6),"outlier","not outlier")</f>
        <v>not outlier</v>
      </c>
      <c r="M690" s="4" t="str">
        <f>IF(OR(Копия_20206[[#This Row],[Number of stores]]&gt;$U$7,Копия_20206[[#This Row],[Number of stores]]&lt;$U$6),"outlier","not outlier")</f>
        <v>not outlier</v>
      </c>
    </row>
    <row r="691" spans="1:13" x14ac:dyDescent="0.25">
      <c r="A691">
        <v>2021</v>
      </c>
      <c r="B691">
        <v>6</v>
      </c>
      <c r="C691" s="1" t="s">
        <v>25</v>
      </c>
      <c r="D691" s="1" t="s">
        <v>15</v>
      </c>
      <c r="E691" s="1" t="s">
        <v>12</v>
      </c>
      <c r="F691" s="4">
        <v>0.62690000000000001</v>
      </c>
      <c r="G691" s="4">
        <v>75.852483000000007</v>
      </c>
      <c r="H691" s="4">
        <v>0.28199999999999997</v>
      </c>
      <c r="I691">
        <v>279</v>
      </c>
      <c r="J691" s="4" t="str">
        <f>IF(OR(Копия_20206[[#This Row],[Units (in 1000)]]&gt;$R$7,Копия_20206[[#This Row],[Units (in 1000)]]&lt;$R$6),"outlier","not outlier")</f>
        <v>not outlier</v>
      </c>
      <c r="K691" s="4" t="str">
        <f>IF(OR(Копия_20206[[#This Row],[Value (in 1000 rub)]]&gt;$S$7,Копия_20206[[#This Row],[Value (in 1000 rub)]]&lt;$S$6),"outlier","not outlier")</f>
        <v>not outlier</v>
      </c>
      <c r="L691" s="4" t="str">
        <f>IF(OR(Копия_20206[[#This Row],[Volume (in 1000 kg)]]&gt;$T$7,Копия_20206[[#This Row],[Volume (in 1000 kg)]]&lt;$T$6),"outlier","not outlier")</f>
        <v>not outlier</v>
      </c>
      <c r="M691" s="4" t="str">
        <f>IF(OR(Копия_20206[[#This Row],[Number of stores]]&gt;$U$7,Копия_20206[[#This Row],[Number of stores]]&lt;$U$6),"outlier","not outlier")</f>
        <v>not outlier</v>
      </c>
    </row>
    <row r="692" spans="1:13" x14ac:dyDescent="0.25">
      <c r="A692">
        <v>2021</v>
      </c>
      <c r="B692">
        <v>6</v>
      </c>
      <c r="C692" s="1" t="s">
        <v>29</v>
      </c>
      <c r="D692" s="1" t="s">
        <v>15</v>
      </c>
      <c r="E692" s="1" t="s">
        <v>10</v>
      </c>
      <c r="F692" s="4">
        <v>1.2585999999999999</v>
      </c>
      <c r="G692" s="4">
        <v>54.751505999999999</v>
      </c>
      <c r="H692" s="4">
        <v>0.28949999999999998</v>
      </c>
      <c r="I692">
        <v>356</v>
      </c>
      <c r="J692" s="4" t="str">
        <f>IF(OR(Копия_20206[[#This Row],[Units (in 1000)]]&gt;$R$7,Копия_20206[[#This Row],[Units (in 1000)]]&lt;$R$6),"outlier","not outlier")</f>
        <v>not outlier</v>
      </c>
      <c r="K692" s="4" t="str">
        <f>IF(OR(Копия_20206[[#This Row],[Value (in 1000 rub)]]&gt;$S$7,Копия_20206[[#This Row],[Value (in 1000 rub)]]&lt;$S$6),"outlier","not outlier")</f>
        <v>not outlier</v>
      </c>
      <c r="L692" s="4" t="str">
        <f>IF(OR(Копия_20206[[#This Row],[Volume (in 1000 kg)]]&gt;$T$7,Копия_20206[[#This Row],[Volume (in 1000 kg)]]&lt;$T$6),"outlier","not outlier")</f>
        <v>not outlier</v>
      </c>
      <c r="M692" s="4" t="str">
        <f>IF(OR(Копия_20206[[#This Row],[Number of stores]]&gt;$U$7,Копия_20206[[#This Row],[Number of stores]]&lt;$U$6),"outlier","not outlier")</f>
        <v>not outlier</v>
      </c>
    </row>
    <row r="693" spans="1:13" x14ac:dyDescent="0.25">
      <c r="A693">
        <v>2021</v>
      </c>
      <c r="B693">
        <v>6</v>
      </c>
      <c r="C693" s="1" t="s">
        <v>29</v>
      </c>
      <c r="D693" s="1" t="s">
        <v>15</v>
      </c>
      <c r="E693" s="1" t="s">
        <v>12</v>
      </c>
      <c r="F693" s="4">
        <v>2.8264</v>
      </c>
      <c r="G693" s="4">
        <v>304.73167799999999</v>
      </c>
      <c r="H693" s="4">
        <v>1.2719</v>
      </c>
      <c r="I693">
        <v>1133</v>
      </c>
      <c r="J693" s="4" t="str">
        <f>IF(OR(Копия_20206[[#This Row],[Units (in 1000)]]&gt;$R$7,Копия_20206[[#This Row],[Units (in 1000)]]&lt;$R$6),"outlier","not outlier")</f>
        <v>not outlier</v>
      </c>
      <c r="K693" s="4" t="str">
        <f>IF(OR(Копия_20206[[#This Row],[Value (in 1000 rub)]]&gt;$S$7,Копия_20206[[#This Row],[Value (in 1000 rub)]]&lt;$S$6),"outlier","not outlier")</f>
        <v>not outlier</v>
      </c>
      <c r="L693" s="4" t="str">
        <f>IF(OR(Копия_20206[[#This Row],[Volume (in 1000 kg)]]&gt;$T$7,Копия_20206[[#This Row],[Volume (in 1000 kg)]]&lt;$T$6),"outlier","not outlier")</f>
        <v>not outlier</v>
      </c>
      <c r="M693" s="4" t="str">
        <f>IF(OR(Копия_20206[[#This Row],[Number of stores]]&gt;$U$7,Копия_20206[[#This Row],[Number of stores]]&lt;$U$6),"outlier","not outlier")</f>
        <v>not outlier</v>
      </c>
    </row>
    <row r="694" spans="1:13" x14ac:dyDescent="0.25">
      <c r="A694">
        <v>2021</v>
      </c>
      <c r="B694">
        <v>7</v>
      </c>
      <c r="C694" s="1" t="s">
        <v>8</v>
      </c>
      <c r="D694" s="1" t="s">
        <v>15</v>
      </c>
      <c r="E694" s="1" t="s">
        <v>10</v>
      </c>
      <c r="F694" s="4">
        <v>0.56740000000000002</v>
      </c>
      <c r="G694" s="4">
        <v>36.606650999999999</v>
      </c>
      <c r="H694" s="4">
        <v>0.1305</v>
      </c>
      <c r="I694">
        <v>83</v>
      </c>
      <c r="J694" s="4" t="str">
        <f>IF(OR(Копия_20206[[#This Row],[Units (in 1000)]]&gt;$R$7,Копия_20206[[#This Row],[Units (in 1000)]]&lt;$R$6),"outlier","not outlier")</f>
        <v>not outlier</v>
      </c>
      <c r="K694" s="4" t="str">
        <f>IF(OR(Копия_20206[[#This Row],[Value (in 1000 rub)]]&gt;$S$7,Копия_20206[[#This Row],[Value (in 1000 rub)]]&lt;$S$6),"outlier","not outlier")</f>
        <v>not outlier</v>
      </c>
      <c r="L694" s="4" t="str">
        <f>IF(OR(Копия_20206[[#This Row],[Volume (in 1000 kg)]]&gt;$T$7,Копия_20206[[#This Row],[Volume (in 1000 kg)]]&lt;$T$6),"outlier","not outlier")</f>
        <v>not outlier</v>
      </c>
      <c r="M694" s="4" t="str">
        <f>IF(OR(Копия_20206[[#This Row],[Number of stores]]&gt;$U$7,Копия_20206[[#This Row],[Number of stores]]&lt;$U$6),"outlier","not outlier")</f>
        <v>not outlier</v>
      </c>
    </row>
    <row r="695" spans="1:13" x14ac:dyDescent="0.25">
      <c r="A695">
        <v>2021</v>
      </c>
      <c r="B695">
        <v>7</v>
      </c>
      <c r="C695" s="1" t="s">
        <v>8</v>
      </c>
      <c r="D695" s="1" t="s">
        <v>15</v>
      </c>
      <c r="E695" s="1" t="s">
        <v>12</v>
      </c>
      <c r="F695" s="4">
        <v>0.52010000000000001</v>
      </c>
      <c r="G695" s="4">
        <v>51.047383000000004</v>
      </c>
      <c r="H695" s="4">
        <v>0.2341</v>
      </c>
      <c r="I695">
        <v>66</v>
      </c>
      <c r="J695" s="4" t="str">
        <f>IF(OR(Копия_20206[[#This Row],[Units (in 1000)]]&gt;$R$7,Копия_20206[[#This Row],[Units (in 1000)]]&lt;$R$6),"outlier","not outlier")</f>
        <v>not outlier</v>
      </c>
      <c r="K695" s="4" t="str">
        <f>IF(OR(Копия_20206[[#This Row],[Value (in 1000 rub)]]&gt;$S$7,Копия_20206[[#This Row],[Value (in 1000 rub)]]&lt;$S$6),"outlier","not outlier")</f>
        <v>not outlier</v>
      </c>
      <c r="L695" s="4" t="str">
        <f>IF(OR(Копия_20206[[#This Row],[Volume (in 1000 kg)]]&gt;$T$7,Копия_20206[[#This Row],[Volume (in 1000 kg)]]&lt;$T$6),"outlier","not outlier")</f>
        <v>not outlier</v>
      </c>
      <c r="M695" s="4" t="str">
        <f>IF(OR(Копия_20206[[#This Row],[Number of stores]]&gt;$U$7,Копия_20206[[#This Row],[Number of stores]]&lt;$U$6),"outlier","not outlier")</f>
        <v>not outlier</v>
      </c>
    </row>
    <row r="696" spans="1:13" x14ac:dyDescent="0.25">
      <c r="A696">
        <v>2021</v>
      </c>
      <c r="B696">
        <v>7</v>
      </c>
      <c r="C696" s="1" t="s">
        <v>25</v>
      </c>
      <c r="D696" s="1" t="s">
        <v>15</v>
      </c>
      <c r="E696" s="1" t="s">
        <v>10</v>
      </c>
      <c r="F696" s="4">
        <v>4.3243999999999998</v>
      </c>
      <c r="G696" s="4">
        <v>287.87442099999998</v>
      </c>
      <c r="H696" s="4">
        <v>0.99460000000000004</v>
      </c>
      <c r="I696">
        <v>1115</v>
      </c>
      <c r="J696" s="4" t="str">
        <f>IF(OR(Копия_20206[[#This Row],[Units (in 1000)]]&gt;$R$7,Копия_20206[[#This Row],[Units (in 1000)]]&lt;$R$6),"outlier","not outlier")</f>
        <v>not outlier</v>
      </c>
      <c r="K696" s="4" t="str">
        <f>IF(OR(Копия_20206[[#This Row],[Value (in 1000 rub)]]&gt;$S$7,Копия_20206[[#This Row],[Value (in 1000 rub)]]&lt;$S$6),"outlier","not outlier")</f>
        <v>not outlier</v>
      </c>
      <c r="L696" s="4" t="str">
        <f>IF(OR(Копия_20206[[#This Row],[Volume (in 1000 kg)]]&gt;$T$7,Копия_20206[[#This Row],[Volume (in 1000 kg)]]&lt;$T$6),"outlier","not outlier")</f>
        <v>not outlier</v>
      </c>
      <c r="M696" s="4" t="str">
        <f>IF(OR(Копия_20206[[#This Row],[Number of stores]]&gt;$U$7,Копия_20206[[#This Row],[Number of stores]]&lt;$U$6),"outlier","not outlier")</f>
        <v>not outlier</v>
      </c>
    </row>
    <row r="697" spans="1:13" x14ac:dyDescent="0.25">
      <c r="A697">
        <v>2021</v>
      </c>
      <c r="B697">
        <v>7</v>
      </c>
      <c r="C697" s="1" t="s">
        <v>25</v>
      </c>
      <c r="D697" s="1" t="s">
        <v>15</v>
      </c>
      <c r="E697" s="1" t="s">
        <v>12</v>
      </c>
      <c r="F697" s="4">
        <v>0.56310000000000004</v>
      </c>
      <c r="G697" s="4">
        <v>42.496088999999998</v>
      </c>
      <c r="H697" s="4">
        <v>0.25340000000000001</v>
      </c>
      <c r="I697">
        <v>352</v>
      </c>
      <c r="J697" s="4" t="str">
        <f>IF(OR(Копия_20206[[#This Row],[Units (in 1000)]]&gt;$R$7,Копия_20206[[#This Row],[Units (in 1000)]]&lt;$R$6),"outlier","not outlier")</f>
        <v>not outlier</v>
      </c>
      <c r="K697" s="4" t="str">
        <f>IF(OR(Копия_20206[[#This Row],[Value (in 1000 rub)]]&gt;$S$7,Копия_20206[[#This Row],[Value (in 1000 rub)]]&lt;$S$6),"outlier","not outlier")</f>
        <v>not outlier</v>
      </c>
      <c r="L697" s="4" t="str">
        <f>IF(OR(Копия_20206[[#This Row],[Volume (in 1000 kg)]]&gt;$T$7,Копия_20206[[#This Row],[Volume (in 1000 kg)]]&lt;$T$6),"outlier","not outlier")</f>
        <v>not outlier</v>
      </c>
      <c r="M697" s="4" t="str">
        <f>IF(OR(Копия_20206[[#This Row],[Number of stores]]&gt;$U$7,Копия_20206[[#This Row],[Number of stores]]&lt;$U$6),"outlier","not outlier")</f>
        <v>not outlier</v>
      </c>
    </row>
    <row r="698" spans="1:13" x14ac:dyDescent="0.25">
      <c r="A698">
        <v>2021</v>
      </c>
      <c r="B698">
        <v>7</v>
      </c>
      <c r="C698" s="1" t="s">
        <v>29</v>
      </c>
      <c r="D698" s="1" t="s">
        <v>15</v>
      </c>
      <c r="E698" s="1" t="s">
        <v>10</v>
      </c>
      <c r="F698" s="4">
        <v>0.92889999999999995</v>
      </c>
      <c r="G698" s="4">
        <v>27.907627000000002</v>
      </c>
      <c r="H698" s="4">
        <v>0.21360000000000001</v>
      </c>
      <c r="I698">
        <v>131</v>
      </c>
      <c r="J698" s="4" t="str">
        <f>IF(OR(Копия_20206[[#This Row],[Units (in 1000)]]&gt;$R$7,Копия_20206[[#This Row],[Units (in 1000)]]&lt;$R$6),"outlier","not outlier")</f>
        <v>not outlier</v>
      </c>
      <c r="K698" s="4" t="str">
        <f>IF(OR(Копия_20206[[#This Row],[Value (in 1000 rub)]]&gt;$S$7,Копия_20206[[#This Row],[Value (in 1000 rub)]]&lt;$S$6),"outlier","not outlier")</f>
        <v>not outlier</v>
      </c>
      <c r="L698" s="4" t="str">
        <f>IF(OR(Копия_20206[[#This Row],[Volume (in 1000 kg)]]&gt;$T$7,Копия_20206[[#This Row],[Volume (in 1000 kg)]]&lt;$T$6),"outlier","not outlier")</f>
        <v>not outlier</v>
      </c>
      <c r="M698" s="4" t="str">
        <f>IF(OR(Копия_20206[[#This Row],[Number of stores]]&gt;$U$7,Копия_20206[[#This Row],[Number of stores]]&lt;$U$6),"outlier","not outlier")</f>
        <v>not outlier</v>
      </c>
    </row>
    <row r="699" spans="1:13" x14ac:dyDescent="0.25">
      <c r="A699">
        <v>2021</v>
      </c>
      <c r="B699">
        <v>7</v>
      </c>
      <c r="C699" s="1" t="s">
        <v>29</v>
      </c>
      <c r="D699" s="1" t="s">
        <v>15</v>
      </c>
      <c r="E699" s="1" t="s">
        <v>12</v>
      </c>
      <c r="F699" s="4">
        <v>4.2949000000000002</v>
      </c>
      <c r="G699" s="4">
        <v>346.08365600000002</v>
      </c>
      <c r="H699" s="4">
        <v>1.9328000000000001</v>
      </c>
      <c r="I699">
        <v>1404</v>
      </c>
      <c r="J699" s="4" t="str">
        <f>IF(OR(Копия_20206[[#This Row],[Units (in 1000)]]&gt;$R$7,Копия_20206[[#This Row],[Units (in 1000)]]&lt;$R$6),"outlier","not outlier")</f>
        <v>not outlier</v>
      </c>
      <c r="K699" s="4" t="str">
        <f>IF(OR(Копия_20206[[#This Row],[Value (in 1000 rub)]]&gt;$S$7,Копия_20206[[#This Row],[Value (in 1000 rub)]]&lt;$S$6),"outlier","not outlier")</f>
        <v>not outlier</v>
      </c>
      <c r="L699" s="4" t="str">
        <f>IF(OR(Копия_20206[[#This Row],[Volume (in 1000 kg)]]&gt;$T$7,Копия_20206[[#This Row],[Volume (in 1000 kg)]]&lt;$T$6),"outlier","not outlier")</f>
        <v>not outlier</v>
      </c>
      <c r="M699" s="4" t="str">
        <f>IF(OR(Копия_20206[[#This Row],[Number of stores]]&gt;$U$7,Копия_20206[[#This Row],[Number of stores]]&lt;$U$6),"outlier","not outlier")</f>
        <v>not outlier</v>
      </c>
    </row>
    <row r="700" spans="1:13" x14ac:dyDescent="0.25">
      <c r="A700">
        <v>2021</v>
      </c>
      <c r="B700">
        <v>8</v>
      </c>
      <c r="C700" s="1" t="s">
        <v>8</v>
      </c>
      <c r="D700" s="1" t="s">
        <v>15</v>
      </c>
      <c r="E700" s="1" t="s">
        <v>10</v>
      </c>
      <c r="F700" s="4">
        <v>0.17269999999999999</v>
      </c>
      <c r="G700" s="4">
        <v>10.632906999999999</v>
      </c>
      <c r="H700" s="4">
        <v>3.9699999999999999E-2</v>
      </c>
      <c r="I700">
        <v>47</v>
      </c>
      <c r="J700" s="4" t="str">
        <f>IF(OR(Копия_20206[[#This Row],[Units (in 1000)]]&gt;$R$7,Копия_20206[[#This Row],[Units (in 1000)]]&lt;$R$6),"outlier","not outlier")</f>
        <v>not outlier</v>
      </c>
      <c r="K700" s="4" t="str">
        <f>IF(OR(Копия_20206[[#This Row],[Value (in 1000 rub)]]&gt;$S$7,Копия_20206[[#This Row],[Value (in 1000 rub)]]&lt;$S$6),"outlier","not outlier")</f>
        <v>not outlier</v>
      </c>
      <c r="L700" s="4" t="str">
        <f>IF(OR(Копия_20206[[#This Row],[Volume (in 1000 kg)]]&gt;$T$7,Копия_20206[[#This Row],[Volume (in 1000 kg)]]&lt;$T$6),"outlier","not outlier")</f>
        <v>not outlier</v>
      </c>
      <c r="M700" s="4" t="str">
        <f>IF(OR(Копия_20206[[#This Row],[Number of stores]]&gt;$U$7,Копия_20206[[#This Row],[Number of stores]]&lt;$U$6),"outlier","not outlier")</f>
        <v>not outlier</v>
      </c>
    </row>
    <row r="701" spans="1:13" x14ac:dyDescent="0.25">
      <c r="A701">
        <v>2021</v>
      </c>
      <c r="B701">
        <v>8</v>
      </c>
      <c r="C701" s="1" t="s">
        <v>8</v>
      </c>
      <c r="D701" s="1" t="s">
        <v>15</v>
      </c>
      <c r="E701" s="1" t="s">
        <v>12</v>
      </c>
      <c r="F701" s="4">
        <v>0.2233</v>
      </c>
      <c r="G701" s="4">
        <v>29.563621000000001</v>
      </c>
      <c r="H701" s="4">
        <v>0.10050000000000001</v>
      </c>
      <c r="I701">
        <v>54</v>
      </c>
      <c r="J701" s="4" t="str">
        <f>IF(OR(Копия_20206[[#This Row],[Units (in 1000)]]&gt;$R$7,Копия_20206[[#This Row],[Units (in 1000)]]&lt;$R$6),"outlier","not outlier")</f>
        <v>not outlier</v>
      </c>
      <c r="K701" s="4" t="str">
        <f>IF(OR(Копия_20206[[#This Row],[Value (in 1000 rub)]]&gt;$S$7,Копия_20206[[#This Row],[Value (in 1000 rub)]]&lt;$S$6),"outlier","not outlier")</f>
        <v>not outlier</v>
      </c>
      <c r="L701" s="4" t="str">
        <f>IF(OR(Копия_20206[[#This Row],[Volume (in 1000 kg)]]&gt;$T$7,Копия_20206[[#This Row],[Volume (in 1000 kg)]]&lt;$T$6),"outlier","not outlier")</f>
        <v>not outlier</v>
      </c>
      <c r="M701" s="4" t="str">
        <f>IF(OR(Копия_20206[[#This Row],[Number of stores]]&gt;$U$7,Копия_20206[[#This Row],[Number of stores]]&lt;$U$6),"outlier","not outlier")</f>
        <v>not outlier</v>
      </c>
    </row>
    <row r="702" spans="1:13" x14ac:dyDescent="0.25">
      <c r="A702">
        <v>2021</v>
      </c>
      <c r="B702">
        <v>8</v>
      </c>
      <c r="C702" s="1" t="s">
        <v>25</v>
      </c>
      <c r="D702" s="1" t="s">
        <v>15</v>
      </c>
      <c r="E702" s="1" t="s">
        <v>10</v>
      </c>
      <c r="F702" s="4">
        <v>2.9912999999999998</v>
      </c>
      <c r="G702" s="4">
        <v>208.89328599999999</v>
      </c>
      <c r="H702" s="4">
        <v>0.68799999999999994</v>
      </c>
      <c r="I702">
        <v>1140</v>
      </c>
      <c r="J702" s="4" t="str">
        <f>IF(OR(Копия_20206[[#This Row],[Units (in 1000)]]&gt;$R$7,Копия_20206[[#This Row],[Units (in 1000)]]&lt;$R$6),"outlier","not outlier")</f>
        <v>not outlier</v>
      </c>
      <c r="K702" s="4" t="str">
        <f>IF(OR(Копия_20206[[#This Row],[Value (in 1000 rub)]]&gt;$S$7,Копия_20206[[#This Row],[Value (in 1000 rub)]]&lt;$S$6),"outlier","not outlier")</f>
        <v>not outlier</v>
      </c>
      <c r="L702" s="4" t="str">
        <f>IF(OR(Копия_20206[[#This Row],[Volume (in 1000 kg)]]&gt;$T$7,Копия_20206[[#This Row],[Volume (in 1000 kg)]]&lt;$T$6),"outlier","not outlier")</f>
        <v>not outlier</v>
      </c>
      <c r="M702" s="4" t="str">
        <f>IF(OR(Копия_20206[[#This Row],[Number of stores]]&gt;$U$7,Копия_20206[[#This Row],[Number of stores]]&lt;$U$6),"outlier","not outlier")</f>
        <v>not outlier</v>
      </c>
    </row>
    <row r="703" spans="1:13" x14ac:dyDescent="0.25">
      <c r="A703">
        <v>2021</v>
      </c>
      <c r="B703">
        <v>8</v>
      </c>
      <c r="C703" s="1" t="s">
        <v>25</v>
      </c>
      <c r="D703" s="1" t="s">
        <v>15</v>
      </c>
      <c r="E703" s="1" t="s">
        <v>12</v>
      </c>
      <c r="F703" s="4">
        <v>0.78800000000000003</v>
      </c>
      <c r="G703" s="4">
        <v>59.614590999999997</v>
      </c>
      <c r="H703" s="4">
        <v>0.35460000000000003</v>
      </c>
      <c r="I703">
        <v>397</v>
      </c>
      <c r="J703" s="4" t="str">
        <f>IF(OR(Копия_20206[[#This Row],[Units (in 1000)]]&gt;$R$7,Копия_20206[[#This Row],[Units (in 1000)]]&lt;$R$6),"outlier","not outlier")</f>
        <v>not outlier</v>
      </c>
      <c r="K703" s="4" t="str">
        <f>IF(OR(Копия_20206[[#This Row],[Value (in 1000 rub)]]&gt;$S$7,Копия_20206[[#This Row],[Value (in 1000 rub)]]&lt;$S$6),"outlier","not outlier")</f>
        <v>not outlier</v>
      </c>
      <c r="L703" s="4" t="str">
        <f>IF(OR(Копия_20206[[#This Row],[Volume (in 1000 kg)]]&gt;$T$7,Копия_20206[[#This Row],[Volume (in 1000 kg)]]&lt;$T$6),"outlier","not outlier")</f>
        <v>not outlier</v>
      </c>
      <c r="M703" s="4" t="str">
        <f>IF(OR(Копия_20206[[#This Row],[Number of stores]]&gt;$U$7,Копия_20206[[#This Row],[Number of stores]]&lt;$U$6),"outlier","not outlier")</f>
        <v>not outlier</v>
      </c>
    </row>
    <row r="704" spans="1:13" x14ac:dyDescent="0.25">
      <c r="A704">
        <v>2021</v>
      </c>
      <c r="B704">
        <v>8</v>
      </c>
      <c r="C704" s="1" t="s">
        <v>29</v>
      </c>
      <c r="D704" s="1" t="s">
        <v>15</v>
      </c>
      <c r="E704" s="1" t="s">
        <v>10</v>
      </c>
      <c r="F704" s="4">
        <v>0.84609999999999996</v>
      </c>
      <c r="G704" s="4">
        <v>20.953447000000001</v>
      </c>
      <c r="H704" s="4">
        <v>0.1946</v>
      </c>
      <c r="I704">
        <v>105</v>
      </c>
      <c r="J704" s="4" t="str">
        <f>IF(OR(Копия_20206[[#This Row],[Units (in 1000)]]&gt;$R$7,Копия_20206[[#This Row],[Units (in 1000)]]&lt;$R$6),"outlier","not outlier")</f>
        <v>not outlier</v>
      </c>
      <c r="K704" s="4" t="str">
        <f>IF(OR(Копия_20206[[#This Row],[Value (in 1000 rub)]]&gt;$S$7,Копия_20206[[#This Row],[Value (in 1000 rub)]]&lt;$S$6),"outlier","not outlier")</f>
        <v>not outlier</v>
      </c>
      <c r="L704" s="4" t="str">
        <f>IF(OR(Копия_20206[[#This Row],[Volume (in 1000 kg)]]&gt;$T$7,Копия_20206[[#This Row],[Volume (in 1000 kg)]]&lt;$T$6),"outlier","not outlier")</f>
        <v>not outlier</v>
      </c>
      <c r="M704" s="4" t="str">
        <f>IF(OR(Копия_20206[[#This Row],[Number of stores]]&gt;$U$7,Копия_20206[[#This Row],[Number of stores]]&lt;$U$6),"outlier","not outlier")</f>
        <v>not outlier</v>
      </c>
    </row>
    <row r="705" spans="1:13" x14ac:dyDescent="0.25">
      <c r="A705">
        <v>2021</v>
      </c>
      <c r="B705">
        <v>8</v>
      </c>
      <c r="C705" s="1" t="s">
        <v>29</v>
      </c>
      <c r="D705" s="1" t="s">
        <v>15</v>
      </c>
      <c r="E705" s="1" t="s">
        <v>12</v>
      </c>
      <c r="F705" s="4">
        <v>2.2252999999999998</v>
      </c>
      <c r="G705" s="4">
        <v>170.72738099999998</v>
      </c>
      <c r="H705" s="4">
        <v>1.0014000000000001</v>
      </c>
      <c r="I705">
        <v>1025</v>
      </c>
      <c r="J705" s="4" t="str">
        <f>IF(OR(Копия_20206[[#This Row],[Units (in 1000)]]&gt;$R$7,Копия_20206[[#This Row],[Units (in 1000)]]&lt;$R$6),"outlier","not outlier")</f>
        <v>not outlier</v>
      </c>
      <c r="K705" s="4" t="str">
        <f>IF(OR(Копия_20206[[#This Row],[Value (in 1000 rub)]]&gt;$S$7,Копия_20206[[#This Row],[Value (in 1000 rub)]]&lt;$S$6),"outlier","not outlier")</f>
        <v>not outlier</v>
      </c>
      <c r="L705" s="4" t="str">
        <f>IF(OR(Копия_20206[[#This Row],[Volume (in 1000 kg)]]&gt;$T$7,Копия_20206[[#This Row],[Volume (in 1000 kg)]]&lt;$T$6),"outlier","not outlier")</f>
        <v>not outlier</v>
      </c>
      <c r="M705" s="4" t="str">
        <f>IF(OR(Копия_20206[[#This Row],[Number of stores]]&gt;$U$7,Копия_20206[[#This Row],[Number of stores]]&lt;$U$6),"outlier","not outlier")</f>
        <v>not outlier</v>
      </c>
    </row>
    <row r="706" spans="1:13" x14ac:dyDescent="0.25">
      <c r="A706">
        <v>2021</v>
      </c>
      <c r="B706">
        <v>9</v>
      </c>
      <c r="C706" s="1" t="s">
        <v>25</v>
      </c>
      <c r="D706" s="1" t="s">
        <v>15</v>
      </c>
      <c r="E706" s="1" t="s">
        <v>10</v>
      </c>
      <c r="F706" s="4">
        <v>2.1857000000000002</v>
      </c>
      <c r="G706" s="4">
        <v>149.31264300000001</v>
      </c>
      <c r="H706" s="4">
        <v>0.50270000000000004</v>
      </c>
      <c r="I706">
        <v>899</v>
      </c>
      <c r="J706" s="4" t="str">
        <f>IF(OR(Копия_20206[[#This Row],[Units (in 1000)]]&gt;$R$7,Копия_20206[[#This Row],[Units (in 1000)]]&lt;$R$6),"outlier","not outlier")</f>
        <v>not outlier</v>
      </c>
      <c r="K706" s="4" t="str">
        <f>IF(OR(Копия_20206[[#This Row],[Value (in 1000 rub)]]&gt;$S$7,Копия_20206[[#This Row],[Value (in 1000 rub)]]&lt;$S$6),"outlier","not outlier")</f>
        <v>not outlier</v>
      </c>
      <c r="L706" s="4" t="str">
        <f>IF(OR(Копия_20206[[#This Row],[Volume (in 1000 kg)]]&gt;$T$7,Копия_20206[[#This Row],[Volume (in 1000 kg)]]&lt;$T$6),"outlier","not outlier")</f>
        <v>not outlier</v>
      </c>
      <c r="M706" s="4" t="str">
        <f>IF(OR(Копия_20206[[#This Row],[Number of stores]]&gt;$U$7,Копия_20206[[#This Row],[Number of stores]]&lt;$U$6),"outlier","not outlier")</f>
        <v>not outlier</v>
      </c>
    </row>
    <row r="707" spans="1:13" x14ac:dyDescent="0.25">
      <c r="A707">
        <v>2021</v>
      </c>
      <c r="B707">
        <v>9</v>
      </c>
      <c r="C707" s="1" t="s">
        <v>25</v>
      </c>
      <c r="D707" s="1" t="s">
        <v>15</v>
      </c>
      <c r="E707" s="1" t="s">
        <v>12</v>
      </c>
      <c r="F707" s="4">
        <v>0.42749999999999999</v>
      </c>
      <c r="G707" s="4">
        <v>35.983108999999999</v>
      </c>
      <c r="H707" s="4">
        <v>0.19239999999999999</v>
      </c>
      <c r="I707">
        <v>320</v>
      </c>
      <c r="J707" s="4" t="str">
        <f>IF(OR(Копия_20206[[#This Row],[Units (in 1000)]]&gt;$R$7,Копия_20206[[#This Row],[Units (in 1000)]]&lt;$R$6),"outlier","not outlier")</f>
        <v>not outlier</v>
      </c>
      <c r="K707" s="4" t="str">
        <f>IF(OR(Копия_20206[[#This Row],[Value (in 1000 rub)]]&gt;$S$7,Копия_20206[[#This Row],[Value (in 1000 rub)]]&lt;$S$6),"outlier","not outlier")</f>
        <v>not outlier</v>
      </c>
      <c r="L707" s="4" t="str">
        <f>IF(OR(Копия_20206[[#This Row],[Volume (in 1000 kg)]]&gt;$T$7,Копия_20206[[#This Row],[Volume (in 1000 kg)]]&lt;$T$6),"outlier","not outlier")</f>
        <v>not outlier</v>
      </c>
      <c r="M707" s="4" t="str">
        <f>IF(OR(Копия_20206[[#This Row],[Number of stores]]&gt;$U$7,Копия_20206[[#This Row],[Number of stores]]&lt;$U$6),"outlier","not outlier")</f>
        <v>not outlier</v>
      </c>
    </row>
    <row r="708" spans="1:13" x14ac:dyDescent="0.25">
      <c r="A708">
        <v>2021</v>
      </c>
      <c r="B708">
        <v>10</v>
      </c>
      <c r="C708" s="1" t="s">
        <v>25</v>
      </c>
      <c r="D708" s="1" t="s">
        <v>15</v>
      </c>
      <c r="E708" s="1" t="s">
        <v>10</v>
      </c>
      <c r="F708" s="4">
        <v>2.1932999999999998</v>
      </c>
      <c r="G708" s="4">
        <v>156.285721</v>
      </c>
      <c r="H708" s="4">
        <v>0.50449999999999995</v>
      </c>
      <c r="I708">
        <v>739</v>
      </c>
      <c r="J708" s="4" t="str">
        <f>IF(OR(Копия_20206[[#This Row],[Units (in 1000)]]&gt;$R$7,Копия_20206[[#This Row],[Units (in 1000)]]&lt;$R$6),"outlier","not outlier")</f>
        <v>not outlier</v>
      </c>
      <c r="K708" s="4" t="str">
        <f>IF(OR(Копия_20206[[#This Row],[Value (in 1000 rub)]]&gt;$S$7,Копия_20206[[#This Row],[Value (in 1000 rub)]]&lt;$S$6),"outlier","not outlier")</f>
        <v>not outlier</v>
      </c>
      <c r="L708" s="4" t="str">
        <f>IF(OR(Копия_20206[[#This Row],[Volume (in 1000 kg)]]&gt;$T$7,Копия_20206[[#This Row],[Volume (in 1000 kg)]]&lt;$T$6),"outlier","not outlier")</f>
        <v>not outlier</v>
      </c>
      <c r="M708" s="4" t="str">
        <f>IF(OR(Копия_20206[[#This Row],[Number of stores]]&gt;$U$7,Копия_20206[[#This Row],[Number of stores]]&lt;$U$6),"outlier","not outlier")</f>
        <v>not outlier</v>
      </c>
    </row>
    <row r="709" spans="1:13" x14ac:dyDescent="0.25">
      <c r="A709">
        <v>2021</v>
      </c>
      <c r="B709">
        <v>10</v>
      </c>
      <c r="C709" s="1" t="s">
        <v>25</v>
      </c>
      <c r="D709" s="1" t="s">
        <v>15</v>
      </c>
      <c r="E709" s="1" t="s">
        <v>12</v>
      </c>
      <c r="F709" s="4">
        <v>0.20899999999999999</v>
      </c>
      <c r="G709" s="4">
        <v>18.574318999999999</v>
      </c>
      <c r="H709" s="4">
        <v>9.4E-2</v>
      </c>
      <c r="I709">
        <v>193</v>
      </c>
      <c r="J709" s="4" t="str">
        <f>IF(OR(Копия_20206[[#This Row],[Units (in 1000)]]&gt;$R$7,Копия_20206[[#This Row],[Units (in 1000)]]&lt;$R$6),"outlier","not outlier")</f>
        <v>not outlier</v>
      </c>
      <c r="K709" s="4" t="str">
        <f>IF(OR(Копия_20206[[#This Row],[Value (in 1000 rub)]]&gt;$S$7,Копия_20206[[#This Row],[Value (in 1000 rub)]]&lt;$S$6),"outlier","not outlier")</f>
        <v>not outlier</v>
      </c>
      <c r="L709" s="4" t="str">
        <f>IF(OR(Копия_20206[[#This Row],[Volume (in 1000 kg)]]&gt;$T$7,Копия_20206[[#This Row],[Volume (in 1000 kg)]]&lt;$T$6),"outlier","not outlier")</f>
        <v>not outlier</v>
      </c>
      <c r="M709" s="4" t="str">
        <f>IF(OR(Копия_20206[[#This Row],[Number of stores]]&gt;$U$7,Копия_20206[[#This Row],[Number of stores]]&lt;$U$6),"outlier","not outlier")</f>
        <v>not outlier</v>
      </c>
    </row>
    <row r="710" spans="1:13" x14ac:dyDescent="0.25">
      <c r="A710">
        <v>2021</v>
      </c>
      <c r="B710">
        <v>11</v>
      </c>
      <c r="C710" s="1" t="s">
        <v>25</v>
      </c>
      <c r="D710" s="1" t="s">
        <v>15</v>
      </c>
      <c r="E710" s="1" t="s">
        <v>10</v>
      </c>
      <c r="F710" s="4">
        <v>2.0573000000000001</v>
      </c>
      <c r="G710" s="4">
        <v>141.77735699999999</v>
      </c>
      <c r="H710" s="4">
        <v>0.47320000000000001</v>
      </c>
      <c r="I710">
        <v>673</v>
      </c>
      <c r="J710" s="4" t="str">
        <f>IF(OR(Копия_20206[[#This Row],[Units (in 1000)]]&gt;$R$7,Копия_20206[[#This Row],[Units (in 1000)]]&lt;$R$6),"outlier","not outlier")</f>
        <v>not outlier</v>
      </c>
      <c r="K710" s="4" t="str">
        <f>IF(OR(Копия_20206[[#This Row],[Value (in 1000 rub)]]&gt;$S$7,Копия_20206[[#This Row],[Value (in 1000 rub)]]&lt;$S$6),"outlier","not outlier")</f>
        <v>not outlier</v>
      </c>
      <c r="L710" s="4" t="str">
        <f>IF(OR(Копия_20206[[#This Row],[Volume (in 1000 kg)]]&gt;$T$7,Копия_20206[[#This Row],[Volume (in 1000 kg)]]&lt;$T$6),"outlier","not outlier")</f>
        <v>not outlier</v>
      </c>
      <c r="M710" s="4" t="str">
        <f>IF(OR(Копия_20206[[#This Row],[Number of stores]]&gt;$U$7,Копия_20206[[#This Row],[Number of stores]]&lt;$U$6),"outlier","not outlier")</f>
        <v>not outlier</v>
      </c>
    </row>
    <row r="711" spans="1:13" x14ac:dyDescent="0.25">
      <c r="A711">
        <v>2021</v>
      </c>
      <c r="B711">
        <v>11</v>
      </c>
      <c r="C711" s="1" t="s">
        <v>25</v>
      </c>
      <c r="D711" s="1" t="s">
        <v>15</v>
      </c>
      <c r="E711" s="1" t="s">
        <v>12</v>
      </c>
      <c r="F711" s="4">
        <v>0.1111</v>
      </c>
      <c r="G711" s="4">
        <v>9.8325270000000007</v>
      </c>
      <c r="H711" s="4">
        <v>0.05</v>
      </c>
      <c r="I711">
        <v>111</v>
      </c>
      <c r="J711" s="4" t="str">
        <f>IF(OR(Копия_20206[[#This Row],[Units (in 1000)]]&gt;$R$7,Копия_20206[[#This Row],[Units (in 1000)]]&lt;$R$6),"outlier","not outlier")</f>
        <v>not outlier</v>
      </c>
      <c r="K711" s="4" t="str">
        <f>IF(OR(Копия_20206[[#This Row],[Value (in 1000 rub)]]&gt;$S$7,Копия_20206[[#This Row],[Value (in 1000 rub)]]&lt;$S$6),"outlier","not outlier")</f>
        <v>not outlier</v>
      </c>
      <c r="L711" s="4" t="str">
        <f>IF(OR(Копия_20206[[#This Row],[Volume (in 1000 kg)]]&gt;$T$7,Копия_20206[[#This Row],[Volume (in 1000 kg)]]&lt;$T$6),"outlier","not outlier")</f>
        <v>not outlier</v>
      </c>
      <c r="M711" s="4" t="str">
        <f>IF(OR(Копия_20206[[#This Row],[Number of stores]]&gt;$U$7,Копия_20206[[#This Row],[Number of stores]]&lt;$U$6),"outlier","not outlier")</f>
        <v>not outlier</v>
      </c>
    </row>
    <row r="712" spans="1:13" x14ac:dyDescent="0.25">
      <c r="A712">
        <v>2021</v>
      </c>
      <c r="B712">
        <v>12</v>
      </c>
      <c r="C712" s="1" t="s">
        <v>25</v>
      </c>
      <c r="D712" s="1" t="s">
        <v>15</v>
      </c>
      <c r="E712" s="1" t="s">
        <v>10</v>
      </c>
      <c r="F712" s="4">
        <v>1.9184000000000001</v>
      </c>
      <c r="G712" s="4">
        <v>134.078957</v>
      </c>
      <c r="H712" s="4">
        <v>0.44130000000000003</v>
      </c>
      <c r="I712">
        <v>623</v>
      </c>
      <c r="J712" s="4" t="str">
        <f>IF(OR(Копия_20206[[#This Row],[Units (in 1000)]]&gt;$R$7,Копия_20206[[#This Row],[Units (in 1000)]]&lt;$R$6),"outlier","not outlier")</f>
        <v>not outlier</v>
      </c>
      <c r="K712" s="4" t="str">
        <f>IF(OR(Копия_20206[[#This Row],[Value (in 1000 rub)]]&gt;$S$7,Копия_20206[[#This Row],[Value (in 1000 rub)]]&lt;$S$6),"outlier","not outlier")</f>
        <v>not outlier</v>
      </c>
      <c r="L712" s="4" t="str">
        <f>IF(OR(Копия_20206[[#This Row],[Volume (in 1000 kg)]]&gt;$T$7,Копия_20206[[#This Row],[Volume (in 1000 kg)]]&lt;$T$6),"outlier","not outlier")</f>
        <v>not outlier</v>
      </c>
      <c r="M712" s="4" t="str">
        <f>IF(OR(Копия_20206[[#This Row],[Number of stores]]&gt;$U$7,Копия_20206[[#This Row],[Number of stores]]&lt;$U$6),"outlier","not outlier")</f>
        <v>not outlier</v>
      </c>
    </row>
    <row r="713" spans="1:13" x14ac:dyDescent="0.25">
      <c r="A713">
        <v>2021</v>
      </c>
      <c r="B713">
        <v>12</v>
      </c>
      <c r="C713" s="1" t="s">
        <v>25</v>
      </c>
      <c r="D713" s="1" t="s">
        <v>15</v>
      </c>
      <c r="E713" s="1" t="s">
        <v>12</v>
      </c>
      <c r="F713" s="4">
        <v>8.8700000000000001E-2</v>
      </c>
      <c r="G713" s="4">
        <v>7.7540969999999998</v>
      </c>
      <c r="H713" s="4">
        <v>3.9800000000000002E-2</v>
      </c>
      <c r="I713">
        <v>134</v>
      </c>
      <c r="J713" s="4" t="str">
        <f>IF(OR(Копия_20206[[#This Row],[Units (in 1000)]]&gt;$R$7,Копия_20206[[#This Row],[Units (in 1000)]]&lt;$R$6),"outlier","not outlier")</f>
        <v>not outlier</v>
      </c>
      <c r="K713" s="4" t="str">
        <f>IF(OR(Копия_20206[[#This Row],[Value (in 1000 rub)]]&gt;$S$7,Копия_20206[[#This Row],[Value (in 1000 rub)]]&lt;$S$6),"outlier","not outlier")</f>
        <v>not outlier</v>
      </c>
      <c r="L713" s="4" t="str">
        <f>IF(OR(Копия_20206[[#This Row],[Volume (in 1000 kg)]]&gt;$T$7,Копия_20206[[#This Row],[Volume (in 1000 kg)]]&lt;$T$6),"outlier","not outlier")</f>
        <v>not outlier</v>
      </c>
      <c r="M713" s="4" t="str">
        <f>IF(OR(Копия_20206[[#This Row],[Number of stores]]&gt;$U$7,Копия_20206[[#This Row],[Number of stores]]&lt;$U$6),"outlier","not outlier")</f>
        <v>not outlier</v>
      </c>
    </row>
    <row r="714" spans="1:13" x14ac:dyDescent="0.25">
      <c r="A714">
        <v>2021</v>
      </c>
      <c r="B714">
        <v>1</v>
      </c>
      <c r="C714" s="1" t="s">
        <v>8</v>
      </c>
      <c r="D714" s="1" t="s">
        <v>14</v>
      </c>
      <c r="E714" s="1" t="s">
        <v>10</v>
      </c>
      <c r="F714" s="4">
        <v>5.0900000000000001E-2</v>
      </c>
      <c r="G714" s="4">
        <v>5.6289210000000001</v>
      </c>
      <c r="H714" s="4">
        <v>1.01E-2</v>
      </c>
      <c r="I714">
        <v>6</v>
      </c>
      <c r="J714" s="4" t="str">
        <f>IF(OR(Копия_20206[[#This Row],[Units (in 1000)]]&gt;$R$7,Копия_20206[[#This Row],[Units (in 1000)]]&lt;$R$6),"outlier","not outlier")</f>
        <v>not outlier</v>
      </c>
      <c r="K714" s="4" t="str">
        <f>IF(OR(Копия_20206[[#This Row],[Value (in 1000 rub)]]&gt;$S$7,Копия_20206[[#This Row],[Value (in 1000 rub)]]&lt;$S$6),"outlier","not outlier")</f>
        <v>not outlier</v>
      </c>
      <c r="L714" s="4" t="str">
        <f>IF(OR(Копия_20206[[#This Row],[Volume (in 1000 kg)]]&gt;$T$7,Копия_20206[[#This Row],[Volume (in 1000 kg)]]&lt;$T$6),"outlier","not outlier")</f>
        <v>not outlier</v>
      </c>
      <c r="M714" s="4" t="str">
        <f>IF(OR(Копия_20206[[#This Row],[Number of stores]]&gt;$U$7,Копия_20206[[#This Row],[Number of stores]]&lt;$U$6),"outlier","not outlier")</f>
        <v>not outlier</v>
      </c>
    </row>
    <row r="715" spans="1:13" x14ac:dyDescent="0.25">
      <c r="A715">
        <v>2021</v>
      </c>
      <c r="B715">
        <v>1</v>
      </c>
      <c r="C715" s="1" t="s">
        <v>8</v>
      </c>
      <c r="D715" s="1" t="s">
        <v>14</v>
      </c>
      <c r="E715" s="1" t="s">
        <v>12</v>
      </c>
      <c r="F715" s="4">
        <v>32.549199999999999</v>
      </c>
      <c r="G715" s="4">
        <v>5589.6700229999997</v>
      </c>
      <c r="H715" s="4">
        <v>13.019600000000001</v>
      </c>
      <c r="I715">
        <v>658</v>
      </c>
      <c r="J715" s="4" t="str">
        <f>IF(OR(Копия_20206[[#This Row],[Units (in 1000)]]&gt;$R$7,Копия_20206[[#This Row],[Units (in 1000)]]&lt;$R$6),"outlier","not outlier")</f>
        <v>outlier</v>
      </c>
      <c r="K715" s="4" t="str">
        <f>IF(OR(Копия_20206[[#This Row],[Value (in 1000 rub)]]&gt;$S$7,Копия_20206[[#This Row],[Value (in 1000 rub)]]&lt;$S$6),"outlier","not outlier")</f>
        <v>outlier</v>
      </c>
      <c r="L715" s="4" t="str">
        <f>IF(OR(Копия_20206[[#This Row],[Volume (in 1000 kg)]]&gt;$T$7,Копия_20206[[#This Row],[Volume (in 1000 kg)]]&lt;$T$6),"outlier","not outlier")</f>
        <v>outlier</v>
      </c>
      <c r="M715" s="4" t="str">
        <f>IF(OR(Копия_20206[[#This Row],[Number of stores]]&gt;$U$7,Копия_20206[[#This Row],[Number of stores]]&lt;$U$6),"outlier","not outlier")</f>
        <v>not outlier</v>
      </c>
    </row>
    <row r="716" spans="1:13" x14ac:dyDescent="0.25">
      <c r="A716">
        <v>2021</v>
      </c>
      <c r="B716">
        <v>1</v>
      </c>
      <c r="C716" s="1" t="s">
        <v>25</v>
      </c>
      <c r="D716" s="1" t="s">
        <v>14</v>
      </c>
      <c r="E716" s="1" t="s">
        <v>10</v>
      </c>
      <c r="F716" s="4">
        <v>1.09E-2</v>
      </c>
      <c r="G716" s="4">
        <v>0.976688</v>
      </c>
      <c r="H716" s="4">
        <v>2.2000000000000001E-3</v>
      </c>
      <c r="I716">
        <v>2</v>
      </c>
      <c r="J716" s="4" t="str">
        <f>IF(OR(Копия_20206[[#This Row],[Units (in 1000)]]&gt;$R$7,Копия_20206[[#This Row],[Units (in 1000)]]&lt;$R$6),"outlier","not outlier")</f>
        <v>not outlier</v>
      </c>
      <c r="K716" s="4" t="str">
        <f>IF(OR(Копия_20206[[#This Row],[Value (in 1000 rub)]]&gt;$S$7,Копия_20206[[#This Row],[Value (in 1000 rub)]]&lt;$S$6),"outlier","not outlier")</f>
        <v>not outlier</v>
      </c>
      <c r="L716" s="4" t="str">
        <f>IF(OR(Копия_20206[[#This Row],[Volume (in 1000 kg)]]&gt;$T$7,Копия_20206[[#This Row],[Volume (in 1000 kg)]]&lt;$T$6),"outlier","not outlier")</f>
        <v>not outlier</v>
      </c>
      <c r="M716" s="4" t="str">
        <f>IF(OR(Копия_20206[[#This Row],[Number of stores]]&gt;$U$7,Копия_20206[[#This Row],[Number of stores]]&lt;$U$6),"outlier","not outlier")</f>
        <v>not outlier</v>
      </c>
    </row>
    <row r="717" spans="1:13" x14ac:dyDescent="0.25">
      <c r="A717">
        <v>2021</v>
      </c>
      <c r="B717">
        <v>1</v>
      </c>
      <c r="C717" s="1" t="s">
        <v>25</v>
      </c>
      <c r="D717" s="1" t="s">
        <v>14</v>
      </c>
      <c r="E717" s="1" t="s">
        <v>12</v>
      </c>
      <c r="F717" s="4">
        <v>6.601</v>
      </c>
      <c r="G717" s="4">
        <v>1395.983538</v>
      </c>
      <c r="H717" s="4">
        <v>2.6402999999999999</v>
      </c>
      <c r="I717">
        <v>704</v>
      </c>
      <c r="J717" s="4" t="str">
        <f>IF(OR(Копия_20206[[#This Row],[Units (in 1000)]]&gt;$R$7,Копия_20206[[#This Row],[Units (in 1000)]]&lt;$R$6),"outlier","not outlier")</f>
        <v>not outlier</v>
      </c>
      <c r="K717" s="4" t="str">
        <f>IF(OR(Копия_20206[[#This Row],[Value (in 1000 rub)]]&gt;$S$7,Копия_20206[[#This Row],[Value (in 1000 rub)]]&lt;$S$6),"outlier","not outlier")</f>
        <v>not outlier</v>
      </c>
      <c r="L717" s="4" t="str">
        <f>IF(OR(Копия_20206[[#This Row],[Volume (in 1000 kg)]]&gt;$T$7,Копия_20206[[#This Row],[Volume (in 1000 kg)]]&lt;$T$6),"outlier","not outlier")</f>
        <v>not outlier</v>
      </c>
      <c r="M717" s="4" t="str">
        <f>IF(OR(Копия_20206[[#This Row],[Number of stores]]&gt;$U$7,Копия_20206[[#This Row],[Number of stores]]&lt;$U$6),"outlier","not outlier")</f>
        <v>not outlier</v>
      </c>
    </row>
    <row r="718" spans="1:13" x14ac:dyDescent="0.25">
      <c r="A718">
        <v>2021</v>
      </c>
      <c r="B718">
        <v>1</v>
      </c>
      <c r="C718" s="1" t="s">
        <v>29</v>
      </c>
      <c r="D718" s="1" t="s">
        <v>14</v>
      </c>
      <c r="E718" s="1" t="s">
        <v>10</v>
      </c>
      <c r="F718" s="4">
        <v>5.1999999999999998E-3</v>
      </c>
      <c r="G718" s="4">
        <v>0.65536899999999998</v>
      </c>
      <c r="H718" s="4">
        <v>1.1000000000000001E-3</v>
      </c>
      <c r="I718">
        <v>2</v>
      </c>
      <c r="J718" s="4" t="str">
        <f>IF(OR(Копия_20206[[#This Row],[Units (in 1000)]]&gt;$R$7,Копия_20206[[#This Row],[Units (in 1000)]]&lt;$R$6),"outlier","not outlier")</f>
        <v>not outlier</v>
      </c>
      <c r="K718" s="4" t="str">
        <f>IF(OR(Копия_20206[[#This Row],[Value (in 1000 rub)]]&gt;$S$7,Копия_20206[[#This Row],[Value (in 1000 rub)]]&lt;$S$6),"outlier","not outlier")</f>
        <v>not outlier</v>
      </c>
      <c r="L718" s="4" t="str">
        <f>IF(OR(Копия_20206[[#This Row],[Volume (in 1000 kg)]]&gt;$T$7,Копия_20206[[#This Row],[Volume (in 1000 kg)]]&lt;$T$6),"outlier","not outlier")</f>
        <v>not outlier</v>
      </c>
      <c r="M718" s="4" t="str">
        <f>IF(OR(Копия_20206[[#This Row],[Number of stores]]&gt;$U$7,Копия_20206[[#This Row],[Number of stores]]&lt;$U$6),"outlier","not outlier")</f>
        <v>not outlier</v>
      </c>
    </row>
    <row r="719" spans="1:13" x14ac:dyDescent="0.25">
      <c r="A719">
        <v>2021</v>
      </c>
      <c r="B719">
        <v>1</v>
      </c>
      <c r="C719" s="1" t="s">
        <v>29</v>
      </c>
      <c r="D719" s="1" t="s">
        <v>14</v>
      </c>
      <c r="E719" s="1" t="s">
        <v>12</v>
      </c>
      <c r="F719" s="4">
        <v>49.695099999999996</v>
      </c>
      <c r="G719" s="4">
        <v>8107.0834329999998</v>
      </c>
      <c r="H719" s="4">
        <v>19.878</v>
      </c>
      <c r="I719">
        <v>1820</v>
      </c>
      <c r="J719" s="4" t="str">
        <f>IF(OR(Копия_20206[[#This Row],[Units (in 1000)]]&gt;$R$7,Копия_20206[[#This Row],[Units (in 1000)]]&lt;$R$6),"outlier","not outlier")</f>
        <v>outlier</v>
      </c>
      <c r="K719" s="4" t="str">
        <f>IF(OR(Копия_20206[[#This Row],[Value (in 1000 rub)]]&gt;$S$7,Копия_20206[[#This Row],[Value (in 1000 rub)]]&lt;$S$6),"outlier","not outlier")</f>
        <v>outlier</v>
      </c>
      <c r="L719" s="4" t="str">
        <f>IF(OR(Копия_20206[[#This Row],[Volume (in 1000 kg)]]&gt;$T$7,Копия_20206[[#This Row],[Volume (in 1000 kg)]]&lt;$T$6),"outlier","not outlier")</f>
        <v>outlier</v>
      </c>
      <c r="M719" s="4" t="str">
        <f>IF(OR(Копия_20206[[#This Row],[Number of stores]]&gt;$U$7,Копия_20206[[#This Row],[Number of stores]]&lt;$U$6),"outlier","not outlier")</f>
        <v>not outlier</v>
      </c>
    </row>
    <row r="720" spans="1:13" x14ac:dyDescent="0.25">
      <c r="A720">
        <v>2021</v>
      </c>
      <c r="B720">
        <v>2</v>
      </c>
      <c r="C720" s="1" t="s">
        <v>8</v>
      </c>
      <c r="D720" s="1" t="s">
        <v>14</v>
      </c>
      <c r="E720" s="1" t="s">
        <v>10</v>
      </c>
      <c r="F720" s="4">
        <v>7.5300000000000006E-2</v>
      </c>
      <c r="G720" s="4">
        <v>8.4115210000000005</v>
      </c>
      <c r="H720" s="4">
        <v>1.5100000000000001E-2</v>
      </c>
      <c r="I720">
        <v>10</v>
      </c>
      <c r="J720" s="4" t="str">
        <f>IF(OR(Копия_20206[[#This Row],[Units (in 1000)]]&gt;$R$7,Копия_20206[[#This Row],[Units (in 1000)]]&lt;$R$6),"outlier","not outlier")</f>
        <v>not outlier</v>
      </c>
      <c r="K720" s="4" t="str">
        <f>IF(OR(Копия_20206[[#This Row],[Value (in 1000 rub)]]&gt;$S$7,Копия_20206[[#This Row],[Value (in 1000 rub)]]&lt;$S$6),"outlier","not outlier")</f>
        <v>not outlier</v>
      </c>
      <c r="L720" s="4" t="str">
        <f>IF(OR(Копия_20206[[#This Row],[Volume (in 1000 kg)]]&gt;$T$7,Копия_20206[[#This Row],[Volume (in 1000 kg)]]&lt;$T$6),"outlier","not outlier")</f>
        <v>not outlier</v>
      </c>
      <c r="M720" s="4" t="str">
        <f>IF(OR(Копия_20206[[#This Row],[Number of stores]]&gt;$U$7,Копия_20206[[#This Row],[Number of stores]]&lt;$U$6),"outlier","not outlier")</f>
        <v>not outlier</v>
      </c>
    </row>
    <row r="721" spans="1:13" x14ac:dyDescent="0.25">
      <c r="A721">
        <v>2021</v>
      </c>
      <c r="B721">
        <v>2</v>
      </c>
      <c r="C721" s="1" t="s">
        <v>8</v>
      </c>
      <c r="D721" s="1" t="s">
        <v>14</v>
      </c>
      <c r="E721" s="1" t="s">
        <v>12</v>
      </c>
      <c r="F721" s="4">
        <v>21.940899999999999</v>
      </c>
      <c r="G721" s="4">
        <v>4399.8657979999998</v>
      </c>
      <c r="H721" s="4">
        <v>8.7763000000000009</v>
      </c>
      <c r="I721">
        <v>668</v>
      </c>
      <c r="J721" s="4" t="str">
        <f>IF(OR(Копия_20206[[#This Row],[Units (in 1000)]]&gt;$R$7,Копия_20206[[#This Row],[Units (in 1000)]]&lt;$R$6),"outlier","not outlier")</f>
        <v>not outlier</v>
      </c>
      <c r="K721" s="4" t="str">
        <f>IF(OR(Копия_20206[[#This Row],[Value (in 1000 rub)]]&gt;$S$7,Копия_20206[[#This Row],[Value (in 1000 rub)]]&lt;$S$6),"outlier","not outlier")</f>
        <v>outlier</v>
      </c>
      <c r="L721" s="4" t="str">
        <f>IF(OR(Копия_20206[[#This Row],[Volume (in 1000 kg)]]&gt;$T$7,Копия_20206[[#This Row],[Volume (in 1000 kg)]]&lt;$T$6),"outlier","not outlier")</f>
        <v>outlier</v>
      </c>
      <c r="M721" s="4" t="str">
        <f>IF(OR(Копия_20206[[#This Row],[Number of stores]]&gt;$U$7,Копия_20206[[#This Row],[Number of stores]]&lt;$U$6),"outlier","not outlier")</f>
        <v>not outlier</v>
      </c>
    </row>
    <row r="722" spans="1:13" x14ac:dyDescent="0.25">
      <c r="A722">
        <v>2021</v>
      </c>
      <c r="B722">
        <v>2</v>
      </c>
      <c r="C722" s="1" t="s">
        <v>25</v>
      </c>
      <c r="D722" s="1" t="s">
        <v>14</v>
      </c>
      <c r="E722" s="1" t="s">
        <v>10</v>
      </c>
      <c r="F722" s="4">
        <v>4.4000000000000003E-3</v>
      </c>
      <c r="G722" s="4">
        <v>0.38570199999999999</v>
      </c>
      <c r="H722" s="4">
        <v>8.9999999999999998E-4</v>
      </c>
      <c r="I722">
        <v>2</v>
      </c>
      <c r="J722" s="4" t="str">
        <f>IF(OR(Копия_20206[[#This Row],[Units (in 1000)]]&gt;$R$7,Копия_20206[[#This Row],[Units (in 1000)]]&lt;$R$6),"outlier","not outlier")</f>
        <v>not outlier</v>
      </c>
      <c r="K722" s="4" t="str">
        <f>IF(OR(Копия_20206[[#This Row],[Value (in 1000 rub)]]&gt;$S$7,Копия_20206[[#This Row],[Value (in 1000 rub)]]&lt;$S$6),"outlier","not outlier")</f>
        <v>not outlier</v>
      </c>
      <c r="L722" s="4" t="str">
        <f>IF(OR(Копия_20206[[#This Row],[Volume (in 1000 kg)]]&gt;$T$7,Копия_20206[[#This Row],[Volume (in 1000 kg)]]&lt;$T$6),"outlier","not outlier")</f>
        <v>not outlier</v>
      </c>
      <c r="M722" s="4" t="str">
        <f>IF(OR(Копия_20206[[#This Row],[Number of stores]]&gt;$U$7,Копия_20206[[#This Row],[Number of stores]]&lt;$U$6),"outlier","not outlier")</f>
        <v>not outlier</v>
      </c>
    </row>
    <row r="723" spans="1:13" x14ac:dyDescent="0.25">
      <c r="A723">
        <v>2021</v>
      </c>
      <c r="B723">
        <v>2</v>
      </c>
      <c r="C723" s="1" t="s">
        <v>25</v>
      </c>
      <c r="D723" s="1" t="s">
        <v>14</v>
      </c>
      <c r="E723" s="1" t="s">
        <v>12</v>
      </c>
      <c r="F723" s="4">
        <v>7.3704999999999998</v>
      </c>
      <c r="G723" s="4">
        <v>1552.946177</v>
      </c>
      <c r="H723" s="4">
        <v>2.9481999999999999</v>
      </c>
      <c r="I723">
        <v>941</v>
      </c>
      <c r="J723" s="4" t="str">
        <f>IF(OR(Копия_20206[[#This Row],[Units (in 1000)]]&gt;$R$7,Копия_20206[[#This Row],[Units (in 1000)]]&lt;$R$6),"outlier","not outlier")</f>
        <v>not outlier</v>
      </c>
      <c r="K723" s="4" t="str">
        <f>IF(OR(Копия_20206[[#This Row],[Value (in 1000 rub)]]&gt;$S$7,Копия_20206[[#This Row],[Value (in 1000 rub)]]&lt;$S$6),"outlier","not outlier")</f>
        <v>not outlier</v>
      </c>
      <c r="L723" s="4" t="str">
        <f>IF(OR(Копия_20206[[#This Row],[Volume (in 1000 kg)]]&gt;$T$7,Копия_20206[[#This Row],[Volume (in 1000 kg)]]&lt;$T$6),"outlier","not outlier")</f>
        <v>not outlier</v>
      </c>
      <c r="M723" s="4" t="str">
        <f>IF(OR(Копия_20206[[#This Row],[Number of stores]]&gt;$U$7,Копия_20206[[#This Row],[Number of stores]]&lt;$U$6),"outlier","not outlier")</f>
        <v>not outlier</v>
      </c>
    </row>
    <row r="724" spans="1:13" x14ac:dyDescent="0.25">
      <c r="A724">
        <v>2021</v>
      </c>
      <c r="B724">
        <v>2</v>
      </c>
      <c r="C724" s="1" t="s">
        <v>29</v>
      </c>
      <c r="D724" s="1" t="s">
        <v>14</v>
      </c>
      <c r="E724" s="1" t="s">
        <v>10</v>
      </c>
      <c r="F724" s="4">
        <v>1.6500000000000001E-2</v>
      </c>
      <c r="G724" s="4">
        <v>2.359302</v>
      </c>
      <c r="H724" s="4">
        <v>3.3E-3</v>
      </c>
      <c r="I724">
        <v>12</v>
      </c>
      <c r="J724" s="4" t="str">
        <f>IF(OR(Копия_20206[[#This Row],[Units (in 1000)]]&gt;$R$7,Копия_20206[[#This Row],[Units (in 1000)]]&lt;$R$6),"outlier","not outlier")</f>
        <v>not outlier</v>
      </c>
      <c r="K724" s="4" t="str">
        <f>IF(OR(Копия_20206[[#This Row],[Value (in 1000 rub)]]&gt;$S$7,Копия_20206[[#This Row],[Value (in 1000 rub)]]&lt;$S$6),"outlier","not outlier")</f>
        <v>not outlier</v>
      </c>
      <c r="L724" s="4" t="str">
        <f>IF(OR(Копия_20206[[#This Row],[Volume (in 1000 kg)]]&gt;$T$7,Копия_20206[[#This Row],[Volume (in 1000 kg)]]&lt;$T$6),"outlier","not outlier")</f>
        <v>not outlier</v>
      </c>
      <c r="M724" s="4" t="str">
        <f>IF(OR(Копия_20206[[#This Row],[Number of stores]]&gt;$U$7,Копия_20206[[#This Row],[Number of stores]]&lt;$U$6),"outlier","not outlier")</f>
        <v>not outlier</v>
      </c>
    </row>
    <row r="725" spans="1:13" x14ac:dyDescent="0.25">
      <c r="A725">
        <v>2021</v>
      </c>
      <c r="B725">
        <v>2</v>
      </c>
      <c r="C725" s="1" t="s">
        <v>29</v>
      </c>
      <c r="D725" s="1" t="s">
        <v>14</v>
      </c>
      <c r="E725" s="1" t="s">
        <v>12</v>
      </c>
      <c r="F725" s="4">
        <v>20.250499999999999</v>
      </c>
      <c r="G725" s="4">
        <v>4419.9431420000001</v>
      </c>
      <c r="H725" s="4">
        <v>8.1001999999999992</v>
      </c>
      <c r="I725">
        <v>1675</v>
      </c>
      <c r="J725" s="4" t="str">
        <f>IF(OR(Копия_20206[[#This Row],[Units (in 1000)]]&gt;$R$7,Копия_20206[[#This Row],[Units (in 1000)]]&lt;$R$6),"outlier","not outlier")</f>
        <v>not outlier</v>
      </c>
      <c r="K725" s="4" t="str">
        <f>IF(OR(Копия_20206[[#This Row],[Value (in 1000 rub)]]&gt;$S$7,Копия_20206[[#This Row],[Value (in 1000 rub)]]&lt;$S$6),"outlier","not outlier")</f>
        <v>outlier</v>
      </c>
      <c r="L725" s="4" t="str">
        <f>IF(OR(Копия_20206[[#This Row],[Volume (in 1000 kg)]]&gt;$T$7,Копия_20206[[#This Row],[Volume (in 1000 kg)]]&lt;$T$6),"outlier","not outlier")</f>
        <v>outlier</v>
      </c>
      <c r="M725" s="4" t="str">
        <f>IF(OR(Копия_20206[[#This Row],[Number of stores]]&gt;$U$7,Копия_20206[[#This Row],[Number of stores]]&lt;$U$6),"outlier","not outlier")</f>
        <v>not outlier</v>
      </c>
    </row>
    <row r="726" spans="1:13" x14ac:dyDescent="0.25">
      <c r="A726">
        <v>2021</v>
      </c>
      <c r="B726">
        <v>3</v>
      </c>
      <c r="C726" s="1" t="s">
        <v>8</v>
      </c>
      <c r="D726" s="1" t="s">
        <v>14</v>
      </c>
      <c r="E726" s="1" t="s">
        <v>10</v>
      </c>
      <c r="F726" s="4">
        <v>7.2800000000000004E-2</v>
      </c>
      <c r="G726" s="4">
        <v>8.9871909999999993</v>
      </c>
      <c r="H726" s="4">
        <v>1.46E-2</v>
      </c>
      <c r="I726">
        <v>11</v>
      </c>
      <c r="J726" s="4" t="str">
        <f>IF(OR(Копия_20206[[#This Row],[Units (in 1000)]]&gt;$R$7,Копия_20206[[#This Row],[Units (in 1000)]]&lt;$R$6),"outlier","not outlier")</f>
        <v>not outlier</v>
      </c>
      <c r="K726" s="4" t="str">
        <f>IF(OR(Копия_20206[[#This Row],[Value (in 1000 rub)]]&gt;$S$7,Копия_20206[[#This Row],[Value (in 1000 rub)]]&lt;$S$6),"outlier","not outlier")</f>
        <v>not outlier</v>
      </c>
      <c r="L726" s="4" t="str">
        <f>IF(OR(Копия_20206[[#This Row],[Volume (in 1000 kg)]]&gt;$T$7,Копия_20206[[#This Row],[Volume (in 1000 kg)]]&lt;$T$6),"outlier","not outlier")</f>
        <v>not outlier</v>
      </c>
      <c r="M726" s="4" t="str">
        <f>IF(OR(Копия_20206[[#This Row],[Number of stores]]&gt;$U$7,Копия_20206[[#This Row],[Number of stores]]&lt;$U$6),"outlier","not outlier")</f>
        <v>not outlier</v>
      </c>
    </row>
    <row r="727" spans="1:13" x14ac:dyDescent="0.25">
      <c r="A727">
        <v>2021</v>
      </c>
      <c r="B727">
        <v>3</v>
      </c>
      <c r="C727" s="1" t="s">
        <v>8</v>
      </c>
      <c r="D727" s="1" t="s">
        <v>14</v>
      </c>
      <c r="E727" s="1" t="s">
        <v>12</v>
      </c>
      <c r="F727" s="4">
        <v>25.665400000000002</v>
      </c>
      <c r="G727" s="4">
        <v>5080.9327439999997</v>
      </c>
      <c r="H727" s="4">
        <v>10.2662</v>
      </c>
      <c r="I727">
        <v>664</v>
      </c>
      <c r="J727" s="4" t="str">
        <f>IF(OR(Копия_20206[[#This Row],[Units (in 1000)]]&gt;$R$7,Копия_20206[[#This Row],[Units (in 1000)]]&lt;$R$6),"outlier","not outlier")</f>
        <v>outlier</v>
      </c>
      <c r="K727" s="4" t="str">
        <f>IF(OR(Копия_20206[[#This Row],[Value (in 1000 rub)]]&gt;$S$7,Копия_20206[[#This Row],[Value (in 1000 rub)]]&lt;$S$6),"outlier","not outlier")</f>
        <v>outlier</v>
      </c>
      <c r="L727" s="4" t="str">
        <f>IF(OR(Копия_20206[[#This Row],[Volume (in 1000 kg)]]&gt;$T$7,Копия_20206[[#This Row],[Volume (in 1000 kg)]]&lt;$T$6),"outlier","not outlier")</f>
        <v>outlier</v>
      </c>
      <c r="M727" s="4" t="str">
        <f>IF(OR(Копия_20206[[#This Row],[Number of stores]]&gt;$U$7,Копия_20206[[#This Row],[Number of stores]]&lt;$U$6),"outlier","not outlier")</f>
        <v>not outlier</v>
      </c>
    </row>
    <row r="728" spans="1:13" x14ac:dyDescent="0.25">
      <c r="A728">
        <v>2021</v>
      </c>
      <c r="B728">
        <v>3</v>
      </c>
      <c r="C728" s="1" t="s">
        <v>25</v>
      </c>
      <c r="D728" s="1" t="s">
        <v>14</v>
      </c>
      <c r="E728" s="1" t="s">
        <v>10</v>
      </c>
      <c r="F728" s="4">
        <v>4.0000000000000001E-3</v>
      </c>
      <c r="G728" s="4">
        <v>0.58707399999999998</v>
      </c>
      <c r="H728" s="4">
        <v>8.0000000000000004E-4</v>
      </c>
      <c r="I728">
        <v>1</v>
      </c>
      <c r="J728" s="4" t="str">
        <f>IF(OR(Копия_20206[[#This Row],[Units (in 1000)]]&gt;$R$7,Копия_20206[[#This Row],[Units (in 1000)]]&lt;$R$6),"outlier","not outlier")</f>
        <v>not outlier</v>
      </c>
      <c r="K728" s="4" t="str">
        <f>IF(OR(Копия_20206[[#This Row],[Value (in 1000 rub)]]&gt;$S$7,Копия_20206[[#This Row],[Value (in 1000 rub)]]&lt;$S$6),"outlier","not outlier")</f>
        <v>not outlier</v>
      </c>
      <c r="L728" s="4" t="str">
        <f>IF(OR(Копия_20206[[#This Row],[Volume (in 1000 kg)]]&gt;$T$7,Копия_20206[[#This Row],[Volume (in 1000 kg)]]&lt;$T$6),"outlier","not outlier")</f>
        <v>not outlier</v>
      </c>
      <c r="M728" s="4" t="str">
        <f>IF(OR(Копия_20206[[#This Row],[Number of stores]]&gt;$U$7,Копия_20206[[#This Row],[Number of stores]]&lt;$U$6),"outlier","not outlier")</f>
        <v>not outlier</v>
      </c>
    </row>
    <row r="729" spans="1:13" x14ac:dyDescent="0.25">
      <c r="A729">
        <v>2021</v>
      </c>
      <c r="B729">
        <v>3</v>
      </c>
      <c r="C729" s="1" t="s">
        <v>25</v>
      </c>
      <c r="D729" s="1" t="s">
        <v>14</v>
      </c>
      <c r="E729" s="1" t="s">
        <v>12</v>
      </c>
      <c r="F729" s="4">
        <v>5.984</v>
      </c>
      <c r="G729" s="4">
        <v>1257.186042</v>
      </c>
      <c r="H729" s="4">
        <v>2.3936000000000002</v>
      </c>
      <c r="I729">
        <v>874</v>
      </c>
      <c r="J729" s="4" t="str">
        <f>IF(OR(Копия_20206[[#This Row],[Units (in 1000)]]&gt;$R$7,Копия_20206[[#This Row],[Units (in 1000)]]&lt;$R$6),"outlier","not outlier")</f>
        <v>not outlier</v>
      </c>
      <c r="K729" s="4" t="str">
        <f>IF(OR(Копия_20206[[#This Row],[Value (in 1000 rub)]]&gt;$S$7,Копия_20206[[#This Row],[Value (in 1000 rub)]]&lt;$S$6),"outlier","not outlier")</f>
        <v>not outlier</v>
      </c>
      <c r="L729" s="4" t="str">
        <f>IF(OR(Копия_20206[[#This Row],[Volume (in 1000 kg)]]&gt;$T$7,Копия_20206[[#This Row],[Volume (in 1000 kg)]]&lt;$T$6),"outlier","not outlier")</f>
        <v>not outlier</v>
      </c>
      <c r="M729" s="4" t="str">
        <f>IF(OR(Копия_20206[[#This Row],[Number of stores]]&gt;$U$7,Копия_20206[[#This Row],[Number of stores]]&lt;$U$6),"outlier","not outlier")</f>
        <v>not outlier</v>
      </c>
    </row>
    <row r="730" spans="1:13" x14ac:dyDescent="0.25">
      <c r="A730">
        <v>2021</v>
      </c>
      <c r="B730">
        <v>3</v>
      </c>
      <c r="C730" s="1" t="s">
        <v>29</v>
      </c>
      <c r="D730" s="1" t="s">
        <v>14</v>
      </c>
      <c r="E730" s="1" t="s">
        <v>10</v>
      </c>
      <c r="F730" s="4">
        <v>8.4000000000000005E-2</v>
      </c>
      <c r="G730" s="4">
        <v>12.614995</v>
      </c>
      <c r="H730" s="4">
        <v>1.6799999999999999E-2</v>
      </c>
      <c r="I730">
        <v>48</v>
      </c>
      <c r="J730" s="4" t="str">
        <f>IF(OR(Копия_20206[[#This Row],[Units (in 1000)]]&gt;$R$7,Копия_20206[[#This Row],[Units (in 1000)]]&lt;$R$6),"outlier","not outlier")</f>
        <v>not outlier</v>
      </c>
      <c r="K730" s="4" t="str">
        <f>IF(OR(Копия_20206[[#This Row],[Value (in 1000 rub)]]&gt;$S$7,Копия_20206[[#This Row],[Value (in 1000 rub)]]&lt;$S$6),"outlier","not outlier")</f>
        <v>not outlier</v>
      </c>
      <c r="L730" s="4" t="str">
        <f>IF(OR(Копия_20206[[#This Row],[Volume (in 1000 kg)]]&gt;$T$7,Копия_20206[[#This Row],[Volume (in 1000 kg)]]&lt;$T$6),"outlier","not outlier")</f>
        <v>not outlier</v>
      </c>
      <c r="M730" s="4" t="str">
        <f>IF(OR(Копия_20206[[#This Row],[Number of stores]]&gt;$U$7,Копия_20206[[#This Row],[Number of stores]]&lt;$U$6),"outlier","not outlier")</f>
        <v>not outlier</v>
      </c>
    </row>
    <row r="731" spans="1:13" x14ac:dyDescent="0.25">
      <c r="A731">
        <v>2021</v>
      </c>
      <c r="B731">
        <v>3</v>
      </c>
      <c r="C731" s="1" t="s">
        <v>29</v>
      </c>
      <c r="D731" s="1" t="s">
        <v>14</v>
      </c>
      <c r="E731" s="1" t="s">
        <v>12</v>
      </c>
      <c r="F731" s="4">
        <v>36.168900000000001</v>
      </c>
      <c r="G731" s="4">
        <v>6994.5482540000003</v>
      </c>
      <c r="H731" s="4">
        <v>14.467599999999999</v>
      </c>
      <c r="I731">
        <v>1692</v>
      </c>
      <c r="J731" s="4" t="str">
        <f>IF(OR(Копия_20206[[#This Row],[Units (in 1000)]]&gt;$R$7,Копия_20206[[#This Row],[Units (in 1000)]]&lt;$R$6),"outlier","not outlier")</f>
        <v>outlier</v>
      </c>
      <c r="K731" s="4" t="str">
        <f>IF(OR(Копия_20206[[#This Row],[Value (in 1000 rub)]]&gt;$S$7,Копия_20206[[#This Row],[Value (in 1000 rub)]]&lt;$S$6),"outlier","not outlier")</f>
        <v>outlier</v>
      </c>
      <c r="L731" s="4" t="str">
        <f>IF(OR(Копия_20206[[#This Row],[Volume (in 1000 kg)]]&gt;$T$7,Копия_20206[[#This Row],[Volume (in 1000 kg)]]&lt;$T$6),"outlier","not outlier")</f>
        <v>outlier</v>
      </c>
      <c r="M731" s="4" t="str">
        <f>IF(OR(Копия_20206[[#This Row],[Number of stores]]&gt;$U$7,Копия_20206[[#This Row],[Number of stores]]&lt;$U$6),"outlier","not outlier")</f>
        <v>not outlier</v>
      </c>
    </row>
    <row r="732" spans="1:13" x14ac:dyDescent="0.25">
      <c r="A732">
        <v>2021</v>
      </c>
      <c r="B732">
        <v>4</v>
      </c>
      <c r="C732" s="1" t="s">
        <v>8</v>
      </c>
      <c r="D732" s="1" t="s">
        <v>14</v>
      </c>
      <c r="E732" s="1" t="s">
        <v>10</v>
      </c>
      <c r="F732" s="4">
        <v>8.3500000000000005E-2</v>
      </c>
      <c r="G732" s="4">
        <v>10.429016000000001</v>
      </c>
      <c r="H732" s="4">
        <v>1.67E-2</v>
      </c>
      <c r="I732">
        <v>11</v>
      </c>
      <c r="J732" s="4" t="str">
        <f>IF(OR(Копия_20206[[#This Row],[Units (in 1000)]]&gt;$R$7,Копия_20206[[#This Row],[Units (in 1000)]]&lt;$R$6),"outlier","not outlier")</f>
        <v>not outlier</v>
      </c>
      <c r="K732" s="4" t="str">
        <f>IF(OR(Копия_20206[[#This Row],[Value (in 1000 rub)]]&gt;$S$7,Копия_20206[[#This Row],[Value (in 1000 rub)]]&lt;$S$6),"outlier","not outlier")</f>
        <v>not outlier</v>
      </c>
      <c r="L732" s="4" t="str">
        <f>IF(OR(Копия_20206[[#This Row],[Volume (in 1000 kg)]]&gt;$T$7,Копия_20206[[#This Row],[Volume (in 1000 kg)]]&lt;$T$6),"outlier","not outlier")</f>
        <v>not outlier</v>
      </c>
      <c r="M732" s="4" t="str">
        <f>IF(OR(Копия_20206[[#This Row],[Number of stores]]&gt;$U$7,Копия_20206[[#This Row],[Number of stores]]&lt;$U$6),"outlier","not outlier")</f>
        <v>not outlier</v>
      </c>
    </row>
    <row r="733" spans="1:13" x14ac:dyDescent="0.25">
      <c r="A733">
        <v>2021</v>
      </c>
      <c r="B733">
        <v>4</v>
      </c>
      <c r="C733" s="1" t="s">
        <v>8</v>
      </c>
      <c r="D733" s="1" t="s">
        <v>14</v>
      </c>
      <c r="E733" s="1" t="s">
        <v>12</v>
      </c>
      <c r="F733" s="4">
        <v>15.4084</v>
      </c>
      <c r="G733" s="4">
        <v>3419.5150130000002</v>
      </c>
      <c r="H733" s="4">
        <v>6.1634000000000002</v>
      </c>
      <c r="I733">
        <v>628</v>
      </c>
      <c r="J733" s="4" t="str">
        <f>IF(OR(Копия_20206[[#This Row],[Units (in 1000)]]&gt;$R$7,Копия_20206[[#This Row],[Units (in 1000)]]&lt;$R$6),"outlier","not outlier")</f>
        <v>not outlier</v>
      </c>
      <c r="K733" s="4" t="str">
        <f>IF(OR(Копия_20206[[#This Row],[Value (in 1000 rub)]]&gt;$S$7,Копия_20206[[#This Row],[Value (in 1000 rub)]]&lt;$S$6),"outlier","not outlier")</f>
        <v>outlier</v>
      </c>
      <c r="L733" s="4" t="str">
        <f>IF(OR(Копия_20206[[#This Row],[Volume (in 1000 kg)]]&gt;$T$7,Копия_20206[[#This Row],[Volume (in 1000 kg)]]&lt;$T$6),"outlier","not outlier")</f>
        <v>not outlier</v>
      </c>
      <c r="M733" s="4" t="str">
        <f>IF(OR(Копия_20206[[#This Row],[Number of stores]]&gt;$U$7,Копия_20206[[#This Row],[Number of stores]]&lt;$U$6),"outlier","not outlier")</f>
        <v>not outlier</v>
      </c>
    </row>
    <row r="734" spans="1:13" x14ac:dyDescent="0.25">
      <c r="A734">
        <v>2021</v>
      </c>
      <c r="B734">
        <v>4</v>
      </c>
      <c r="C734" s="1" t="s">
        <v>25</v>
      </c>
      <c r="D734" s="1" t="s">
        <v>14</v>
      </c>
      <c r="E734" s="1" t="s">
        <v>10</v>
      </c>
      <c r="F734" s="4">
        <v>5.8999999999999999E-3</v>
      </c>
      <c r="G734" s="4">
        <v>0.77047699999999997</v>
      </c>
      <c r="H734" s="4">
        <v>1.1999999999999999E-3</v>
      </c>
      <c r="I734">
        <v>3</v>
      </c>
      <c r="J734" s="4" t="str">
        <f>IF(OR(Копия_20206[[#This Row],[Units (in 1000)]]&gt;$R$7,Копия_20206[[#This Row],[Units (in 1000)]]&lt;$R$6),"outlier","not outlier")</f>
        <v>not outlier</v>
      </c>
      <c r="K734" s="4" t="str">
        <f>IF(OR(Копия_20206[[#This Row],[Value (in 1000 rub)]]&gt;$S$7,Копия_20206[[#This Row],[Value (in 1000 rub)]]&lt;$S$6),"outlier","not outlier")</f>
        <v>not outlier</v>
      </c>
      <c r="L734" s="4" t="str">
        <f>IF(OR(Копия_20206[[#This Row],[Volume (in 1000 kg)]]&gt;$T$7,Копия_20206[[#This Row],[Volume (in 1000 kg)]]&lt;$T$6),"outlier","not outlier")</f>
        <v>not outlier</v>
      </c>
      <c r="M734" s="4" t="str">
        <f>IF(OR(Копия_20206[[#This Row],[Number of stores]]&gt;$U$7,Копия_20206[[#This Row],[Number of stores]]&lt;$U$6),"outlier","not outlier")</f>
        <v>not outlier</v>
      </c>
    </row>
    <row r="735" spans="1:13" x14ac:dyDescent="0.25">
      <c r="A735">
        <v>2021</v>
      </c>
      <c r="B735">
        <v>4</v>
      </c>
      <c r="C735" s="1" t="s">
        <v>25</v>
      </c>
      <c r="D735" s="1" t="s">
        <v>14</v>
      </c>
      <c r="E735" s="1" t="s">
        <v>12</v>
      </c>
      <c r="F735" s="4">
        <v>5.9627999999999997</v>
      </c>
      <c r="G735" s="4">
        <v>1136.385272</v>
      </c>
      <c r="H735" s="4">
        <v>2.3852000000000002</v>
      </c>
      <c r="I735">
        <v>846</v>
      </c>
      <c r="J735" s="4" t="str">
        <f>IF(OR(Копия_20206[[#This Row],[Units (in 1000)]]&gt;$R$7,Копия_20206[[#This Row],[Units (in 1000)]]&lt;$R$6),"outlier","not outlier")</f>
        <v>not outlier</v>
      </c>
      <c r="K735" s="4" t="str">
        <f>IF(OR(Копия_20206[[#This Row],[Value (in 1000 rub)]]&gt;$S$7,Копия_20206[[#This Row],[Value (in 1000 rub)]]&lt;$S$6),"outlier","not outlier")</f>
        <v>not outlier</v>
      </c>
      <c r="L735" s="4" t="str">
        <f>IF(OR(Копия_20206[[#This Row],[Volume (in 1000 kg)]]&gt;$T$7,Копия_20206[[#This Row],[Volume (in 1000 kg)]]&lt;$T$6),"outlier","not outlier")</f>
        <v>not outlier</v>
      </c>
      <c r="M735" s="4" t="str">
        <f>IF(OR(Копия_20206[[#This Row],[Number of stores]]&gt;$U$7,Копия_20206[[#This Row],[Number of stores]]&lt;$U$6),"outlier","not outlier")</f>
        <v>not outlier</v>
      </c>
    </row>
    <row r="736" spans="1:13" x14ac:dyDescent="0.25">
      <c r="A736">
        <v>2021</v>
      </c>
      <c r="B736">
        <v>4</v>
      </c>
      <c r="C736" s="1" t="s">
        <v>29</v>
      </c>
      <c r="D736" s="1" t="s">
        <v>14</v>
      </c>
      <c r="E736" s="1" t="s">
        <v>10</v>
      </c>
      <c r="F736" s="4">
        <v>1.2159</v>
      </c>
      <c r="G736" s="4">
        <v>130.73209199999999</v>
      </c>
      <c r="H736" s="4">
        <v>0.2432</v>
      </c>
      <c r="I736">
        <v>190</v>
      </c>
      <c r="J736" s="4" t="str">
        <f>IF(OR(Копия_20206[[#This Row],[Units (in 1000)]]&gt;$R$7,Копия_20206[[#This Row],[Units (in 1000)]]&lt;$R$6),"outlier","not outlier")</f>
        <v>not outlier</v>
      </c>
      <c r="K736" s="4" t="str">
        <f>IF(OR(Копия_20206[[#This Row],[Value (in 1000 rub)]]&gt;$S$7,Копия_20206[[#This Row],[Value (in 1000 rub)]]&lt;$S$6),"outlier","not outlier")</f>
        <v>not outlier</v>
      </c>
      <c r="L736" s="4" t="str">
        <f>IF(OR(Копия_20206[[#This Row],[Volume (in 1000 kg)]]&gt;$T$7,Копия_20206[[#This Row],[Volume (in 1000 kg)]]&lt;$T$6),"outlier","not outlier")</f>
        <v>not outlier</v>
      </c>
      <c r="M736" s="4" t="str">
        <f>IF(OR(Копия_20206[[#This Row],[Number of stores]]&gt;$U$7,Копия_20206[[#This Row],[Number of stores]]&lt;$U$6),"outlier","not outlier")</f>
        <v>not outlier</v>
      </c>
    </row>
    <row r="737" spans="1:13" x14ac:dyDescent="0.25">
      <c r="A737">
        <v>2021</v>
      </c>
      <c r="B737">
        <v>4</v>
      </c>
      <c r="C737" s="1" t="s">
        <v>29</v>
      </c>
      <c r="D737" s="1" t="s">
        <v>14</v>
      </c>
      <c r="E737" s="1" t="s">
        <v>12</v>
      </c>
      <c r="F737" s="4">
        <v>20.354199999999999</v>
      </c>
      <c r="G737" s="4">
        <v>4574.9370220000001</v>
      </c>
      <c r="H737" s="4">
        <v>8.1417000000000002</v>
      </c>
      <c r="I737">
        <v>1774</v>
      </c>
      <c r="J737" s="4" t="str">
        <f>IF(OR(Копия_20206[[#This Row],[Units (in 1000)]]&gt;$R$7,Копия_20206[[#This Row],[Units (in 1000)]]&lt;$R$6),"outlier","not outlier")</f>
        <v>not outlier</v>
      </c>
      <c r="K737" s="4" t="str">
        <f>IF(OR(Копия_20206[[#This Row],[Value (in 1000 rub)]]&gt;$S$7,Копия_20206[[#This Row],[Value (in 1000 rub)]]&lt;$S$6),"outlier","not outlier")</f>
        <v>outlier</v>
      </c>
      <c r="L737" s="4" t="str">
        <f>IF(OR(Копия_20206[[#This Row],[Volume (in 1000 kg)]]&gt;$T$7,Копия_20206[[#This Row],[Volume (in 1000 kg)]]&lt;$T$6),"outlier","not outlier")</f>
        <v>outlier</v>
      </c>
      <c r="M737" s="4" t="str">
        <f>IF(OR(Копия_20206[[#This Row],[Number of stores]]&gt;$U$7,Копия_20206[[#This Row],[Number of stores]]&lt;$U$6),"outlier","not outlier")</f>
        <v>not outlier</v>
      </c>
    </row>
    <row r="738" spans="1:13" x14ac:dyDescent="0.25">
      <c r="A738">
        <v>2021</v>
      </c>
      <c r="B738">
        <v>5</v>
      </c>
      <c r="C738" s="1" t="s">
        <v>8</v>
      </c>
      <c r="D738" s="1" t="s">
        <v>14</v>
      </c>
      <c r="E738" s="1" t="s">
        <v>10</v>
      </c>
      <c r="F738" s="4">
        <v>8.7400000000000005E-2</v>
      </c>
      <c r="G738" s="4">
        <v>10.906751</v>
      </c>
      <c r="H738" s="4">
        <v>1.7399999999999999E-2</v>
      </c>
      <c r="I738">
        <v>9</v>
      </c>
      <c r="J738" s="4" t="str">
        <f>IF(OR(Копия_20206[[#This Row],[Units (in 1000)]]&gt;$R$7,Копия_20206[[#This Row],[Units (in 1000)]]&lt;$R$6),"outlier","not outlier")</f>
        <v>not outlier</v>
      </c>
      <c r="K738" s="4" t="str">
        <f>IF(OR(Копия_20206[[#This Row],[Value (in 1000 rub)]]&gt;$S$7,Копия_20206[[#This Row],[Value (in 1000 rub)]]&lt;$S$6),"outlier","not outlier")</f>
        <v>not outlier</v>
      </c>
      <c r="L738" s="4" t="str">
        <f>IF(OR(Копия_20206[[#This Row],[Volume (in 1000 kg)]]&gt;$T$7,Копия_20206[[#This Row],[Volume (in 1000 kg)]]&lt;$T$6),"outlier","not outlier")</f>
        <v>not outlier</v>
      </c>
      <c r="M738" s="4" t="str">
        <f>IF(OR(Копия_20206[[#This Row],[Number of stores]]&gt;$U$7,Копия_20206[[#This Row],[Number of stores]]&lt;$U$6),"outlier","not outlier")</f>
        <v>not outlier</v>
      </c>
    </row>
    <row r="739" spans="1:13" x14ac:dyDescent="0.25">
      <c r="A739">
        <v>2021</v>
      </c>
      <c r="B739">
        <v>5</v>
      </c>
      <c r="C739" s="1" t="s">
        <v>8</v>
      </c>
      <c r="D739" s="1" t="s">
        <v>14</v>
      </c>
      <c r="E739" s="1" t="s">
        <v>12</v>
      </c>
      <c r="F739" s="4">
        <v>30.9377</v>
      </c>
      <c r="G739" s="4">
        <v>5422.175792</v>
      </c>
      <c r="H739" s="4">
        <v>12.3752</v>
      </c>
      <c r="I739">
        <v>645</v>
      </c>
      <c r="J739" s="4" t="str">
        <f>IF(OR(Копия_20206[[#This Row],[Units (in 1000)]]&gt;$R$7,Копия_20206[[#This Row],[Units (in 1000)]]&lt;$R$6),"outlier","not outlier")</f>
        <v>outlier</v>
      </c>
      <c r="K739" s="4" t="str">
        <f>IF(OR(Копия_20206[[#This Row],[Value (in 1000 rub)]]&gt;$S$7,Копия_20206[[#This Row],[Value (in 1000 rub)]]&lt;$S$6),"outlier","not outlier")</f>
        <v>outlier</v>
      </c>
      <c r="L739" s="4" t="str">
        <f>IF(OR(Копия_20206[[#This Row],[Volume (in 1000 kg)]]&gt;$T$7,Копия_20206[[#This Row],[Volume (in 1000 kg)]]&lt;$T$6),"outlier","not outlier")</f>
        <v>outlier</v>
      </c>
      <c r="M739" s="4" t="str">
        <f>IF(OR(Копия_20206[[#This Row],[Number of stores]]&gt;$U$7,Копия_20206[[#This Row],[Number of stores]]&lt;$U$6),"outlier","not outlier")</f>
        <v>not outlier</v>
      </c>
    </row>
    <row r="740" spans="1:13" x14ac:dyDescent="0.25">
      <c r="A740">
        <v>2021</v>
      </c>
      <c r="B740">
        <v>5</v>
      </c>
      <c r="C740" s="1" t="s">
        <v>25</v>
      </c>
      <c r="D740" s="1" t="s">
        <v>14</v>
      </c>
      <c r="E740" s="1" t="s">
        <v>10</v>
      </c>
      <c r="F740" s="4">
        <v>1.21E-2</v>
      </c>
      <c r="G740" s="4">
        <v>1.590881</v>
      </c>
      <c r="H740" s="4">
        <v>2.3999999999999998E-3</v>
      </c>
      <c r="I740">
        <v>8</v>
      </c>
      <c r="J740" s="4" t="str">
        <f>IF(OR(Копия_20206[[#This Row],[Units (in 1000)]]&gt;$R$7,Копия_20206[[#This Row],[Units (in 1000)]]&lt;$R$6),"outlier","not outlier")</f>
        <v>not outlier</v>
      </c>
      <c r="K740" s="4" t="str">
        <f>IF(OR(Копия_20206[[#This Row],[Value (in 1000 rub)]]&gt;$S$7,Копия_20206[[#This Row],[Value (in 1000 rub)]]&lt;$S$6),"outlier","not outlier")</f>
        <v>not outlier</v>
      </c>
      <c r="L740" s="4" t="str">
        <f>IF(OR(Копия_20206[[#This Row],[Volume (in 1000 kg)]]&gt;$T$7,Копия_20206[[#This Row],[Volume (in 1000 kg)]]&lt;$T$6),"outlier","not outlier")</f>
        <v>not outlier</v>
      </c>
      <c r="M740" s="4" t="str">
        <f>IF(OR(Копия_20206[[#This Row],[Number of stores]]&gt;$U$7,Копия_20206[[#This Row],[Number of stores]]&lt;$U$6),"outlier","not outlier")</f>
        <v>not outlier</v>
      </c>
    </row>
    <row r="741" spans="1:13" x14ac:dyDescent="0.25">
      <c r="A741">
        <v>2021</v>
      </c>
      <c r="B741">
        <v>5</v>
      </c>
      <c r="C741" s="1" t="s">
        <v>25</v>
      </c>
      <c r="D741" s="1" t="s">
        <v>14</v>
      </c>
      <c r="E741" s="1" t="s">
        <v>12</v>
      </c>
      <c r="F741" s="4">
        <v>5.9218999999999999</v>
      </c>
      <c r="G741" s="4">
        <v>1154.483978</v>
      </c>
      <c r="H741" s="4">
        <v>2.3687</v>
      </c>
      <c r="I741">
        <v>904</v>
      </c>
      <c r="J741" s="4" t="str">
        <f>IF(OR(Копия_20206[[#This Row],[Units (in 1000)]]&gt;$R$7,Копия_20206[[#This Row],[Units (in 1000)]]&lt;$R$6),"outlier","not outlier")</f>
        <v>not outlier</v>
      </c>
      <c r="K741" s="4" t="str">
        <f>IF(OR(Копия_20206[[#This Row],[Value (in 1000 rub)]]&gt;$S$7,Копия_20206[[#This Row],[Value (in 1000 rub)]]&lt;$S$6),"outlier","not outlier")</f>
        <v>not outlier</v>
      </c>
      <c r="L741" s="4" t="str">
        <f>IF(OR(Копия_20206[[#This Row],[Volume (in 1000 kg)]]&gt;$T$7,Копия_20206[[#This Row],[Volume (in 1000 kg)]]&lt;$T$6),"outlier","not outlier")</f>
        <v>not outlier</v>
      </c>
      <c r="M741" s="4" t="str">
        <f>IF(OR(Копия_20206[[#This Row],[Number of stores]]&gt;$U$7,Копия_20206[[#This Row],[Number of stores]]&lt;$U$6),"outlier","not outlier")</f>
        <v>not outlier</v>
      </c>
    </row>
    <row r="742" spans="1:13" x14ac:dyDescent="0.25">
      <c r="A742">
        <v>2021</v>
      </c>
      <c r="B742">
        <v>5</v>
      </c>
      <c r="C742" s="1" t="s">
        <v>29</v>
      </c>
      <c r="D742" s="1" t="s">
        <v>14</v>
      </c>
      <c r="E742" s="1" t="s">
        <v>10</v>
      </c>
      <c r="F742" s="4">
        <v>1.0079</v>
      </c>
      <c r="G742" s="4">
        <v>111.543779</v>
      </c>
      <c r="H742" s="4">
        <v>0.2016</v>
      </c>
      <c r="I742">
        <v>249</v>
      </c>
      <c r="J742" s="4" t="str">
        <f>IF(OR(Копия_20206[[#This Row],[Units (in 1000)]]&gt;$R$7,Копия_20206[[#This Row],[Units (in 1000)]]&lt;$R$6),"outlier","not outlier")</f>
        <v>not outlier</v>
      </c>
      <c r="K742" s="4" t="str">
        <f>IF(OR(Копия_20206[[#This Row],[Value (in 1000 rub)]]&gt;$S$7,Копия_20206[[#This Row],[Value (in 1000 rub)]]&lt;$S$6),"outlier","not outlier")</f>
        <v>not outlier</v>
      </c>
      <c r="L742" s="4" t="str">
        <f>IF(OR(Копия_20206[[#This Row],[Volume (in 1000 kg)]]&gt;$T$7,Копия_20206[[#This Row],[Volume (in 1000 kg)]]&lt;$T$6),"outlier","not outlier")</f>
        <v>not outlier</v>
      </c>
      <c r="M742" s="4" t="str">
        <f>IF(OR(Копия_20206[[#This Row],[Number of stores]]&gt;$U$7,Копия_20206[[#This Row],[Number of stores]]&lt;$U$6),"outlier","not outlier")</f>
        <v>not outlier</v>
      </c>
    </row>
    <row r="743" spans="1:13" x14ac:dyDescent="0.25">
      <c r="A743">
        <v>2021</v>
      </c>
      <c r="B743">
        <v>5</v>
      </c>
      <c r="C743" s="1" t="s">
        <v>29</v>
      </c>
      <c r="D743" s="1" t="s">
        <v>14</v>
      </c>
      <c r="E743" s="1" t="s">
        <v>12</v>
      </c>
      <c r="F743" s="4">
        <v>39.335599999999999</v>
      </c>
      <c r="G743" s="4">
        <v>7424.9488259999998</v>
      </c>
      <c r="H743" s="4">
        <v>15.734299999999999</v>
      </c>
      <c r="I743">
        <v>1844</v>
      </c>
      <c r="J743" s="4" t="str">
        <f>IF(OR(Копия_20206[[#This Row],[Units (in 1000)]]&gt;$R$7,Копия_20206[[#This Row],[Units (in 1000)]]&lt;$R$6),"outlier","not outlier")</f>
        <v>outlier</v>
      </c>
      <c r="K743" s="4" t="str">
        <f>IF(OR(Копия_20206[[#This Row],[Value (in 1000 rub)]]&gt;$S$7,Копия_20206[[#This Row],[Value (in 1000 rub)]]&lt;$S$6),"outlier","not outlier")</f>
        <v>outlier</v>
      </c>
      <c r="L743" s="4" t="str">
        <f>IF(OR(Копия_20206[[#This Row],[Volume (in 1000 kg)]]&gt;$T$7,Копия_20206[[#This Row],[Volume (in 1000 kg)]]&lt;$T$6),"outlier","not outlier")</f>
        <v>outlier</v>
      </c>
      <c r="M743" s="4" t="str">
        <f>IF(OR(Копия_20206[[#This Row],[Number of stores]]&gt;$U$7,Копия_20206[[#This Row],[Number of stores]]&lt;$U$6),"outlier","not outlier")</f>
        <v>not outlier</v>
      </c>
    </row>
    <row r="744" spans="1:13" x14ac:dyDescent="0.25">
      <c r="A744">
        <v>2021</v>
      </c>
      <c r="B744">
        <v>6</v>
      </c>
      <c r="C744" s="1" t="s">
        <v>8</v>
      </c>
      <c r="D744" s="1" t="s">
        <v>14</v>
      </c>
      <c r="E744" s="1" t="s">
        <v>10</v>
      </c>
      <c r="F744" s="4">
        <v>8.5000000000000006E-2</v>
      </c>
      <c r="G744" s="4">
        <v>10.520849999999999</v>
      </c>
      <c r="H744" s="4">
        <v>1.7000000000000001E-2</v>
      </c>
      <c r="I744">
        <v>11</v>
      </c>
      <c r="J744" s="4" t="str">
        <f>IF(OR(Копия_20206[[#This Row],[Units (in 1000)]]&gt;$R$7,Копия_20206[[#This Row],[Units (in 1000)]]&lt;$R$6),"outlier","not outlier")</f>
        <v>not outlier</v>
      </c>
      <c r="K744" s="4" t="str">
        <f>IF(OR(Копия_20206[[#This Row],[Value (in 1000 rub)]]&gt;$S$7,Копия_20206[[#This Row],[Value (in 1000 rub)]]&lt;$S$6),"outlier","not outlier")</f>
        <v>not outlier</v>
      </c>
      <c r="L744" s="4" t="str">
        <f>IF(OR(Копия_20206[[#This Row],[Volume (in 1000 kg)]]&gt;$T$7,Копия_20206[[#This Row],[Volume (in 1000 kg)]]&lt;$T$6),"outlier","not outlier")</f>
        <v>not outlier</v>
      </c>
      <c r="M744" s="4" t="str">
        <f>IF(OR(Копия_20206[[#This Row],[Number of stores]]&gt;$U$7,Копия_20206[[#This Row],[Number of stores]]&lt;$U$6),"outlier","not outlier")</f>
        <v>not outlier</v>
      </c>
    </row>
    <row r="745" spans="1:13" x14ac:dyDescent="0.25">
      <c r="A745">
        <v>2021</v>
      </c>
      <c r="B745">
        <v>6</v>
      </c>
      <c r="C745" s="1" t="s">
        <v>8</v>
      </c>
      <c r="D745" s="1" t="s">
        <v>14</v>
      </c>
      <c r="E745" s="1" t="s">
        <v>12</v>
      </c>
      <c r="F745" s="4">
        <v>27.608699999999999</v>
      </c>
      <c r="G745" s="4">
        <v>4729.6307349999997</v>
      </c>
      <c r="H745" s="4">
        <v>11.0434</v>
      </c>
      <c r="I745">
        <v>654</v>
      </c>
      <c r="J745" s="4" t="str">
        <f>IF(OR(Копия_20206[[#This Row],[Units (in 1000)]]&gt;$R$7,Копия_20206[[#This Row],[Units (in 1000)]]&lt;$R$6),"outlier","not outlier")</f>
        <v>outlier</v>
      </c>
      <c r="K745" s="4" t="str">
        <f>IF(OR(Копия_20206[[#This Row],[Value (in 1000 rub)]]&gt;$S$7,Копия_20206[[#This Row],[Value (in 1000 rub)]]&lt;$S$6),"outlier","not outlier")</f>
        <v>outlier</v>
      </c>
      <c r="L745" s="4" t="str">
        <f>IF(OR(Копия_20206[[#This Row],[Volume (in 1000 kg)]]&gt;$T$7,Копия_20206[[#This Row],[Volume (in 1000 kg)]]&lt;$T$6),"outlier","not outlier")</f>
        <v>outlier</v>
      </c>
      <c r="M745" s="4" t="str">
        <f>IF(OR(Копия_20206[[#This Row],[Number of stores]]&gt;$U$7,Копия_20206[[#This Row],[Number of stores]]&lt;$U$6),"outlier","not outlier")</f>
        <v>not outlier</v>
      </c>
    </row>
    <row r="746" spans="1:13" x14ac:dyDescent="0.25">
      <c r="A746">
        <v>2021</v>
      </c>
      <c r="B746">
        <v>6</v>
      </c>
      <c r="C746" s="1" t="s">
        <v>25</v>
      </c>
      <c r="D746" s="1" t="s">
        <v>14</v>
      </c>
      <c r="E746" s="1" t="s">
        <v>10</v>
      </c>
      <c r="F746" s="4">
        <v>1.72E-2</v>
      </c>
      <c r="G746" s="4">
        <v>1.9253960000000001</v>
      </c>
      <c r="H746" s="4">
        <v>3.3999999999999998E-3</v>
      </c>
      <c r="I746">
        <v>9</v>
      </c>
      <c r="J746" s="4" t="str">
        <f>IF(OR(Копия_20206[[#This Row],[Units (in 1000)]]&gt;$R$7,Копия_20206[[#This Row],[Units (in 1000)]]&lt;$R$6),"outlier","not outlier")</f>
        <v>not outlier</v>
      </c>
      <c r="K746" s="4" t="str">
        <f>IF(OR(Копия_20206[[#This Row],[Value (in 1000 rub)]]&gt;$S$7,Копия_20206[[#This Row],[Value (in 1000 rub)]]&lt;$S$6),"outlier","not outlier")</f>
        <v>not outlier</v>
      </c>
      <c r="L746" s="4" t="str">
        <f>IF(OR(Копия_20206[[#This Row],[Volume (in 1000 kg)]]&gt;$T$7,Копия_20206[[#This Row],[Volume (in 1000 kg)]]&lt;$T$6),"outlier","not outlier")</f>
        <v>not outlier</v>
      </c>
      <c r="M746" s="4" t="str">
        <f>IF(OR(Копия_20206[[#This Row],[Number of stores]]&gt;$U$7,Копия_20206[[#This Row],[Number of stores]]&lt;$U$6),"outlier","not outlier")</f>
        <v>not outlier</v>
      </c>
    </row>
    <row r="747" spans="1:13" x14ac:dyDescent="0.25">
      <c r="A747">
        <v>2021</v>
      </c>
      <c r="B747">
        <v>6</v>
      </c>
      <c r="C747" s="1" t="s">
        <v>25</v>
      </c>
      <c r="D747" s="1" t="s">
        <v>14</v>
      </c>
      <c r="E747" s="1" t="s">
        <v>12</v>
      </c>
      <c r="F747" s="4">
        <v>5.1814</v>
      </c>
      <c r="G747" s="4">
        <v>1062.609031</v>
      </c>
      <c r="H747" s="4">
        <v>2.0726</v>
      </c>
      <c r="I747">
        <v>803</v>
      </c>
      <c r="J747" s="4" t="str">
        <f>IF(OR(Копия_20206[[#This Row],[Units (in 1000)]]&gt;$R$7,Копия_20206[[#This Row],[Units (in 1000)]]&lt;$R$6),"outlier","not outlier")</f>
        <v>not outlier</v>
      </c>
      <c r="K747" s="4" t="str">
        <f>IF(OR(Копия_20206[[#This Row],[Value (in 1000 rub)]]&gt;$S$7,Копия_20206[[#This Row],[Value (in 1000 rub)]]&lt;$S$6),"outlier","not outlier")</f>
        <v>not outlier</v>
      </c>
      <c r="L747" s="4" t="str">
        <f>IF(OR(Копия_20206[[#This Row],[Volume (in 1000 kg)]]&gt;$T$7,Копия_20206[[#This Row],[Volume (in 1000 kg)]]&lt;$T$6),"outlier","not outlier")</f>
        <v>not outlier</v>
      </c>
      <c r="M747" s="4" t="str">
        <f>IF(OR(Копия_20206[[#This Row],[Number of stores]]&gt;$U$7,Копия_20206[[#This Row],[Number of stores]]&lt;$U$6),"outlier","not outlier")</f>
        <v>not outlier</v>
      </c>
    </row>
    <row r="748" spans="1:13" x14ac:dyDescent="0.25">
      <c r="A748">
        <v>2021</v>
      </c>
      <c r="B748">
        <v>6</v>
      </c>
      <c r="C748" s="1" t="s">
        <v>29</v>
      </c>
      <c r="D748" s="1" t="s">
        <v>14</v>
      </c>
      <c r="E748" s="1" t="s">
        <v>10</v>
      </c>
      <c r="F748" s="4">
        <v>1.0266999999999999</v>
      </c>
      <c r="G748" s="4">
        <v>114.790323</v>
      </c>
      <c r="H748" s="4">
        <v>0.20530000000000001</v>
      </c>
      <c r="I748">
        <v>280</v>
      </c>
      <c r="J748" s="4" t="str">
        <f>IF(OR(Копия_20206[[#This Row],[Units (in 1000)]]&gt;$R$7,Копия_20206[[#This Row],[Units (in 1000)]]&lt;$R$6),"outlier","not outlier")</f>
        <v>not outlier</v>
      </c>
      <c r="K748" s="4" t="str">
        <f>IF(OR(Копия_20206[[#This Row],[Value (in 1000 rub)]]&gt;$S$7,Копия_20206[[#This Row],[Value (in 1000 rub)]]&lt;$S$6),"outlier","not outlier")</f>
        <v>not outlier</v>
      </c>
      <c r="L748" s="4" t="str">
        <f>IF(OR(Копия_20206[[#This Row],[Volume (in 1000 kg)]]&gt;$T$7,Копия_20206[[#This Row],[Volume (in 1000 kg)]]&lt;$T$6),"outlier","not outlier")</f>
        <v>not outlier</v>
      </c>
      <c r="M748" s="4" t="str">
        <f>IF(OR(Копия_20206[[#This Row],[Number of stores]]&gt;$U$7,Копия_20206[[#This Row],[Number of stores]]&lt;$U$6),"outlier","not outlier")</f>
        <v>not outlier</v>
      </c>
    </row>
    <row r="749" spans="1:13" x14ac:dyDescent="0.25">
      <c r="A749">
        <v>2021</v>
      </c>
      <c r="B749">
        <v>6</v>
      </c>
      <c r="C749" s="1" t="s">
        <v>29</v>
      </c>
      <c r="D749" s="1" t="s">
        <v>14</v>
      </c>
      <c r="E749" s="1" t="s">
        <v>12</v>
      </c>
      <c r="F749" s="4">
        <v>20.5077</v>
      </c>
      <c r="G749" s="4">
        <v>4603.9762289999999</v>
      </c>
      <c r="H749" s="4">
        <v>8.2029999999999994</v>
      </c>
      <c r="I749">
        <v>1767</v>
      </c>
      <c r="J749" s="4" t="str">
        <f>IF(OR(Копия_20206[[#This Row],[Units (in 1000)]]&gt;$R$7,Копия_20206[[#This Row],[Units (in 1000)]]&lt;$R$6),"outlier","not outlier")</f>
        <v>not outlier</v>
      </c>
      <c r="K749" s="4" t="str">
        <f>IF(OR(Копия_20206[[#This Row],[Value (in 1000 rub)]]&gt;$S$7,Копия_20206[[#This Row],[Value (in 1000 rub)]]&lt;$S$6),"outlier","not outlier")</f>
        <v>outlier</v>
      </c>
      <c r="L749" s="4" t="str">
        <f>IF(OR(Копия_20206[[#This Row],[Volume (in 1000 kg)]]&gt;$T$7,Копия_20206[[#This Row],[Volume (in 1000 kg)]]&lt;$T$6),"outlier","not outlier")</f>
        <v>outlier</v>
      </c>
      <c r="M749" s="4" t="str">
        <f>IF(OR(Копия_20206[[#This Row],[Number of stores]]&gt;$U$7,Копия_20206[[#This Row],[Number of stores]]&lt;$U$6),"outlier","not outlier")</f>
        <v>not outlier</v>
      </c>
    </row>
    <row r="750" spans="1:13" x14ac:dyDescent="0.25">
      <c r="A750">
        <v>2021</v>
      </c>
      <c r="B750">
        <v>7</v>
      </c>
      <c r="C750" s="1" t="s">
        <v>8</v>
      </c>
      <c r="D750" s="1" t="s">
        <v>14</v>
      </c>
      <c r="E750" s="1" t="s">
        <v>10</v>
      </c>
      <c r="F750" s="4">
        <v>8.2199999999999995E-2</v>
      </c>
      <c r="G750" s="4">
        <v>10.547371999999999</v>
      </c>
      <c r="H750" s="4">
        <v>1.6400000000000001E-2</v>
      </c>
      <c r="I750">
        <v>11</v>
      </c>
      <c r="J750" s="4" t="str">
        <f>IF(OR(Копия_20206[[#This Row],[Units (in 1000)]]&gt;$R$7,Копия_20206[[#This Row],[Units (in 1000)]]&lt;$R$6),"outlier","not outlier")</f>
        <v>not outlier</v>
      </c>
      <c r="K750" s="4" t="str">
        <f>IF(OR(Копия_20206[[#This Row],[Value (in 1000 rub)]]&gt;$S$7,Копия_20206[[#This Row],[Value (in 1000 rub)]]&lt;$S$6),"outlier","not outlier")</f>
        <v>not outlier</v>
      </c>
      <c r="L750" s="4" t="str">
        <f>IF(OR(Копия_20206[[#This Row],[Volume (in 1000 kg)]]&gt;$T$7,Копия_20206[[#This Row],[Volume (in 1000 kg)]]&lt;$T$6),"outlier","not outlier")</f>
        <v>not outlier</v>
      </c>
      <c r="M750" s="4" t="str">
        <f>IF(OR(Копия_20206[[#This Row],[Number of stores]]&gt;$U$7,Копия_20206[[#This Row],[Number of stores]]&lt;$U$6),"outlier","not outlier")</f>
        <v>not outlier</v>
      </c>
    </row>
    <row r="751" spans="1:13" x14ac:dyDescent="0.25">
      <c r="A751">
        <v>2021</v>
      </c>
      <c r="B751">
        <v>7</v>
      </c>
      <c r="C751" s="1" t="s">
        <v>8</v>
      </c>
      <c r="D751" s="1" t="s">
        <v>14</v>
      </c>
      <c r="E751" s="1" t="s">
        <v>12</v>
      </c>
      <c r="F751" s="4">
        <v>31.148499999999999</v>
      </c>
      <c r="G751" s="4">
        <v>5644.6854270000003</v>
      </c>
      <c r="H751" s="4">
        <v>12.4594</v>
      </c>
      <c r="I751">
        <v>754</v>
      </c>
      <c r="J751" s="4" t="str">
        <f>IF(OR(Копия_20206[[#This Row],[Units (in 1000)]]&gt;$R$7,Копия_20206[[#This Row],[Units (in 1000)]]&lt;$R$6),"outlier","not outlier")</f>
        <v>outlier</v>
      </c>
      <c r="K751" s="4" t="str">
        <f>IF(OR(Копия_20206[[#This Row],[Value (in 1000 rub)]]&gt;$S$7,Копия_20206[[#This Row],[Value (in 1000 rub)]]&lt;$S$6),"outlier","not outlier")</f>
        <v>outlier</v>
      </c>
      <c r="L751" s="4" t="str">
        <f>IF(OR(Копия_20206[[#This Row],[Volume (in 1000 kg)]]&gt;$T$7,Копия_20206[[#This Row],[Volume (in 1000 kg)]]&lt;$T$6),"outlier","not outlier")</f>
        <v>outlier</v>
      </c>
      <c r="M751" s="4" t="str">
        <f>IF(OR(Копия_20206[[#This Row],[Number of stores]]&gt;$U$7,Копия_20206[[#This Row],[Number of stores]]&lt;$U$6),"outlier","not outlier")</f>
        <v>not outlier</v>
      </c>
    </row>
    <row r="752" spans="1:13" x14ac:dyDescent="0.25">
      <c r="A752">
        <v>2021</v>
      </c>
      <c r="B752">
        <v>7</v>
      </c>
      <c r="C752" s="1" t="s">
        <v>25</v>
      </c>
      <c r="D752" s="1" t="s">
        <v>14</v>
      </c>
      <c r="E752" s="1" t="s">
        <v>10</v>
      </c>
      <c r="F752" s="4">
        <v>1.26E-2</v>
      </c>
      <c r="G752" s="4">
        <v>1.6490320000000001</v>
      </c>
      <c r="H752" s="4">
        <v>2.5000000000000001E-3</v>
      </c>
      <c r="I752">
        <v>7</v>
      </c>
      <c r="J752" s="4" t="str">
        <f>IF(OR(Копия_20206[[#This Row],[Units (in 1000)]]&gt;$R$7,Копия_20206[[#This Row],[Units (in 1000)]]&lt;$R$6),"outlier","not outlier")</f>
        <v>not outlier</v>
      </c>
      <c r="K752" s="4" t="str">
        <f>IF(OR(Копия_20206[[#This Row],[Value (in 1000 rub)]]&gt;$S$7,Копия_20206[[#This Row],[Value (in 1000 rub)]]&lt;$S$6),"outlier","not outlier")</f>
        <v>not outlier</v>
      </c>
      <c r="L752" s="4" t="str">
        <f>IF(OR(Копия_20206[[#This Row],[Volume (in 1000 kg)]]&gt;$T$7,Копия_20206[[#This Row],[Volume (in 1000 kg)]]&lt;$T$6),"outlier","not outlier")</f>
        <v>not outlier</v>
      </c>
      <c r="M752" s="4" t="str">
        <f>IF(OR(Копия_20206[[#This Row],[Number of stores]]&gt;$U$7,Копия_20206[[#This Row],[Number of stores]]&lt;$U$6),"outlier","not outlier")</f>
        <v>not outlier</v>
      </c>
    </row>
    <row r="753" spans="1:13" x14ac:dyDescent="0.25">
      <c r="A753">
        <v>2021</v>
      </c>
      <c r="B753">
        <v>7</v>
      </c>
      <c r="C753" s="1" t="s">
        <v>25</v>
      </c>
      <c r="D753" s="1" t="s">
        <v>14</v>
      </c>
      <c r="E753" s="1" t="s">
        <v>12</v>
      </c>
      <c r="F753" s="4">
        <v>6.2702999999999998</v>
      </c>
      <c r="G753" s="4">
        <v>1229.6147189999997</v>
      </c>
      <c r="H753" s="4">
        <v>2.508</v>
      </c>
      <c r="I753">
        <v>914</v>
      </c>
      <c r="J753" s="4" t="str">
        <f>IF(OR(Копия_20206[[#This Row],[Units (in 1000)]]&gt;$R$7,Копия_20206[[#This Row],[Units (in 1000)]]&lt;$R$6),"outlier","not outlier")</f>
        <v>not outlier</v>
      </c>
      <c r="K753" s="4" t="str">
        <f>IF(OR(Копия_20206[[#This Row],[Value (in 1000 rub)]]&gt;$S$7,Копия_20206[[#This Row],[Value (in 1000 rub)]]&lt;$S$6),"outlier","not outlier")</f>
        <v>not outlier</v>
      </c>
      <c r="L753" s="4" t="str">
        <f>IF(OR(Копия_20206[[#This Row],[Volume (in 1000 kg)]]&gt;$T$7,Копия_20206[[#This Row],[Volume (in 1000 kg)]]&lt;$T$6),"outlier","not outlier")</f>
        <v>not outlier</v>
      </c>
      <c r="M753" s="4" t="str">
        <f>IF(OR(Копия_20206[[#This Row],[Number of stores]]&gt;$U$7,Копия_20206[[#This Row],[Number of stores]]&lt;$U$6),"outlier","not outlier")</f>
        <v>not outlier</v>
      </c>
    </row>
    <row r="754" spans="1:13" x14ac:dyDescent="0.25">
      <c r="A754">
        <v>2021</v>
      </c>
      <c r="B754">
        <v>7</v>
      </c>
      <c r="C754" s="1" t="s">
        <v>29</v>
      </c>
      <c r="D754" s="1" t="s">
        <v>14</v>
      </c>
      <c r="E754" s="1" t="s">
        <v>10</v>
      </c>
      <c r="F754" s="4">
        <v>1.0229999999999999</v>
      </c>
      <c r="G754" s="4">
        <v>116.463955</v>
      </c>
      <c r="H754" s="4">
        <v>0.2046</v>
      </c>
      <c r="I754">
        <v>252</v>
      </c>
      <c r="J754" s="4" t="str">
        <f>IF(OR(Копия_20206[[#This Row],[Units (in 1000)]]&gt;$R$7,Копия_20206[[#This Row],[Units (in 1000)]]&lt;$R$6),"outlier","not outlier")</f>
        <v>not outlier</v>
      </c>
      <c r="K754" s="4" t="str">
        <f>IF(OR(Копия_20206[[#This Row],[Value (in 1000 rub)]]&gt;$S$7,Копия_20206[[#This Row],[Value (in 1000 rub)]]&lt;$S$6),"outlier","not outlier")</f>
        <v>not outlier</v>
      </c>
      <c r="L754" s="4" t="str">
        <f>IF(OR(Копия_20206[[#This Row],[Volume (in 1000 kg)]]&gt;$T$7,Копия_20206[[#This Row],[Volume (in 1000 kg)]]&lt;$T$6),"outlier","not outlier")</f>
        <v>not outlier</v>
      </c>
      <c r="M754" s="4" t="str">
        <f>IF(OR(Копия_20206[[#This Row],[Number of stores]]&gt;$U$7,Копия_20206[[#This Row],[Number of stores]]&lt;$U$6),"outlier","not outlier")</f>
        <v>not outlier</v>
      </c>
    </row>
    <row r="755" spans="1:13" x14ac:dyDescent="0.25">
      <c r="A755">
        <v>2021</v>
      </c>
      <c r="B755">
        <v>7</v>
      </c>
      <c r="C755" s="1" t="s">
        <v>29</v>
      </c>
      <c r="D755" s="1" t="s">
        <v>14</v>
      </c>
      <c r="E755" s="1" t="s">
        <v>12</v>
      </c>
      <c r="F755" s="4">
        <v>38.808399999999999</v>
      </c>
      <c r="G755" s="4">
        <v>6837.9572600000001</v>
      </c>
      <c r="H755" s="4">
        <v>15.523300000000001</v>
      </c>
      <c r="I755">
        <v>2278</v>
      </c>
      <c r="J755" s="4" t="str">
        <f>IF(OR(Копия_20206[[#This Row],[Units (in 1000)]]&gt;$R$7,Копия_20206[[#This Row],[Units (in 1000)]]&lt;$R$6),"outlier","not outlier")</f>
        <v>outlier</v>
      </c>
      <c r="K755" s="4" t="str">
        <f>IF(OR(Копия_20206[[#This Row],[Value (in 1000 rub)]]&gt;$S$7,Копия_20206[[#This Row],[Value (in 1000 rub)]]&lt;$S$6),"outlier","not outlier")</f>
        <v>outlier</v>
      </c>
      <c r="L755" s="4" t="str">
        <f>IF(OR(Копия_20206[[#This Row],[Volume (in 1000 kg)]]&gt;$T$7,Копия_20206[[#This Row],[Volume (in 1000 kg)]]&lt;$T$6),"outlier","not outlier")</f>
        <v>outlier</v>
      </c>
      <c r="M755" s="4" t="str">
        <f>IF(OR(Копия_20206[[#This Row],[Number of stores]]&gt;$U$7,Копия_20206[[#This Row],[Number of stores]]&lt;$U$6),"outlier","not outlier")</f>
        <v>not outlier</v>
      </c>
    </row>
    <row r="756" spans="1:13" x14ac:dyDescent="0.25">
      <c r="A756">
        <v>2021</v>
      </c>
      <c r="B756">
        <v>8</v>
      </c>
      <c r="C756" s="1" t="s">
        <v>8</v>
      </c>
      <c r="D756" s="1" t="s">
        <v>14</v>
      </c>
      <c r="E756" s="1" t="s">
        <v>10</v>
      </c>
      <c r="F756" s="4">
        <v>7.5600000000000001E-2</v>
      </c>
      <c r="G756" s="4">
        <v>10.129644000000001</v>
      </c>
      <c r="H756" s="4">
        <v>1.5100000000000001E-2</v>
      </c>
      <c r="I756">
        <v>11</v>
      </c>
      <c r="J756" s="4" t="str">
        <f>IF(OR(Копия_20206[[#This Row],[Units (in 1000)]]&gt;$R$7,Копия_20206[[#This Row],[Units (in 1000)]]&lt;$R$6),"outlier","not outlier")</f>
        <v>not outlier</v>
      </c>
      <c r="K756" s="4" t="str">
        <f>IF(OR(Копия_20206[[#This Row],[Value (in 1000 rub)]]&gt;$S$7,Копия_20206[[#This Row],[Value (in 1000 rub)]]&lt;$S$6),"outlier","not outlier")</f>
        <v>not outlier</v>
      </c>
      <c r="L756" s="4" t="str">
        <f>IF(OR(Копия_20206[[#This Row],[Volume (in 1000 kg)]]&gt;$T$7,Копия_20206[[#This Row],[Volume (in 1000 kg)]]&lt;$T$6),"outlier","not outlier")</f>
        <v>not outlier</v>
      </c>
      <c r="M756" s="4" t="str">
        <f>IF(OR(Копия_20206[[#This Row],[Number of stores]]&gt;$U$7,Копия_20206[[#This Row],[Number of stores]]&lt;$U$6),"outlier","not outlier")</f>
        <v>not outlier</v>
      </c>
    </row>
    <row r="757" spans="1:13" x14ac:dyDescent="0.25">
      <c r="A757">
        <v>2021</v>
      </c>
      <c r="B757">
        <v>8</v>
      </c>
      <c r="C757" s="1" t="s">
        <v>8</v>
      </c>
      <c r="D757" s="1" t="s">
        <v>14</v>
      </c>
      <c r="E757" s="1" t="s">
        <v>12</v>
      </c>
      <c r="F757" s="4">
        <v>19.843800000000002</v>
      </c>
      <c r="G757" s="4">
        <v>4048.5126</v>
      </c>
      <c r="H757" s="4">
        <v>7.9375999999999998</v>
      </c>
      <c r="I757">
        <v>737</v>
      </c>
      <c r="J757" s="4" t="str">
        <f>IF(OR(Копия_20206[[#This Row],[Units (in 1000)]]&gt;$R$7,Копия_20206[[#This Row],[Units (in 1000)]]&lt;$R$6),"outlier","not outlier")</f>
        <v>not outlier</v>
      </c>
      <c r="K757" s="4" t="str">
        <f>IF(OR(Копия_20206[[#This Row],[Value (in 1000 rub)]]&gt;$S$7,Копия_20206[[#This Row],[Value (in 1000 rub)]]&lt;$S$6),"outlier","not outlier")</f>
        <v>outlier</v>
      </c>
      <c r="L757" s="4" t="str">
        <f>IF(OR(Копия_20206[[#This Row],[Volume (in 1000 kg)]]&gt;$T$7,Копия_20206[[#This Row],[Volume (in 1000 kg)]]&lt;$T$6),"outlier","not outlier")</f>
        <v>outlier</v>
      </c>
      <c r="M757" s="4" t="str">
        <f>IF(OR(Копия_20206[[#This Row],[Number of stores]]&gt;$U$7,Копия_20206[[#This Row],[Number of stores]]&lt;$U$6),"outlier","not outlier")</f>
        <v>not outlier</v>
      </c>
    </row>
    <row r="758" spans="1:13" x14ac:dyDescent="0.25">
      <c r="A758">
        <v>2021</v>
      </c>
      <c r="B758">
        <v>8</v>
      </c>
      <c r="C758" s="1" t="s">
        <v>25</v>
      </c>
      <c r="D758" s="1" t="s">
        <v>14</v>
      </c>
      <c r="E758" s="1" t="s">
        <v>10</v>
      </c>
      <c r="F758" s="4">
        <v>1.09E-2</v>
      </c>
      <c r="G758" s="4">
        <v>1.3807579999999999</v>
      </c>
      <c r="H758" s="4">
        <v>2.2000000000000001E-3</v>
      </c>
      <c r="I758">
        <v>6</v>
      </c>
      <c r="J758" s="4" t="str">
        <f>IF(OR(Копия_20206[[#This Row],[Units (in 1000)]]&gt;$R$7,Копия_20206[[#This Row],[Units (in 1000)]]&lt;$R$6),"outlier","not outlier")</f>
        <v>not outlier</v>
      </c>
      <c r="K758" s="4" t="str">
        <f>IF(OR(Копия_20206[[#This Row],[Value (in 1000 rub)]]&gt;$S$7,Копия_20206[[#This Row],[Value (in 1000 rub)]]&lt;$S$6),"outlier","not outlier")</f>
        <v>not outlier</v>
      </c>
      <c r="L758" s="4" t="str">
        <f>IF(OR(Копия_20206[[#This Row],[Volume (in 1000 kg)]]&gt;$T$7,Копия_20206[[#This Row],[Volume (in 1000 kg)]]&lt;$T$6),"outlier","not outlier")</f>
        <v>not outlier</v>
      </c>
      <c r="M758" s="4" t="str">
        <f>IF(OR(Копия_20206[[#This Row],[Number of stores]]&gt;$U$7,Копия_20206[[#This Row],[Number of stores]]&lt;$U$6),"outlier","not outlier")</f>
        <v>not outlier</v>
      </c>
    </row>
    <row r="759" spans="1:13" x14ac:dyDescent="0.25">
      <c r="A759">
        <v>2021</v>
      </c>
      <c r="B759">
        <v>8</v>
      </c>
      <c r="C759" s="1" t="s">
        <v>25</v>
      </c>
      <c r="D759" s="1" t="s">
        <v>14</v>
      </c>
      <c r="E759" s="1" t="s">
        <v>12</v>
      </c>
      <c r="F759" s="4">
        <v>4.3940999999999999</v>
      </c>
      <c r="G759" s="4">
        <v>891.77874299999996</v>
      </c>
      <c r="H759" s="4">
        <v>1.7577</v>
      </c>
      <c r="I759">
        <v>710</v>
      </c>
      <c r="J759" s="4" t="str">
        <f>IF(OR(Копия_20206[[#This Row],[Units (in 1000)]]&gt;$R$7,Копия_20206[[#This Row],[Units (in 1000)]]&lt;$R$6),"outlier","not outlier")</f>
        <v>not outlier</v>
      </c>
      <c r="K759" s="4" t="str">
        <f>IF(OR(Копия_20206[[#This Row],[Value (in 1000 rub)]]&gt;$S$7,Копия_20206[[#This Row],[Value (in 1000 rub)]]&lt;$S$6),"outlier","not outlier")</f>
        <v>not outlier</v>
      </c>
      <c r="L759" s="4" t="str">
        <f>IF(OR(Копия_20206[[#This Row],[Volume (in 1000 kg)]]&gt;$T$7,Копия_20206[[#This Row],[Volume (in 1000 kg)]]&lt;$T$6),"outlier","not outlier")</f>
        <v>not outlier</v>
      </c>
      <c r="M759" s="4" t="str">
        <f>IF(OR(Копия_20206[[#This Row],[Number of stores]]&gt;$U$7,Копия_20206[[#This Row],[Number of stores]]&lt;$U$6),"outlier","not outlier")</f>
        <v>not outlier</v>
      </c>
    </row>
    <row r="760" spans="1:13" x14ac:dyDescent="0.25">
      <c r="A760">
        <v>2021</v>
      </c>
      <c r="B760">
        <v>8</v>
      </c>
      <c r="C760" s="1" t="s">
        <v>29</v>
      </c>
      <c r="D760" s="1" t="s">
        <v>14</v>
      </c>
      <c r="E760" s="1" t="s">
        <v>10</v>
      </c>
      <c r="F760" s="4">
        <v>1.1187</v>
      </c>
      <c r="G760" s="4">
        <v>129.45026300000001</v>
      </c>
      <c r="H760" s="4">
        <v>0.2238</v>
      </c>
      <c r="I760">
        <v>226</v>
      </c>
      <c r="J760" s="4" t="str">
        <f>IF(OR(Копия_20206[[#This Row],[Units (in 1000)]]&gt;$R$7,Копия_20206[[#This Row],[Units (in 1000)]]&lt;$R$6),"outlier","not outlier")</f>
        <v>not outlier</v>
      </c>
      <c r="K760" s="4" t="str">
        <f>IF(OR(Копия_20206[[#This Row],[Value (in 1000 rub)]]&gt;$S$7,Копия_20206[[#This Row],[Value (in 1000 rub)]]&lt;$S$6),"outlier","not outlier")</f>
        <v>not outlier</v>
      </c>
      <c r="L760" s="4" t="str">
        <f>IF(OR(Копия_20206[[#This Row],[Volume (in 1000 kg)]]&gt;$T$7,Копия_20206[[#This Row],[Volume (in 1000 kg)]]&lt;$T$6),"outlier","not outlier")</f>
        <v>not outlier</v>
      </c>
      <c r="M760" s="4" t="str">
        <f>IF(OR(Копия_20206[[#This Row],[Number of stores]]&gt;$U$7,Копия_20206[[#This Row],[Number of stores]]&lt;$U$6),"outlier","not outlier")</f>
        <v>not outlier</v>
      </c>
    </row>
    <row r="761" spans="1:13" x14ac:dyDescent="0.25">
      <c r="A761">
        <v>2021</v>
      </c>
      <c r="B761">
        <v>8</v>
      </c>
      <c r="C761" s="1" t="s">
        <v>29</v>
      </c>
      <c r="D761" s="1" t="s">
        <v>14</v>
      </c>
      <c r="E761" s="1" t="s">
        <v>12</v>
      </c>
      <c r="F761" s="4">
        <v>30.881499999999999</v>
      </c>
      <c r="G761" s="4">
        <v>6111.299986</v>
      </c>
      <c r="H761" s="4">
        <v>12.3527</v>
      </c>
      <c r="I761">
        <v>3561</v>
      </c>
      <c r="J761" s="4" t="str">
        <f>IF(OR(Копия_20206[[#This Row],[Units (in 1000)]]&gt;$R$7,Копия_20206[[#This Row],[Units (in 1000)]]&lt;$R$6),"outlier","not outlier")</f>
        <v>outlier</v>
      </c>
      <c r="K761" s="4" t="str">
        <f>IF(OR(Копия_20206[[#This Row],[Value (in 1000 rub)]]&gt;$S$7,Копия_20206[[#This Row],[Value (in 1000 rub)]]&lt;$S$6),"outlier","not outlier")</f>
        <v>outlier</v>
      </c>
      <c r="L761" s="4" t="str">
        <f>IF(OR(Копия_20206[[#This Row],[Volume (in 1000 kg)]]&gt;$T$7,Копия_20206[[#This Row],[Volume (in 1000 kg)]]&lt;$T$6),"outlier","not outlier")</f>
        <v>outlier</v>
      </c>
      <c r="M761" s="4" t="str">
        <f>IF(OR(Копия_20206[[#This Row],[Number of stores]]&gt;$U$7,Копия_20206[[#This Row],[Number of stores]]&lt;$U$6),"outlier","not outlier")</f>
        <v>outlier</v>
      </c>
    </row>
    <row r="762" spans="1:13" x14ac:dyDescent="0.25">
      <c r="A762">
        <v>2021</v>
      </c>
      <c r="B762">
        <v>9</v>
      </c>
      <c r="C762" s="1" t="s">
        <v>8</v>
      </c>
      <c r="D762" s="1" t="s">
        <v>14</v>
      </c>
      <c r="E762" s="1" t="s">
        <v>10</v>
      </c>
      <c r="F762" s="4">
        <v>8.6300000000000002E-2</v>
      </c>
      <c r="G762" s="4">
        <v>11.195581000000001</v>
      </c>
      <c r="H762" s="4">
        <v>1.72E-2</v>
      </c>
      <c r="I762">
        <v>11</v>
      </c>
      <c r="J762" s="4" t="str">
        <f>IF(OR(Копия_20206[[#This Row],[Units (in 1000)]]&gt;$R$7,Копия_20206[[#This Row],[Units (in 1000)]]&lt;$R$6),"outlier","not outlier")</f>
        <v>not outlier</v>
      </c>
      <c r="K762" s="4" t="str">
        <f>IF(OR(Копия_20206[[#This Row],[Value (in 1000 rub)]]&gt;$S$7,Копия_20206[[#This Row],[Value (in 1000 rub)]]&lt;$S$6),"outlier","not outlier")</f>
        <v>not outlier</v>
      </c>
      <c r="L762" s="4" t="str">
        <f>IF(OR(Копия_20206[[#This Row],[Volume (in 1000 kg)]]&gt;$T$7,Копия_20206[[#This Row],[Volume (in 1000 kg)]]&lt;$T$6),"outlier","not outlier")</f>
        <v>not outlier</v>
      </c>
      <c r="M762" s="4" t="str">
        <f>IF(OR(Копия_20206[[#This Row],[Number of stores]]&gt;$U$7,Копия_20206[[#This Row],[Number of stores]]&lt;$U$6),"outlier","not outlier")</f>
        <v>not outlier</v>
      </c>
    </row>
    <row r="763" spans="1:13" x14ac:dyDescent="0.25">
      <c r="A763">
        <v>2021</v>
      </c>
      <c r="B763">
        <v>9</v>
      </c>
      <c r="C763" s="1" t="s">
        <v>8</v>
      </c>
      <c r="D763" s="1" t="s">
        <v>14</v>
      </c>
      <c r="E763" s="1" t="s">
        <v>12</v>
      </c>
      <c r="F763" s="4">
        <v>24.175999999999998</v>
      </c>
      <c r="G763" s="4">
        <v>4509.2291679999998</v>
      </c>
      <c r="H763" s="4">
        <v>9.6705000000000005</v>
      </c>
      <c r="I763">
        <v>702</v>
      </c>
      <c r="J763" s="4" t="str">
        <f>IF(OR(Копия_20206[[#This Row],[Units (in 1000)]]&gt;$R$7,Копия_20206[[#This Row],[Units (in 1000)]]&lt;$R$6),"outlier","not outlier")</f>
        <v>outlier</v>
      </c>
      <c r="K763" s="4" t="str">
        <f>IF(OR(Копия_20206[[#This Row],[Value (in 1000 rub)]]&gt;$S$7,Копия_20206[[#This Row],[Value (in 1000 rub)]]&lt;$S$6),"outlier","not outlier")</f>
        <v>outlier</v>
      </c>
      <c r="L763" s="4" t="str">
        <f>IF(OR(Копия_20206[[#This Row],[Volume (in 1000 kg)]]&gt;$T$7,Копия_20206[[#This Row],[Volume (in 1000 kg)]]&lt;$T$6),"outlier","not outlier")</f>
        <v>outlier</v>
      </c>
      <c r="M763" s="4" t="str">
        <f>IF(OR(Копия_20206[[#This Row],[Number of stores]]&gt;$U$7,Копия_20206[[#This Row],[Number of stores]]&lt;$U$6),"outlier","not outlier")</f>
        <v>not outlier</v>
      </c>
    </row>
    <row r="764" spans="1:13" x14ac:dyDescent="0.25">
      <c r="A764">
        <v>2021</v>
      </c>
      <c r="B764">
        <v>9</v>
      </c>
      <c r="C764" s="1" t="s">
        <v>25</v>
      </c>
      <c r="D764" s="1" t="s">
        <v>14</v>
      </c>
      <c r="E764" s="1" t="s">
        <v>10</v>
      </c>
      <c r="F764" s="4">
        <v>0.30830000000000002</v>
      </c>
      <c r="G764" s="4">
        <v>41.966569</v>
      </c>
      <c r="H764" s="4">
        <v>6.1699999999999998E-2</v>
      </c>
      <c r="I764">
        <v>33</v>
      </c>
      <c r="J764" s="4" t="str">
        <f>IF(OR(Копия_20206[[#This Row],[Units (in 1000)]]&gt;$R$7,Копия_20206[[#This Row],[Units (in 1000)]]&lt;$R$6),"outlier","not outlier")</f>
        <v>not outlier</v>
      </c>
      <c r="K764" s="4" t="str">
        <f>IF(OR(Копия_20206[[#This Row],[Value (in 1000 rub)]]&gt;$S$7,Копия_20206[[#This Row],[Value (in 1000 rub)]]&lt;$S$6),"outlier","not outlier")</f>
        <v>not outlier</v>
      </c>
      <c r="L764" s="4" t="str">
        <f>IF(OR(Копия_20206[[#This Row],[Volume (in 1000 kg)]]&gt;$T$7,Копия_20206[[#This Row],[Volume (in 1000 kg)]]&lt;$T$6),"outlier","not outlier")</f>
        <v>not outlier</v>
      </c>
      <c r="M764" s="4" t="str">
        <f>IF(OR(Копия_20206[[#This Row],[Number of stores]]&gt;$U$7,Копия_20206[[#This Row],[Number of stores]]&lt;$U$6),"outlier","not outlier")</f>
        <v>not outlier</v>
      </c>
    </row>
    <row r="765" spans="1:13" x14ac:dyDescent="0.25">
      <c r="A765">
        <v>2021</v>
      </c>
      <c r="B765">
        <v>9</v>
      </c>
      <c r="C765" s="1" t="s">
        <v>25</v>
      </c>
      <c r="D765" s="1" t="s">
        <v>14</v>
      </c>
      <c r="E765" s="1" t="s">
        <v>12</v>
      </c>
      <c r="F765" s="4">
        <v>5.4635999999999996</v>
      </c>
      <c r="G765" s="4">
        <v>1037.09187</v>
      </c>
      <c r="H765" s="4">
        <v>2.1854</v>
      </c>
      <c r="I765">
        <v>810</v>
      </c>
      <c r="J765" s="4" t="str">
        <f>IF(OR(Копия_20206[[#This Row],[Units (in 1000)]]&gt;$R$7,Копия_20206[[#This Row],[Units (in 1000)]]&lt;$R$6),"outlier","not outlier")</f>
        <v>not outlier</v>
      </c>
      <c r="K765" s="4" t="str">
        <f>IF(OR(Копия_20206[[#This Row],[Value (in 1000 rub)]]&gt;$S$7,Копия_20206[[#This Row],[Value (in 1000 rub)]]&lt;$S$6),"outlier","not outlier")</f>
        <v>not outlier</v>
      </c>
      <c r="L765" s="4" t="str">
        <f>IF(OR(Копия_20206[[#This Row],[Volume (in 1000 kg)]]&gt;$T$7,Копия_20206[[#This Row],[Volume (in 1000 kg)]]&lt;$T$6),"outlier","not outlier")</f>
        <v>not outlier</v>
      </c>
      <c r="M765" s="4" t="str">
        <f>IF(OR(Копия_20206[[#This Row],[Number of stores]]&gt;$U$7,Копия_20206[[#This Row],[Number of stores]]&lt;$U$6),"outlier","not outlier")</f>
        <v>not outlier</v>
      </c>
    </row>
    <row r="766" spans="1:13" x14ac:dyDescent="0.25">
      <c r="A766">
        <v>2021</v>
      </c>
      <c r="B766">
        <v>9</v>
      </c>
      <c r="C766" s="1" t="s">
        <v>29</v>
      </c>
      <c r="D766" s="1" t="s">
        <v>14</v>
      </c>
      <c r="E766" s="1" t="s">
        <v>10</v>
      </c>
      <c r="F766" s="4">
        <v>0.96830000000000005</v>
      </c>
      <c r="G766" s="4">
        <v>114.95761400000001</v>
      </c>
      <c r="H766" s="4">
        <v>0.19370000000000001</v>
      </c>
      <c r="I766">
        <v>253</v>
      </c>
      <c r="J766" s="4" t="str">
        <f>IF(OR(Копия_20206[[#This Row],[Units (in 1000)]]&gt;$R$7,Копия_20206[[#This Row],[Units (in 1000)]]&lt;$R$6),"outlier","not outlier")</f>
        <v>not outlier</v>
      </c>
      <c r="K766" s="4" t="str">
        <f>IF(OR(Копия_20206[[#This Row],[Value (in 1000 rub)]]&gt;$S$7,Копия_20206[[#This Row],[Value (in 1000 rub)]]&lt;$S$6),"outlier","not outlier")</f>
        <v>not outlier</v>
      </c>
      <c r="L766" s="4" t="str">
        <f>IF(OR(Копия_20206[[#This Row],[Volume (in 1000 kg)]]&gt;$T$7,Копия_20206[[#This Row],[Volume (in 1000 kg)]]&lt;$T$6),"outlier","not outlier")</f>
        <v>not outlier</v>
      </c>
      <c r="M766" s="4" t="str">
        <f>IF(OR(Копия_20206[[#This Row],[Number of stores]]&gt;$U$7,Копия_20206[[#This Row],[Number of stores]]&lt;$U$6),"outlier","not outlier")</f>
        <v>not outlier</v>
      </c>
    </row>
    <row r="767" spans="1:13" x14ac:dyDescent="0.25">
      <c r="A767">
        <v>2021</v>
      </c>
      <c r="B767">
        <v>9</v>
      </c>
      <c r="C767" s="1" t="s">
        <v>29</v>
      </c>
      <c r="D767" s="1" t="s">
        <v>14</v>
      </c>
      <c r="E767" s="1" t="s">
        <v>12</v>
      </c>
      <c r="F767" s="4">
        <v>37.5212</v>
      </c>
      <c r="G767" s="4">
        <v>7067.4779660000004</v>
      </c>
      <c r="H767" s="4">
        <v>15.0084</v>
      </c>
      <c r="I767">
        <v>3877</v>
      </c>
      <c r="J767" s="4" t="str">
        <f>IF(OR(Копия_20206[[#This Row],[Units (in 1000)]]&gt;$R$7,Копия_20206[[#This Row],[Units (in 1000)]]&lt;$R$6),"outlier","not outlier")</f>
        <v>outlier</v>
      </c>
      <c r="K767" s="4" t="str">
        <f>IF(OR(Копия_20206[[#This Row],[Value (in 1000 rub)]]&gt;$S$7,Копия_20206[[#This Row],[Value (in 1000 rub)]]&lt;$S$6),"outlier","not outlier")</f>
        <v>outlier</v>
      </c>
      <c r="L767" s="4" t="str">
        <f>IF(OR(Копия_20206[[#This Row],[Volume (in 1000 kg)]]&gt;$T$7,Копия_20206[[#This Row],[Volume (in 1000 kg)]]&lt;$T$6),"outlier","not outlier")</f>
        <v>outlier</v>
      </c>
      <c r="M767" s="4" t="str">
        <f>IF(OR(Копия_20206[[#This Row],[Number of stores]]&gt;$U$7,Копия_20206[[#This Row],[Number of stores]]&lt;$U$6),"outlier","not outlier")</f>
        <v>outlier</v>
      </c>
    </row>
    <row r="768" spans="1:13" x14ac:dyDescent="0.25">
      <c r="A768">
        <v>2021</v>
      </c>
      <c r="B768">
        <v>10</v>
      </c>
      <c r="C768" s="1" t="s">
        <v>8</v>
      </c>
      <c r="D768" s="1" t="s">
        <v>14</v>
      </c>
      <c r="E768" s="1" t="s">
        <v>10</v>
      </c>
      <c r="F768" s="4">
        <v>0.1159</v>
      </c>
      <c r="G768" s="4">
        <v>13.984016</v>
      </c>
      <c r="H768" s="4">
        <v>2.3199999999999998E-2</v>
      </c>
      <c r="I768">
        <v>11</v>
      </c>
      <c r="J768" s="4" t="str">
        <f>IF(OR(Копия_20206[[#This Row],[Units (in 1000)]]&gt;$R$7,Копия_20206[[#This Row],[Units (in 1000)]]&lt;$R$6),"outlier","not outlier")</f>
        <v>not outlier</v>
      </c>
      <c r="K768" s="4" t="str">
        <f>IF(OR(Копия_20206[[#This Row],[Value (in 1000 rub)]]&gt;$S$7,Копия_20206[[#This Row],[Value (in 1000 rub)]]&lt;$S$6),"outlier","not outlier")</f>
        <v>not outlier</v>
      </c>
      <c r="L768" s="4" t="str">
        <f>IF(OR(Копия_20206[[#This Row],[Volume (in 1000 kg)]]&gt;$T$7,Копия_20206[[#This Row],[Volume (in 1000 kg)]]&lt;$T$6),"outlier","not outlier")</f>
        <v>not outlier</v>
      </c>
      <c r="M768" s="4" t="str">
        <f>IF(OR(Копия_20206[[#This Row],[Number of stores]]&gt;$U$7,Копия_20206[[#This Row],[Number of stores]]&lt;$U$6),"outlier","not outlier")</f>
        <v>not outlier</v>
      </c>
    </row>
    <row r="769" spans="1:13" x14ac:dyDescent="0.25">
      <c r="A769">
        <v>2021</v>
      </c>
      <c r="B769">
        <v>10</v>
      </c>
      <c r="C769" s="1" t="s">
        <v>8</v>
      </c>
      <c r="D769" s="1" t="s">
        <v>14</v>
      </c>
      <c r="E769" s="1" t="s">
        <v>12</v>
      </c>
      <c r="F769" s="4">
        <v>40.456800000000001</v>
      </c>
      <c r="G769" s="4">
        <v>6789.8870189999998</v>
      </c>
      <c r="H769" s="4">
        <v>16.182700000000001</v>
      </c>
      <c r="I769">
        <v>721</v>
      </c>
      <c r="J769" s="4" t="str">
        <f>IF(OR(Копия_20206[[#This Row],[Units (in 1000)]]&gt;$R$7,Копия_20206[[#This Row],[Units (in 1000)]]&lt;$R$6),"outlier","not outlier")</f>
        <v>outlier</v>
      </c>
      <c r="K769" s="4" t="str">
        <f>IF(OR(Копия_20206[[#This Row],[Value (in 1000 rub)]]&gt;$S$7,Копия_20206[[#This Row],[Value (in 1000 rub)]]&lt;$S$6),"outlier","not outlier")</f>
        <v>outlier</v>
      </c>
      <c r="L769" s="4" t="str">
        <f>IF(OR(Копия_20206[[#This Row],[Volume (in 1000 kg)]]&gt;$T$7,Копия_20206[[#This Row],[Volume (in 1000 kg)]]&lt;$T$6),"outlier","not outlier")</f>
        <v>outlier</v>
      </c>
      <c r="M769" s="4" t="str">
        <f>IF(OR(Копия_20206[[#This Row],[Number of stores]]&gt;$U$7,Копия_20206[[#This Row],[Number of stores]]&lt;$U$6),"outlier","not outlier")</f>
        <v>not outlier</v>
      </c>
    </row>
    <row r="770" spans="1:13" x14ac:dyDescent="0.25">
      <c r="A770">
        <v>2021</v>
      </c>
      <c r="B770">
        <v>10</v>
      </c>
      <c r="C770" s="1" t="s">
        <v>25</v>
      </c>
      <c r="D770" s="1" t="s">
        <v>14</v>
      </c>
      <c r="E770" s="1" t="s">
        <v>10</v>
      </c>
      <c r="F770" s="4">
        <v>8.2699999999999996E-2</v>
      </c>
      <c r="G770" s="4">
        <v>10.970206000000001</v>
      </c>
      <c r="H770" s="4">
        <v>1.6500000000000001E-2</v>
      </c>
      <c r="I770">
        <v>31</v>
      </c>
      <c r="J770" s="4" t="str">
        <f>IF(OR(Копия_20206[[#This Row],[Units (in 1000)]]&gt;$R$7,Копия_20206[[#This Row],[Units (in 1000)]]&lt;$R$6),"outlier","not outlier")</f>
        <v>not outlier</v>
      </c>
      <c r="K770" s="4" t="str">
        <f>IF(OR(Копия_20206[[#This Row],[Value (in 1000 rub)]]&gt;$S$7,Копия_20206[[#This Row],[Value (in 1000 rub)]]&lt;$S$6),"outlier","not outlier")</f>
        <v>not outlier</v>
      </c>
      <c r="L770" s="4" t="str">
        <f>IF(OR(Копия_20206[[#This Row],[Volume (in 1000 kg)]]&gt;$T$7,Копия_20206[[#This Row],[Volume (in 1000 kg)]]&lt;$T$6),"outlier","not outlier")</f>
        <v>not outlier</v>
      </c>
      <c r="M770" s="4" t="str">
        <f>IF(OR(Копия_20206[[#This Row],[Number of stores]]&gt;$U$7,Копия_20206[[#This Row],[Number of stores]]&lt;$U$6),"outlier","not outlier")</f>
        <v>not outlier</v>
      </c>
    </row>
    <row r="771" spans="1:13" x14ac:dyDescent="0.25">
      <c r="A771">
        <v>2021</v>
      </c>
      <c r="B771">
        <v>10</v>
      </c>
      <c r="C771" s="1" t="s">
        <v>25</v>
      </c>
      <c r="D771" s="1" t="s">
        <v>14</v>
      </c>
      <c r="E771" s="1" t="s">
        <v>12</v>
      </c>
      <c r="F771" s="4">
        <v>7.9870000000000001</v>
      </c>
      <c r="G771" s="4">
        <v>1451.274377</v>
      </c>
      <c r="H771" s="4">
        <v>3.1949000000000001</v>
      </c>
      <c r="I771">
        <v>1257</v>
      </c>
      <c r="J771" s="4" t="str">
        <f>IF(OR(Копия_20206[[#This Row],[Units (in 1000)]]&gt;$R$7,Копия_20206[[#This Row],[Units (in 1000)]]&lt;$R$6),"outlier","not outlier")</f>
        <v>not outlier</v>
      </c>
      <c r="K771" s="4" t="str">
        <f>IF(OR(Копия_20206[[#This Row],[Value (in 1000 rub)]]&gt;$S$7,Копия_20206[[#This Row],[Value (in 1000 rub)]]&lt;$S$6),"outlier","not outlier")</f>
        <v>not outlier</v>
      </c>
      <c r="L771" s="4" t="str">
        <f>IF(OR(Копия_20206[[#This Row],[Volume (in 1000 kg)]]&gt;$T$7,Копия_20206[[#This Row],[Volume (in 1000 kg)]]&lt;$T$6),"outlier","not outlier")</f>
        <v>not outlier</v>
      </c>
      <c r="M771" s="4" t="str">
        <f>IF(OR(Копия_20206[[#This Row],[Number of stores]]&gt;$U$7,Копия_20206[[#This Row],[Number of stores]]&lt;$U$6),"outlier","not outlier")</f>
        <v>not outlier</v>
      </c>
    </row>
    <row r="772" spans="1:13" x14ac:dyDescent="0.25">
      <c r="A772">
        <v>2021</v>
      </c>
      <c r="B772">
        <v>10</v>
      </c>
      <c r="C772" s="1" t="s">
        <v>29</v>
      </c>
      <c r="D772" s="1" t="s">
        <v>14</v>
      </c>
      <c r="E772" s="1" t="s">
        <v>10</v>
      </c>
      <c r="F772" s="4">
        <v>1.0006999999999999</v>
      </c>
      <c r="G772" s="4">
        <v>112.16592900000001</v>
      </c>
      <c r="H772" s="4">
        <v>0.20019999999999999</v>
      </c>
      <c r="I772">
        <v>225</v>
      </c>
      <c r="J772" s="4" t="str">
        <f>IF(OR(Копия_20206[[#This Row],[Units (in 1000)]]&gt;$R$7,Копия_20206[[#This Row],[Units (in 1000)]]&lt;$R$6),"outlier","not outlier")</f>
        <v>not outlier</v>
      </c>
      <c r="K772" s="4" t="str">
        <f>IF(OR(Копия_20206[[#This Row],[Value (in 1000 rub)]]&gt;$S$7,Копия_20206[[#This Row],[Value (in 1000 rub)]]&lt;$S$6),"outlier","not outlier")</f>
        <v>not outlier</v>
      </c>
      <c r="L772" s="4" t="str">
        <f>IF(OR(Копия_20206[[#This Row],[Volume (in 1000 kg)]]&gt;$T$7,Копия_20206[[#This Row],[Volume (in 1000 kg)]]&lt;$T$6),"outlier","not outlier")</f>
        <v>not outlier</v>
      </c>
      <c r="M772" s="4" t="str">
        <f>IF(OR(Копия_20206[[#This Row],[Number of stores]]&gt;$U$7,Копия_20206[[#This Row],[Number of stores]]&lt;$U$6),"outlier","not outlier")</f>
        <v>not outlier</v>
      </c>
    </row>
    <row r="773" spans="1:13" x14ac:dyDescent="0.25">
      <c r="A773">
        <v>2021</v>
      </c>
      <c r="B773">
        <v>10</v>
      </c>
      <c r="C773" s="1" t="s">
        <v>29</v>
      </c>
      <c r="D773" s="1" t="s">
        <v>14</v>
      </c>
      <c r="E773" s="1" t="s">
        <v>12</v>
      </c>
      <c r="F773" s="4">
        <v>55.961500000000001</v>
      </c>
      <c r="G773" s="4">
        <v>9577.5189370000007</v>
      </c>
      <c r="H773" s="4">
        <v>22.384599999999999</v>
      </c>
      <c r="I773">
        <v>4222</v>
      </c>
      <c r="J773" s="4" t="str">
        <f>IF(OR(Копия_20206[[#This Row],[Units (in 1000)]]&gt;$R$7,Копия_20206[[#This Row],[Units (in 1000)]]&lt;$R$6),"outlier","not outlier")</f>
        <v>outlier</v>
      </c>
      <c r="K773" s="4" t="str">
        <f>IF(OR(Копия_20206[[#This Row],[Value (in 1000 rub)]]&gt;$S$7,Копия_20206[[#This Row],[Value (in 1000 rub)]]&lt;$S$6),"outlier","not outlier")</f>
        <v>outlier</v>
      </c>
      <c r="L773" s="4" t="str">
        <f>IF(OR(Копия_20206[[#This Row],[Volume (in 1000 kg)]]&gt;$T$7,Копия_20206[[#This Row],[Volume (in 1000 kg)]]&lt;$T$6),"outlier","not outlier")</f>
        <v>outlier</v>
      </c>
      <c r="M773" s="4" t="str">
        <f>IF(OR(Копия_20206[[#This Row],[Number of stores]]&gt;$U$7,Копия_20206[[#This Row],[Number of stores]]&lt;$U$6),"outlier","not outlier")</f>
        <v>outlier</v>
      </c>
    </row>
    <row r="774" spans="1:13" x14ac:dyDescent="0.25">
      <c r="A774">
        <v>2021</v>
      </c>
      <c r="B774">
        <v>11</v>
      </c>
      <c r="C774" s="1" t="s">
        <v>8</v>
      </c>
      <c r="D774" s="1" t="s">
        <v>14</v>
      </c>
      <c r="E774" s="1" t="s">
        <v>10</v>
      </c>
      <c r="F774" s="4">
        <v>0.12039999999999999</v>
      </c>
      <c r="G774" s="4">
        <v>15.142913</v>
      </c>
      <c r="H774" s="4">
        <v>2.41E-2</v>
      </c>
      <c r="I774">
        <v>11</v>
      </c>
      <c r="J774" s="4" t="str">
        <f>IF(OR(Копия_20206[[#This Row],[Units (in 1000)]]&gt;$R$7,Копия_20206[[#This Row],[Units (in 1000)]]&lt;$R$6),"outlier","not outlier")</f>
        <v>not outlier</v>
      </c>
      <c r="K774" s="4" t="str">
        <f>IF(OR(Копия_20206[[#This Row],[Value (in 1000 rub)]]&gt;$S$7,Копия_20206[[#This Row],[Value (in 1000 rub)]]&lt;$S$6),"outlier","not outlier")</f>
        <v>not outlier</v>
      </c>
      <c r="L774" s="4" t="str">
        <f>IF(OR(Копия_20206[[#This Row],[Volume (in 1000 kg)]]&gt;$T$7,Копия_20206[[#This Row],[Volume (in 1000 kg)]]&lt;$T$6),"outlier","not outlier")</f>
        <v>not outlier</v>
      </c>
      <c r="M774" s="4" t="str">
        <f>IF(OR(Копия_20206[[#This Row],[Number of stores]]&gt;$U$7,Копия_20206[[#This Row],[Number of stores]]&lt;$U$6),"outlier","not outlier")</f>
        <v>not outlier</v>
      </c>
    </row>
    <row r="775" spans="1:13" x14ac:dyDescent="0.25">
      <c r="A775">
        <v>2021</v>
      </c>
      <c r="B775">
        <v>11</v>
      </c>
      <c r="C775" s="1" t="s">
        <v>8</v>
      </c>
      <c r="D775" s="1" t="s">
        <v>14</v>
      </c>
      <c r="E775" s="1" t="s">
        <v>12</v>
      </c>
      <c r="F775" s="4">
        <v>57.123100000000001</v>
      </c>
      <c r="G775" s="4">
        <v>7939.3939970000001</v>
      </c>
      <c r="H775" s="4">
        <v>22.849299999999999</v>
      </c>
      <c r="I775">
        <v>766</v>
      </c>
      <c r="J775" s="4" t="str">
        <f>IF(OR(Копия_20206[[#This Row],[Units (in 1000)]]&gt;$R$7,Копия_20206[[#This Row],[Units (in 1000)]]&lt;$R$6),"outlier","not outlier")</f>
        <v>outlier</v>
      </c>
      <c r="K775" s="4" t="str">
        <f>IF(OR(Копия_20206[[#This Row],[Value (in 1000 rub)]]&gt;$S$7,Копия_20206[[#This Row],[Value (in 1000 rub)]]&lt;$S$6),"outlier","not outlier")</f>
        <v>outlier</v>
      </c>
      <c r="L775" s="4" t="str">
        <f>IF(OR(Копия_20206[[#This Row],[Volume (in 1000 kg)]]&gt;$T$7,Копия_20206[[#This Row],[Volume (in 1000 kg)]]&lt;$T$6),"outlier","not outlier")</f>
        <v>outlier</v>
      </c>
      <c r="M775" s="4" t="str">
        <f>IF(OR(Копия_20206[[#This Row],[Number of stores]]&gt;$U$7,Копия_20206[[#This Row],[Number of stores]]&lt;$U$6),"outlier","not outlier")</f>
        <v>not outlier</v>
      </c>
    </row>
    <row r="776" spans="1:13" x14ac:dyDescent="0.25">
      <c r="A776">
        <v>2021</v>
      </c>
      <c r="B776">
        <v>11</v>
      </c>
      <c r="C776" s="1" t="s">
        <v>25</v>
      </c>
      <c r="D776" s="1" t="s">
        <v>14</v>
      </c>
      <c r="E776" s="1" t="s">
        <v>10</v>
      </c>
      <c r="F776" s="4">
        <v>2.6700000000000002E-2</v>
      </c>
      <c r="G776" s="4">
        <v>3.1194350000000002</v>
      </c>
      <c r="H776" s="4">
        <v>5.4000000000000003E-3</v>
      </c>
      <c r="I776">
        <v>8</v>
      </c>
      <c r="J776" s="4" t="str">
        <f>IF(OR(Копия_20206[[#This Row],[Units (in 1000)]]&gt;$R$7,Копия_20206[[#This Row],[Units (in 1000)]]&lt;$R$6),"outlier","not outlier")</f>
        <v>not outlier</v>
      </c>
      <c r="K776" s="4" t="str">
        <f>IF(OR(Копия_20206[[#This Row],[Value (in 1000 rub)]]&gt;$S$7,Копия_20206[[#This Row],[Value (in 1000 rub)]]&lt;$S$6),"outlier","not outlier")</f>
        <v>not outlier</v>
      </c>
      <c r="L776" s="4" t="str">
        <f>IF(OR(Копия_20206[[#This Row],[Volume (in 1000 kg)]]&gt;$T$7,Копия_20206[[#This Row],[Volume (in 1000 kg)]]&lt;$T$6),"outlier","not outlier")</f>
        <v>not outlier</v>
      </c>
      <c r="M776" s="4" t="str">
        <f>IF(OR(Копия_20206[[#This Row],[Number of stores]]&gt;$U$7,Копия_20206[[#This Row],[Number of stores]]&lt;$U$6),"outlier","not outlier")</f>
        <v>not outlier</v>
      </c>
    </row>
    <row r="777" spans="1:13" x14ac:dyDescent="0.25">
      <c r="A777">
        <v>2021</v>
      </c>
      <c r="B777">
        <v>11</v>
      </c>
      <c r="C777" s="1" t="s">
        <v>25</v>
      </c>
      <c r="D777" s="1" t="s">
        <v>14</v>
      </c>
      <c r="E777" s="1" t="s">
        <v>12</v>
      </c>
      <c r="F777" s="4">
        <v>8.1548999999999996</v>
      </c>
      <c r="G777" s="4">
        <v>1411.3826570000001</v>
      </c>
      <c r="H777" s="4">
        <v>3.2618999999999998</v>
      </c>
      <c r="I777">
        <v>1619</v>
      </c>
      <c r="J777" s="4" t="str">
        <f>IF(OR(Копия_20206[[#This Row],[Units (in 1000)]]&gt;$R$7,Копия_20206[[#This Row],[Units (in 1000)]]&lt;$R$6),"outlier","not outlier")</f>
        <v>not outlier</v>
      </c>
      <c r="K777" s="4" t="str">
        <f>IF(OR(Копия_20206[[#This Row],[Value (in 1000 rub)]]&gt;$S$7,Копия_20206[[#This Row],[Value (in 1000 rub)]]&lt;$S$6),"outlier","not outlier")</f>
        <v>not outlier</v>
      </c>
      <c r="L777" s="4" t="str">
        <f>IF(OR(Копия_20206[[#This Row],[Volume (in 1000 kg)]]&gt;$T$7,Копия_20206[[#This Row],[Volume (in 1000 kg)]]&lt;$T$6),"outlier","not outlier")</f>
        <v>not outlier</v>
      </c>
      <c r="M777" s="4" t="str">
        <f>IF(OR(Копия_20206[[#This Row],[Number of stores]]&gt;$U$7,Копия_20206[[#This Row],[Number of stores]]&lt;$U$6),"outlier","not outlier")</f>
        <v>not outlier</v>
      </c>
    </row>
    <row r="778" spans="1:13" x14ac:dyDescent="0.25">
      <c r="A778">
        <v>2021</v>
      </c>
      <c r="B778">
        <v>11</v>
      </c>
      <c r="C778" s="1" t="s">
        <v>29</v>
      </c>
      <c r="D778" s="1" t="s">
        <v>14</v>
      </c>
      <c r="E778" s="1" t="s">
        <v>10</v>
      </c>
      <c r="F778" s="4">
        <v>0.99129999999999996</v>
      </c>
      <c r="G778" s="4">
        <v>116.18659599999999</v>
      </c>
      <c r="H778" s="4">
        <v>0.1983</v>
      </c>
      <c r="I778">
        <v>252</v>
      </c>
      <c r="J778" s="4" t="str">
        <f>IF(OR(Копия_20206[[#This Row],[Units (in 1000)]]&gt;$R$7,Копия_20206[[#This Row],[Units (in 1000)]]&lt;$R$6),"outlier","not outlier")</f>
        <v>not outlier</v>
      </c>
      <c r="K778" s="4" t="str">
        <f>IF(OR(Копия_20206[[#This Row],[Value (in 1000 rub)]]&gt;$S$7,Копия_20206[[#This Row],[Value (in 1000 rub)]]&lt;$S$6),"outlier","not outlier")</f>
        <v>not outlier</v>
      </c>
      <c r="L778" s="4" t="str">
        <f>IF(OR(Копия_20206[[#This Row],[Volume (in 1000 kg)]]&gt;$T$7,Копия_20206[[#This Row],[Volume (in 1000 kg)]]&lt;$T$6),"outlier","not outlier")</f>
        <v>not outlier</v>
      </c>
      <c r="M778" s="4" t="str">
        <f>IF(OR(Копия_20206[[#This Row],[Number of stores]]&gt;$U$7,Копия_20206[[#This Row],[Number of stores]]&lt;$U$6),"outlier","not outlier")</f>
        <v>not outlier</v>
      </c>
    </row>
    <row r="779" spans="1:13" x14ac:dyDescent="0.25">
      <c r="A779">
        <v>2021</v>
      </c>
      <c r="B779">
        <v>11</v>
      </c>
      <c r="C779" s="1" t="s">
        <v>29</v>
      </c>
      <c r="D779" s="1" t="s">
        <v>14</v>
      </c>
      <c r="E779" s="1" t="s">
        <v>12</v>
      </c>
      <c r="F779" s="4">
        <v>49.348700000000001</v>
      </c>
      <c r="G779" s="4">
        <v>8723.8077009999997</v>
      </c>
      <c r="H779" s="4">
        <v>19.7395</v>
      </c>
      <c r="I779">
        <v>4650</v>
      </c>
      <c r="J779" s="4" t="str">
        <f>IF(OR(Копия_20206[[#This Row],[Units (in 1000)]]&gt;$R$7,Копия_20206[[#This Row],[Units (in 1000)]]&lt;$R$6),"outlier","not outlier")</f>
        <v>outlier</v>
      </c>
      <c r="K779" s="4" t="str">
        <f>IF(OR(Копия_20206[[#This Row],[Value (in 1000 rub)]]&gt;$S$7,Копия_20206[[#This Row],[Value (in 1000 rub)]]&lt;$S$6),"outlier","not outlier")</f>
        <v>outlier</v>
      </c>
      <c r="L779" s="4" t="str">
        <f>IF(OR(Копия_20206[[#This Row],[Volume (in 1000 kg)]]&gt;$T$7,Копия_20206[[#This Row],[Volume (in 1000 kg)]]&lt;$T$6),"outlier","not outlier")</f>
        <v>outlier</v>
      </c>
      <c r="M779" s="4" t="str">
        <f>IF(OR(Копия_20206[[#This Row],[Number of stores]]&gt;$U$7,Копия_20206[[#This Row],[Number of stores]]&lt;$U$6),"outlier","not outlier")</f>
        <v>outlier</v>
      </c>
    </row>
    <row r="780" spans="1:13" x14ac:dyDescent="0.25">
      <c r="A780">
        <v>2021</v>
      </c>
      <c r="B780">
        <v>12</v>
      </c>
      <c r="C780" s="1" t="s">
        <v>8</v>
      </c>
      <c r="D780" s="1" t="s">
        <v>14</v>
      </c>
      <c r="E780" s="1" t="s">
        <v>10</v>
      </c>
      <c r="F780" s="4">
        <v>0.126</v>
      </c>
      <c r="G780" s="4">
        <v>15.565614</v>
      </c>
      <c r="H780" s="4">
        <v>2.52E-2</v>
      </c>
      <c r="I780">
        <v>11</v>
      </c>
      <c r="J780" s="4" t="str">
        <f>IF(OR(Копия_20206[[#This Row],[Units (in 1000)]]&gt;$R$7,Копия_20206[[#This Row],[Units (in 1000)]]&lt;$R$6),"outlier","not outlier")</f>
        <v>not outlier</v>
      </c>
      <c r="K780" s="4" t="str">
        <f>IF(OR(Копия_20206[[#This Row],[Value (in 1000 rub)]]&gt;$S$7,Копия_20206[[#This Row],[Value (in 1000 rub)]]&lt;$S$6),"outlier","not outlier")</f>
        <v>not outlier</v>
      </c>
      <c r="L780" s="4" t="str">
        <f>IF(OR(Копия_20206[[#This Row],[Volume (in 1000 kg)]]&gt;$T$7,Копия_20206[[#This Row],[Volume (in 1000 kg)]]&lt;$T$6),"outlier","not outlier")</f>
        <v>not outlier</v>
      </c>
      <c r="M780" s="4" t="str">
        <f>IF(OR(Копия_20206[[#This Row],[Number of stores]]&gt;$U$7,Копия_20206[[#This Row],[Number of stores]]&lt;$U$6),"outlier","not outlier")</f>
        <v>not outlier</v>
      </c>
    </row>
    <row r="781" spans="1:13" x14ac:dyDescent="0.25">
      <c r="A781">
        <v>2021</v>
      </c>
      <c r="B781">
        <v>12</v>
      </c>
      <c r="C781" s="1" t="s">
        <v>8</v>
      </c>
      <c r="D781" s="1" t="s">
        <v>14</v>
      </c>
      <c r="E781" s="1" t="s">
        <v>12</v>
      </c>
      <c r="F781" s="4">
        <v>48.531799999999997</v>
      </c>
      <c r="G781" s="4">
        <v>7688.3169230000003</v>
      </c>
      <c r="H781" s="4">
        <v>19.412700000000001</v>
      </c>
      <c r="I781">
        <v>766</v>
      </c>
      <c r="J781" s="4" t="str">
        <f>IF(OR(Копия_20206[[#This Row],[Units (in 1000)]]&gt;$R$7,Копия_20206[[#This Row],[Units (in 1000)]]&lt;$R$6),"outlier","not outlier")</f>
        <v>outlier</v>
      </c>
      <c r="K781" s="4" t="str">
        <f>IF(OR(Копия_20206[[#This Row],[Value (in 1000 rub)]]&gt;$S$7,Копия_20206[[#This Row],[Value (in 1000 rub)]]&lt;$S$6),"outlier","not outlier")</f>
        <v>outlier</v>
      </c>
      <c r="L781" s="4" t="str">
        <f>IF(OR(Копия_20206[[#This Row],[Volume (in 1000 kg)]]&gt;$T$7,Копия_20206[[#This Row],[Volume (in 1000 kg)]]&lt;$T$6),"outlier","not outlier")</f>
        <v>outlier</v>
      </c>
      <c r="M781" s="4" t="str">
        <f>IF(OR(Копия_20206[[#This Row],[Number of stores]]&gt;$U$7,Копия_20206[[#This Row],[Number of stores]]&lt;$U$6),"outlier","not outlier")</f>
        <v>not outlier</v>
      </c>
    </row>
    <row r="782" spans="1:13" x14ac:dyDescent="0.25">
      <c r="A782">
        <v>2021</v>
      </c>
      <c r="B782">
        <v>12</v>
      </c>
      <c r="C782" s="1" t="s">
        <v>25</v>
      </c>
      <c r="D782" s="1" t="s">
        <v>14</v>
      </c>
      <c r="E782" s="1" t="s">
        <v>10</v>
      </c>
      <c r="F782" s="4">
        <v>6.4600000000000005E-2</v>
      </c>
      <c r="G782" s="4">
        <v>9.8290120000000005</v>
      </c>
      <c r="H782" s="4">
        <v>1.29E-2</v>
      </c>
      <c r="I782">
        <v>19</v>
      </c>
      <c r="J782" s="4" t="str">
        <f>IF(OR(Копия_20206[[#This Row],[Units (in 1000)]]&gt;$R$7,Копия_20206[[#This Row],[Units (in 1000)]]&lt;$R$6),"outlier","not outlier")</f>
        <v>not outlier</v>
      </c>
      <c r="K782" s="4" t="str">
        <f>IF(OR(Копия_20206[[#This Row],[Value (in 1000 rub)]]&gt;$S$7,Копия_20206[[#This Row],[Value (in 1000 rub)]]&lt;$S$6),"outlier","not outlier")</f>
        <v>not outlier</v>
      </c>
      <c r="L782" s="4" t="str">
        <f>IF(OR(Копия_20206[[#This Row],[Volume (in 1000 kg)]]&gt;$T$7,Копия_20206[[#This Row],[Volume (in 1000 kg)]]&lt;$T$6),"outlier","not outlier")</f>
        <v>not outlier</v>
      </c>
      <c r="M782" s="4" t="str">
        <f>IF(OR(Копия_20206[[#This Row],[Number of stores]]&gt;$U$7,Копия_20206[[#This Row],[Number of stores]]&lt;$U$6),"outlier","not outlier")</f>
        <v>not outlier</v>
      </c>
    </row>
    <row r="783" spans="1:13" x14ac:dyDescent="0.25">
      <c r="A783">
        <v>2021</v>
      </c>
      <c r="B783">
        <v>12</v>
      </c>
      <c r="C783" s="1" t="s">
        <v>25</v>
      </c>
      <c r="D783" s="1" t="s">
        <v>14</v>
      </c>
      <c r="E783" s="1" t="s">
        <v>12</v>
      </c>
      <c r="F783" s="4">
        <v>7.1891999999999996</v>
      </c>
      <c r="G783" s="4">
        <v>1308.7819750000001</v>
      </c>
      <c r="H783" s="4">
        <v>2.8757000000000001</v>
      </c>
      <c r="I783">
        <v>1638</v>
      </c>
      <c r="J783" s="4" t="str">
        <f>IF(OR(Копия_20206[[#This Row],[Units (in 1000)]]&gt;$R$7,Копия_20206[[#This Row],[Units (in 1000)]]&lt;$R$6),"outlier","not outlier")</f>
        <v>not outlier</v>
      </c>
      <c r="K783" s="4" t="str">
        <f>IF(OR(Копия_20206[[#This Row],[Value (in 1000 rub)]]&gt;$S$7,Копия_20206[[#This Row],[Value (in 1000 rub)]]&lt;$S$6),"outlier","not outlier")</f>
        <v>not outlier</v>
      </c>
      <c r="L783" s="4" t="str">
        <f>IF(OR(Копия_20206[[#This Row],[Volume (in 1000 kg)]]&gt;$T$7,Копия_20206[[#This Row],[Volume (in 1000 kg)]]&lt;$T$6),"outlier","not outlier")</f>
        <v>not outlier</v>
      </c>
      <c r="M783" s="4" t="str">
        <f>IF(OR(Копия_20206[[#This Row],[Number of stores]]&gt;$U$7,Копия_20206[[#This Row],[Number of stores]]&lt;$U$6),"outlier","not outlier")</f>
        <v>not outlier</v>
      </c>
    </row>
    <row r="784" spans="1:13" x14ac:dyDescent="0.25">
      <c r="A784">
        <v>2021</v>
      </c>
      <c r="B784">
        <v>12</v>
      </c>
      <c r="C784" s="1" t="s">
        <v>29</v>
      </c>
      <c r="D784" s="1" t="s">
        <v>14</v>
      </c>
      <c r="E784" s="1" t="s">
        <v>10</v>
      </c>
      <c r="F784" s="4">
        <v>1.3880999999999999</v>
      </c>
      <c r="G784" s="4">
        <v>160.19565700000001</v>
      </c>
      <c r="H784" s="4">
        <v>0.27760000000000001</v>
      </c>
      <c r="I784">
        <v>278</v>
      </c>
      <c r="J784" s="4" t="str">
        <f>IF(OR(Копия_20206[[#This Row],[Units (in 1000)]]&gt;$R$7,Копия_20206[[#This Row],[Units (in 1000)]]&lt;$R$6),"outlier","not outlier")</f>
        <v>not outlier</v>
      </c>
      <c r="K784" s="4" t="str">
        <f>IF(OR(Копия_20206[[#This Row],[Value (in 1000 rub)]]&gt;$S$7,Копия_20206[[#This Row],[Value (in 1000 rub)]]&lt;$S$6),"outlier","not outlier")</f>
        <v>not outlier</v>
      </c>
      <c r="L784" s="4" t="str">
        <f>IF(OR(Копия_20206[[#This Row],[Volume (in 1000 kg)]]&gt;$T$7,Копия_20206[[#This Row],[Volume (in 1000 kg)]]&lt;$T$6),"outlier","not outlier")</f>
        <v>not outlier</v>
      </c>
      <c r="M784" s="4" t="str">
        <f>IF(OR(Копия_20206[[#This Row],[Number of stores]]&gt;$U$7,Копия_20206[[#This Row],[Number of stores]]&lt;$U$6),"outlier","not outlier")</f>
        <v>not outlier</v>
      </c>
    </row>
    <row r="785" spans="1:13" x14ac:dyDescent="0.25">
      <c r="A785">
        <v>2021</v>
      </c>
      <c r="B785">
        <v>12</v>
      </c>
      <c r="C785" s="1" t="s">
        <v>29</v>
      </c>
      <c r="D785" s="1" t="s">
        <v>14</v>
      </c>
      <c r="E785" s="1" t="s">
        <v>12</v>
      </c>
      <c r="F785" s="4">
        <v>38.947800000000001</v>
      </c>
      <c r="G785" s="4">
        <v>7508.4035649999996</v>
      </c>
      <c r="H785" s="4">
        <v>15.5791</v>
      </c>
      <c r="I785">
        <v>4678</v>
      </c>
      <c r="J785" s="4" t="str">
        <f>IF(OR(Копия_20206[[#This Row],[Units (in 1000)]]&gt;$R$7,Копия_20206[[#This Row],[Units (in 1000)]]&lt;$R$6),"outlier","not outlier")</f>
        <v>outlier</v>
      </c>
      <c r="K785" s="4" t="str">
        <f>IF(OR(Копия_20206[[#This Row],[Value (in 1000 rub)]]&gt;$S$7,Копия_20206[[#This Row],[Value (in 1000 rub)]]&lt;$S$6),"outlier","not outlier")</f>
        <v>outlier</v>
      </c>
      <c r="L785" s="4" t="str">
        <f>IF(OR(Копия_20206[[#This Row],[Volume (in 1000 kg)]]&gt;$T$7,Копия_20206[[#This Row],[Volume (in 1000 kg)]]&lt;$T$6),"outlier","not outlier")</f>
        <v>outlier</v>
      </c>
      <c r="M785" s="4" t="str">
        <f>IF(OR(Копия_20206[[#This Row],[Number of stores]]&gt;$U$7,Копия_20206[[#This Row],[Number of stores]]&lt;$U$6),"outlier","not outlier")</f>
        <v>outlier</v>
      </c>
    </row>
    <row r="786" spans="1:13" x14ac:dyDescent="0.25">
      <c r="A786">
        <v>2021</v>
      </c>
      <c r="B786">
        <v>1</v>
      </c>
      <c r="C786" s="1" t="s">
        <v>8</v>
      </c>
      <c r="D786" s="1" t="s">
        <v>23</v>
      </c>
      <c r="E786" s="1" t="s">
        <v>18</v>
      </c>
      <c r="F786" s="4">
        <v>0.38590000000000002</v>
      </c>
      <c r="G786" s="4">
        <v>35.374751000000003</v>
      </c>
      <c r="H786" s="4">
        <v>6.9500000000000006E-2</v>
      </c>
      <c r="I786">
        <v>88</v>
      </c>
      <c r="J786" s="4" t="str">
        <f>IF(OR(Копия_20206[[#This Row],[Units (in 1000)]]&gt;$R$7,Копия_20206[[#This Row],[Units (in 1000)]]&lt;$R$6),"outlier","not outlier")</f>
        <v>not outlier</v>
      </c>
      <c r="K786" s="4" t="str">
        <f>IF(OR(Копия_20206[[#This Row],[Value (in 1000 rub)]]&gt;$S$7,Копия_20206[[#This Row],[Value (in 1000 rub)]]&lt;$S$6),"outlier","not outlier")</f>
        <v>not outlier</v>
      </c>
      <c r="L786" s="4" t="str">
        <f>IF(OR(Копия_20206[[#This Row],[Volume (in 1000 kg)]]&gt;$T$7,Копия_20206[[#This Row],[Volume (in 1000 kg)]]&lt;$T$6),"outlier","not outlier")</f>
        <v>not outlier</v>
      </c>
      <c r="M786" s="4" t="str">
        <f>IF(OR(Копия_20206[[#This Row],[Number of stores]]&gt;$U$7,Копия_20206[[#This Row],[Number of stores]]&lt;$U$6),"outlier","not outlier")</f>
        <v>not outlier</v>
      </c>
    </row>
    <row r="787" spans="1:13" x14ac:dyDescent="0.25">
      <c r="A787">
        <v>2021</v>
      </c>
      <c r="B787">
        <v>1</v>
      </c>
      <c r="C787" s="1" t="s">
        <v>8</v>
      </c>
      <c r="D787" s="1" t="s">
        <v>23</v>
      </c>
      <c r="E787" s="1" t="s">
        <v>12</v>
      </c>
      <c r="F787" s="4">
        <v>1.9699999999999999E-2</v>
      </c>
      <c r="G787" s="4">
        <v>3.0813090000000001</v>
      </c>
      <c r="H787" s="4">
        <v>7.9000000000000008E-3</v>
      </c>
      <c r="I787">
        <v>11</v>
      </c>
      <c r="J787" s="4" t="str">
        <f>IF(OR(Копия_20206[[#This Row],[Units (in 1000)]]&gt;$R$7,Копия_20206[[#This Row],[Units (in 1000)]]&lt;$R$6),"outlier","not outlier")</f>
        <v>not outlier</v>
      </c>
      <c r="K787" s="4" t="str">
        <f>IF(OR(Копия_20206[[#This Row],[Value (in 1000 rub)]]&gt;$S$7,Копия_20206[[#This Row],[Value (in 1000 rub)]]&lt;$S$6),"outlier","not outlier")</f>
        <v>not outlier</v>
      </c>
      <c r="L787" s="4" t="str">
        <f>IF(OR(Копия_20206[[#This Row],[Volume (in 1000 kg)]]&gt;$T$7,Копия_20206[[#This Row],[Volume (in 1000 kg)]]&lt;$T$6),"outlier","not outlier")</f>
        <v>not outlier</v>
      </c>
      <c r="M787" s="4" t="str">
        <f>IF(OR(Копия_20206[[#This Row],[Number of stores]]&gt;$U$7,Копия_20206[[#This Row],[Number of stores]]&lt;$U$6),"outlier","not outlier")</f>
        <v>not outlier</v>
      </c>
    </row>
    <row r="788" spans="1:13" x14ac:dyDescent="0.25">
      <c r="A788">
        <v>2021</v>
      </c>
      <c r="B788">
        <v>2</v>
      </c>
      <c r="C788" s="1" t="s">
        <v>8</v>
      </c>
      <c r="D788" s="1" t="s">
        <v>23</v>
      </c>
      <c r="E788" s="1" t="s">
        <v>18</v>
      </c>
      <c r="F788" s="4">
        <v>0.53129999999999999</v>
      </c>
      <c r="G788" s="4">
        <v>46.850673999999998</v>
      </c>
      <c r="H788" s="4">
        <v>9.5600000000000004E-2</v>
      </c>
      <c r="I788">
        <v>87</v>
      </c>
      <c r="J788" s="4" t="str">
        <f>IF(OR(Копия_20206[[#This Row],[Units (in 1000)]]&gt;$R$7,Копия_20206[[#This Row],[Units (in 1000)]]&lt;$R$6),"outlier","not outlier")</f>
        <v>not outlier</v>
      </c>
      <c r="K788" s="4" t="str">
        <f>IF(OR(Копия_20206[[#This Row],[Value (in 1000 rub)]]&gt;$S$7,Копия_20206[[#This Row],[Value (in 1000 rub)]]&lt;$S$6),"outlier","not outlier")</f>
        <v>not outlier</v>
      </c>
      <c r="L788" s="4" t="str">
        <f>IF(OR(Копия_20206[[#This Row],[Volume (in 1000 kg)]]&gt;$T$7,Копия_20206[[#This Row],[Volume (in 1000 kg)]]&lt;$T$6),"outlier","not outlier")</f>
        <v>not outlier</v>
      </c>
      <c r="M788" s="4" t="str">
        <f>IF(OR(Копия_20206[[#This Row],[Number of stores]]&gt;$U$7,Копия_20206[[#This Row],[Number of stores]]&lt;$U$6),"outlier","not outlier")</f>
        <v>not outlier</v>
      </c>
    </row>
    <row r="789" spans="1:13" x14ac:dyDescent="0.25">
      <c r="A789">
        <v>2021</v>
      </c>
      <c r="B789">
        <v>2</v>
      </c>
      <c r="C789" s="1" t="s">
        <v>8</v>
      </c>
      <c r="D789" s="1" t="s">
        <v>23</v>
      </c>
      <c r="E789" s="1" t="s">
        <v>12</v>
      </c>
      <c r="F789" s="4">
        <v>1.06E-2</v>
      </c>
      <c r="G789" s="4">
        <v>1.650026</v>
      </c>
      <c r="H789" s="4">
        <v>4.1999999999999997E-3</v>
      </c>
      <c r="I789">
        <v>8</v>
      </c>
      <c r="J789" s="4" t="str">
        <f>IF(OR(Копия_20206[[#This Row],[Units (in 1000)]]&gt;$R$7,Копия_20206[[#This Row],[Units (in 1000)]]&lt;$R$6),"outlier","not outlier")</f>
        <v>not outlier</v>
      </c>
      <c r="K789" s="4" t="str">
        <f>IF(OR(Копия_20206[[#This Row],[Value (in 1000 rub)]]&gt;$S$7,Копия_20206[[#This Row],[Value (in 1000 rub)]]&lt;$S$6),"outlier","not outlier")</f>
        <v>not outlier</v>
      </c>
      <c r="L789" s="4" t="str">
        <f>IF(OR(Копия_20206[[#This Row],[Volume (in 1000 kg)]]&gt;$T$7,Копия_20206[[#This Row],[Volume (in 1000 kg)]]&lt;$T$6),"outlier","not outlier")</f>
        <v>not outlier</v>
      </c>
      <c r="M789" s="4" t="str">
        <f>IF(OR(Копия_20206[[#This Row],[Number of stores]]&gt;$U$7,Копия_20206[[#This Row],[Number of stores]]&lt;$U$6),"outlier","not outlier")</f>
        <v>not outlier</v>
      </c>
    </row>
    <row r="790" spans="1:13" x14ac:dyDescent="0.25">
      <c r="A790">
        <v>2021</v>
      </c>
      <c r="B790">
        <v>3</v>
      </c>
      <c r="C790" s="1" t="s">
        <v>8</v>
      </c>
      <c r="D790" s="1" t="s">
        <v>23</v>
      </c>
      <c r="E790" s="1" t="s">
        <v>18</v>
      </c>
      <c r="F790" s="4">
        <v>0.3992</v>
      </c>
      <c r="G790" s="4">
        <v>38.224321000000003</v>
      </c>
      <c r="H790" s="4">
        <v>7.1900000000000006E-2</v>
      </c>
      <c r="I790">
        <v>91</v>
      </c>
      <c r="J790" s="4" t="str">
        <f>IF(OR(Копия_20206[[#This Row],[Units (in 1000)]]&gt;$R$7,Копия_20206[[#This Row],[Units (in 1000)]]&lt;$R$6),"outlier","not outlier")</f>
        <v>not outlier</v>
      </c>
      <c r="K790" s="4" t="str">
        <f>IF(OR(Копия_20206[[#This Row],[Value (in 1000 rub)]]&gt;$S$7,Копия_20206[[#This Row],[Value (in 1000 rub)]]&lt;$S$6),"outlier","not outlier")</f>
        <v>not outlier</v>
      </c>
      <c r="L790" s="4" t="str">
        <f>IF(OR(Копия_20206[[#This Row],[Volume (in 1000 kg)]]&gt;$T$7,Копия_20206[[#This Row],[Volume (in 1000 kg)]]&lt;$T$6),"outlier","not outlier")</f>
        <v>not outlier</v>
      </c>
      <c r="M790" s="4" t="str">
        <f>IF(OR(Копия_20206[[#This Row],[Number of stores]]&gt;$U$7,Копия_20206[[#This Row],[Number of stores]]&lt;$U$6),"outlier","not outlier")</f>
        <v>not outlier</v>
      </c>
    </row>
    <row r="791" spans="1:13" x14ac:dyDescent="0.25">
      <c r="A791">
        <v>2021</v>
      </c>
      <c r="B791">
        <v>3</v>
      </c>
      <c r="C791" s="1" t="s">
        <v>8</v>
      </c>
      <c r="D791" s="1" t="s">
        <v>23</v>
      </c>
      <c r="E791" s="1" t="s">
        <v>12</v>
      </c>
      <c r="F791" s="4">
        <v>1.0999999999999999E-2</v>
      </c>
      <c r="G791" s="4">
        <v>1.6126959999999999</v>
      </c>
      <c r="H791" s="4">
        <v>4.4000000000000003E-3</v>
      </c>
      <c r="I791">
        <v>6</v>
      </c>
      <c r="J791" s="4" t="str">
        <f>IF(OR(Копия_20206[[#This Row],[Units (in 1000)]]&gt;$R$7,Копия_20206[[#This Row],[Units (in 1000)]]&lt;$R$6),"outlier","not outlier")</f>
        <v>not outlier</v>
      </c>
      <c r="K791" s="4" t="str">
        <f>IF(OR(Копия_20206[[#This Row],[Value (in 1000 rub)]]&gt;$S$7,Копия_20206[[#This Row],[Value (in 1000 rub)]]&lt;$S$6),"outlier","not outlier")</f>
        <v>not outlier</v>
      </c>
      <c r="L791" s="4" t="str">
        <f>IF(OR(Копия_20206[[#This Row],[Volume (in 1000 kg)]]&gt;$T$7,Копия_20206[[#This Row],[Volume (in 1000 kg)]]&lt;$T$6),"outlier","not outlier")</f>
        <v>not outlier</v>
      </c>
      <c r="M791" s="4" t="str">
        <f>IF(OR(Копия_20206[[#This Row],[Number of stores]]&gt;$U$7,Копия_20206[[#This Row],[Number of stores]]&lt;$U$6),"outlier","not outlier")</f>
        <v>not outlier</v>
      </c>
    </row>
    <row r="792" spans="1:13" x14ac:dyDescent="0.25">
      <c r="A792">
        <v>2021</v>
      </c>
      <c r="B792">
        <v>4</v>
      </c>
      <c r="C792" s="1" t="s">
        <v>8</v>
      </c>
      <c r="D792" s="1" t="s">
        <v>23</v>
      </c>
      <c r="E792" s="1" t="s">
        <v>18</v>
      </c>
      <c r="F792" s="4">
        <v>0.53820000000000001</v>
      </c>
      <c r="G792" s="4">
        <v>46.874411000000002</v>
      </c>
      <c r="H792" s="4">
        <v>9.69E-2</v>
      </c>
      <c r="I792">
        <v>91</v>
      </c>
      <c r="J792" s="4" t="str">
        <f>IF(OR(Копия_20206[[#This Row],[Units (in 1000)]]&gt;$R$7,Копия_20206[[#This Row],[Units (in 1000)]]&lt;$R$6),"outlier","not outlier")</f>
        <v>not outlier</v>
      </c>
      <c r="K792" s="4" t="str">
        <f>IF(OR(Копия_20206[[#This Row],[Value (in 1000 rub)]]&gt;$S$7,Копия_20206[[#This Row],[Value (in 1000 rub)]]&lt;$S$6),"outlier","not outlier")</f>
        <v>not outlier</v>
      </c>
      <c r="L792" s="4" t="str">
        <f>IF(OR(Копия_20206[[#This Row],[Volume (in 1000 kg)]]&gt;$T$7,Копия_20206[[#This Row],[Volume (in 1000 kg)]]&lt;$T$6),"outlier","not outlier")</f>
        <v>not outlier</v>
      </c>
      <c r="M792" s="4" t="str">
        <f>IF(OR(Копия_20206[[#This Row],[Number of stores]]&gt;$U$7,Копия_20206[[#This Row],[Number of stores]]&lt;$U$6),"outlier","not outlier")</f>
        <v>not outlier</v>
      </c>
    </row>
    <row r="793" spans="1:13" x14ac:dyDescent="0.25">
      <c r="A793">
        <v>2021</v>
      </c>
      <c r="B793">
        <v>4</v>
      </c>
      <c r="C793" s="1" t="s">
        <v>8</v>
      </c>
      <c r="D793" s="1" t="s">
        <v>23</v>
      </c>
      <c r="E793" s="1" t="s">
        <v>12</v>
      </c>
      <c r="F793" s="4">
        <v>1.7399999999999999E-2</v>
      </c>
      <c r="G793" s="4">
        <v>2.096333</v>
      </c>
      <c r="H793" s="4">
        <v>7.0000000000000001E-3</v>
      </c>
      <c r="I793">
        <v>6</v>
      </c>
      <c r="J793" s="4" t="str">
        <f>IF(OR(Копия_20206[[#This Row],[Units (in 1000)]]&gt;$R$7,Копия_20206[[#This Row],[Units (in 1000)]]&lt;$R$6),"outlier","not outlier")</f>
        <v>not outlier</v>
      </c>
      <c r="K793" s="4" t="str">
        <f>IF(OR(Копия_20206[[#This Row],[Value (in 1000 rub)]]&gt;$S$7,Копия_20206[[#This Row],[Value (in 1000 rub)]]&lt;$S$6),"outlier","not outlier")</f>
        <v>not outlier</v>
      </c>
      <c r="L793" s="4" t="str">
        <f>IF(OR(Копия_20206[[#This Row],[Volume (in 1000 kg)]]&gt;$T$7,Копия_20206[[#This Row],[Volume (in 1000 kg)]]&lt;$T$6),"outlier","not outlier")</f>
        <v>not outlier</v>
      </c>
      <c r="M793" s="4" t="str">
        <f>IF(OR(Копия_20206[[#This Row],[Number of stores]]&gt;$U$7,Копия_20206[[#This Row],[Number of stores]]&lt;$U$6),"outlier","not outlier")</f>
        <v>not outlier</v>
      </c>
    </row>
    <row r="794" spans="1:13" x14ac:dyDescent="0.25">
      <c r="A794">
        <v>2021</v>
      </c>
      <c r="B794">
        <v>8</v>
      </c>
      <c r="C794" s="1" t="s">
        <v>8</v>
      </c>
      <c r="D794" s="1" t="s">
        <v>23</v>
      </c>
      <c r="E794" s="1" t="s">
        <v>18</v>
      </c>
      <c r="F794" s="4">
        <v>0.55679999999999996</v>
      </c>
      <c r="G794" s="4">
        <v>37.274619000000001</v>
      </c>
      <c r="H794" s="4">
        <v>0.1002</v>
      </c>
      <c r="I794">
        <v>88</v>
      </c>
      <c r="J794" s="4" t="str">
        <f>IF(OR(Копия_20206[[#This Row],[Units (in 1000)]]&gt;$R$7,Копия_20206[[#This Row],[Units (in 1000)]]&lt;$R$6),"outlier","not outlier")</f>
        <v>not outlier</v>
      </c>
      <c r="K794" s="4" t="str">
        <f>IF(OR(Копия_20206[[#This Row],[Value (in 1000 rub)]]&gt;$S$7,Копия_20206[[#This Row],[Value (in 1000 rub)]]&lt;$S$6),"outlier","not outlier")</f>
        <v>not outlier</v>
      </c>
      <c r="L794" s="4" t="str">
        <f>IF(OR(Копия_20206[[#This Row],[Volume (in 1000 kg)]]&gt;$T$7,Копия_20206[[#This Row],[Volume (in 1000 kg)]]&lt;$T$6),"outlier","not outlier")</f>
        <v>not outlier</v>
      </c>
      <c r="M794" s="4" t="str">
        <f>IF(OR(Копия_20206[[#This Row],[Number of stores]]&gt;$U$7,Копия_20206[[#This Row],[Number of stores]]&lt;$U$6),"outlier","not outlier")</f>
        <v>not outlier</v>
      </c>
    </row>
    <row r="795" spans="1:13" x14ac:dyDescent="0.25">
      <c r="A795">
        <v>2021</v>
      </c>
      <c r="B795">
        <v>8</v>
      </c>
      <c r="C795" s="1" t="s">
        <v>8</v>
      </c>
      <c r="D795" s="1" t="s">
        <v>23</v>
      </c>
      <c r="E795" s="1" t="s">
        <v>12</v>
      </c>
      <c r="F795" s="4">
        <v>1.2999999999999999E-3</v>
      </c>
      <c r="G795" s="4">
        <v>0.14441499999999999</v>
      </c>
      <c r="H795" s="4">
        <v>5.0000000000000001E-4</v>
      </c>
      <c r="I795">
        <v>1</v>
      </c>
      <c r="J795" s="4" t="str">
        <f>IF(OR(Копия_20206[[#This Row],[Units (in 1000)]]&gt;$R$7,Копия_20206[[#This Row],[Units (in 1000)]]&lt;$R$6),"outlier","not outlier")</f>
        <v>not outlier</v>
      </c>
      <c r="K795" s="4" t="str">
        <f>IF(OR(Копия_20206[[#This Row],[Value (in 1000 rub)]]&gt;$S$7,Копия_20206[[#This Row],[Value (in 1000 rub)]]&lt;$S$6),"outlier","not outlier")</f>
        <v>not outlier</v>
      </c>
      <c r="L795" s="4" t="str">
        <f>IF(OR(Копия_20206[[#This Row],[Volume (in 1000 kg)]]&gt;$T$7,Копия_20206[[#This Row],[Volume (in 1000 kg)]]&lt;$T$6),"outlier","not outlier")</f>
        <v>not outlier</v>
      </c>
      <c r="M795" s="4" t="str">
        <f>IF(OR(Копия_20206[[#This Row],[Number of stores]]&gt;$U$7,Копия_20206[[#This Row],[Number of stores]]&lt;$U$6),"outlier","not outlier")</f>
        <v>not outlier</v>
      </c>
    </row>
    <row r="796" spans="1:13" x14ac:dyDescent="0.25">
      <c r="A796">
        <v>2021</v>
      </c>
      <c r="B796">
        <v>9</v>
      </c>
      <c r="C796" s="1" t="s">
        <v>8</v>
      </c>
      <c r="D796" s="1" t="s">
        <v>23</v>
      </c>
      <c r="E796" s="1" t="s">
        <v>18</v>
      </c>
      <c r="F796" s="4">
        <v>0.49880000000000002</v>
      </c>
      <c r="G796" s="4">
        <v>33.539597999999998</v>
      </c>
      <c r="H796" s="4">
        <v>8.9800000000000005E-2</v>
      </c>
      <c r="I796">
        <v>81</v>
      </c>
      <c r="J796" s="4" t="str">
        <f>IF(OR(Копия_20206[[#This Row],[Units (in 1000)]]&gt;$R$7,Копия_20206[[#This Row],[Units (in 1000)]]&lt;$R$6),"outlier","not outlier")</f>
        <v>not outlier</v>
      </c>
      <c r="K796" s="4" t="str">
        <f>IF(OR(Копия_20206[[#This Row],[Value (in 1000 rub)]]&gt;$S$7,Копия_20206[[#This Row],[Value (in 1000 rub)]]&lt;$S$6),"outlier","not outlier")</f>
        <v>not outlier</v>
      </c>
      <c r="L796" s="4" t="str">
        <f>IF(OR(Копия_20206[[#This Row],[Volume (in 1000 kg)]]&gt;$T$7,Копия_20206[[#This Row],[Volume (in 1000 kg)]]&lt;$T$6),"outlier","not outlier")</f>
        <v>not outlier</v>
      </c>
      <c r="M796" s="4" t="str">
        <f>IF(OR(Копия_20206[[#This Row],[Number of stores]]&gt;$U$7,Копия_20206[[#This Row],[Number of stores]]&lt;$U$6),"outlier","not outlier")</f>
        <v>not outlier</v>
      </c>
    </row>
    <row r="797" spans="1:13" x14ac:dyDescent="0.25">
      <c r="A797">
        <v>2021</v>
      </c>
      <c r="B797">
        <v>9</v>
      </c>
      <c r="C797" s="1" t="s">
        <v>8</v>
      </c>
      <c r="D797" s="1" t="s">
        <v>23</v>
      </c>
      <c r="E797" s="1" t="s">
        <v>12</v>
      </c>
      <c r="F797" s="4">
        <v>2.7000000000000001E-3</v>
      </c>
      <c r="G797" s="4">
        <v>0.44929000000000002</v>
      </c>
      <c r="H797" s="4">
        <v>1.1000000000000001E-3</v>
      </c>
      <c r="I797">
        <v>2</v>
      </c>
      <c r="J797" s="4" t="str">
        <f>IF(OR(Копия_20206[[#This Row],[Units (in 1000)]]&gt;$R$7,Копия_20206[[#This Row],[Units (in 1000)]]&lt;$R$6),"outlier","not outlier")</f>
        <v>not outlier</v>
      </c>
      <c r="K797" s="4" t="str">
        <f>IF(OR(Копия_20206[[#This Row],[Value (in 1000 rub)]]&gt;$S$7,Копия_20206[[#This Row],[Value (in 1000 rub)]]&lt;$S$6),"outlier","not outlier")</f>
        <v>not outlier</v>
      </c>
      <c r="L797" s="4" t="str">
        <f>IF(OR(Копия_20206[[#This Row],[Volume (in 1000 kg)]]&gt;$T$7,Копия_20206[[#This Row],[Volume (in 1000 kg)]]&lt;$T$6),"outlier","not outlier")</f>
        <v>not outlier</v>
      </c>
      <c r="M797" s="4" t="str">
        <f>IF(OR(Копия_20206[[#This Row],[Number of stores]]&gt;$U$7,Копия_20206[[#This Row],[Number of stores]]&lt;$U$6),"outlier","not outlier")</f>
        <v>not outlier</v>
      </c>
    </row>
    <row r="798" spans="1:13" x14ac:dyDescent="0.25">
      <c r="A798">
        <v>2021</v>
      </c>
      <c r="B798">
        <v>10</v>
      </c>
      <c r="C798" s="1" t="s">
        <v>8</v>
      </c>
      <c r="D798" s="1" t="s">
        <v>23</v>
      </c>
      <c r="E798" s="1" t="s">
        <v>18</v>
      </c>
      <c r="F798" s="4">
        <v>0.40670000000000001</v>
      </c>
      <c r="G798" s="4">
        <v>24.997520000000002</v>
      </c>
      <c r="H798" s="4">
        <v>7.3200000000000001E-2</v>
      </c>
      <c r="I798">
        <v>0</v>
      </c>
      <c r="J798" s="4" t="str">
        <f>IF(OR(Копия_20206[[#This Row],[Units (in 1000)]]&gt;$R$7,Копия_20206[[#This Row],[Units (in 1000)]]&lt;$R$6),"outlier","not outlier")</f>
        <v>not outlier</v>
      </c>
      <c r="K798" s="4" t="str">
        <f>IF(OR(Копия_20206[[#This Row],[Value (in 1000 rub)]]&gt;$S$7,Копия_20206[[#This Row],[Value (in 1000 rub)]]&lt;$S$6),"outlier","not outlier")</f>
        <v>not outlier</v>
      </c>
      <c r="L798" s="4" t="str">
        <f>IF(OR(Копия_20206[[#This Row],[Volume (in 1000 kg)]]&gt;$T$7,Копия_20206[[#This Row],[Volume (in 1000 kg)]]&lt;$T$6),"outlier","not outlier")</f>
        <v>not outlier</v>
      </c>
      <c r="M798" s="4" t="str">
        <f>IF(OR(Копия_20206[[#This Row],[Number of stores]]&gt;$U$7,Копия_20206[[#This Row],[Number of stores]]&lt;$U$6),"outlier","not outlier")</f>
        <v>not outlier</v>
      </c>
    </row>
    <row r="799" spans="1:13" x14ac:dyDescent="0.25">
      <c r="A799">
        <v>2021</v>
      </c>
      <c r="B799">
        <v>10</v>
      </c>
      <c r="C799" s="1" t="s">
        <v>8</v>
      </c>
      <c r="D799" s="1" t="s">
        <v>23</v>
      </c>
      <c r="E799" s="1" t="s">
        <v>12</v>
      </c>
      <c r="F799" s="4">
        <v>4.0000000000000002E-4</v>
      </c>
      <c r="G799" s="4">
        <v>5.7619999999999998E-2</v>
      </c>
      <c r="H799" s="4">
        <v>1E-4</v>
      </c>
      <c r="I799">
        <v>0</v>
      </c>
      <c r="J799" s="4" t="str">
        <f>IF(OR(Копия_20206[[#This Row],[Units (in 1000)]]&gt;$R$7,Копия_20206[[#This Row],[Units (in 1000)]]&lt;$R$6),"outlier","not outlier")</f>
        <v>not outlier</v>
      </c>
      <c r="K799" s="4" t="str">
        <f>IF(OR(Копия_20206[[#This Row],[Value (in 1000 rub)]]&gt;$S$7,Копия_20206[[#This Row],[Value (in 1000 rub)]]&lt;$S$6),"outlier","not outlier")</f>
        <v>not outlier</v>
      </c>
      <c r="L799" s="4" t="str">
        <f>IF(OR(Копия_20206[[#This Row],[Volume (in 1000 kg)]]&gt;$T$7,Копия_20206[[#This Row],[Volume (in 1000 kg)]]&lt;$T$6),"outlier","not outlier")</f>
        <v>not outlier</v>
      </c>
      <c r="M799" s="4" t="str">
        <f>IF(OR(Копия_20206[[#This Row],[Number of stores]]&gt;$U$7,Копия_20206[[#This Row],[Number of stores]]&lt;$U$6),"outlier","not outlier")</f>
        <v>not outlier</v>
      </c>
    </row>
    <row r="800" spans="1:13" x14ac:dyDescent="0.25">
      <c r="A800">
        <v>2021</v>
      </c>
      <c r="B800">
        <v>9</v>
      </c>
      <c r="C800" s="1" t="s">
        <v>8</v>
      </c>
      <c r="D800" s="1" t="s">
        <v>42</v>
      </c>
      <c r="E800" s="1" t="s">
        <v>12</v>
      </c>
      <c r="F800" s="4">
        <v>0.1827</v>
      </c>
      <c r="G800" s="4">
        <v>41.747625999999997</v>
      </c>
      <c r="H800" s="4">
        <v>8.3099999999999993E-2</v>
      </c>
      <c r="I800">
        <v>0</v>
      </c>
      <c r="J800" s="4" t="str">
        <f>IF(OR(Копия_20206[[#This Row],[Units (in 1000)]]&gt;$R$7,Копия_20206[[#This Row],[Units (in 1000)]]&lt;$R$6),"outlier","not outlier")</f>
        <v>not outlier</v>
      </c>
      <c r="K800" s="4" t="str">
        <f>IF(OR(Копия_20206[[#This Row],[Value (in 1000 rub)]]&gt;$S$7,Копия_20206[[#This Row],[Value (in 1000 rub)]]&lt;$S$6),"outlier","not outlier")</f>
        <v>not outlier</v>
      </c>
      <c r="L800" s="4" t="str">
        <f>IF(OR(Копия_20206[[#This Row],[Volume (in 1000 kg)]]&gt;$T$7,Копия_20206[[#This Row],[Volume (in 1000 kg)]]&lt;$T$6),"outlier","not outlier")</f>
        <v>not outlier</v>
      </c>
      <c r="M800" s="4" t="str">
        <f>IF(OR(Копия_20206[[#This Row],[Number of stores]]&gt;$U$7,Копия_20206[[#This Row],[Number of stores]]&lt;$U$6),"outlier","not outlier")</f>
        <v>not outlier</v>
      </c>
    </row>
    <row r="801" spans="1:13" x14ac:dyDescent="0.25">
      <c r="A801">
        <v>2021</v>
      </c>
      <c r="B801">
        <v>11</v>
      </c>
      <c r="C801" s="1" t="s">
        <v>8</v>
      </c>
      <c r="D801" s="1" t="s">
        <v>42</v>
      </c>
      <c r="E801" s="1" t="s">
        <v>12</v>
      </c>
      <c r="F801" s="4">
        <v>0.15529999999999999</v>
      </c>
      <c r="G801" s="4">
        <v>31.865635000000001</v>
      </c>
      <c r="H801" s="4">
        <v>7.0699999999999999E-2</v>
      </c>
      <c r="I801">
        <v>0</v>
      </c>
      <c r="J801" s="4" t="str">
        <f>IF(OR(Копия_20206[[#This Row],[Units (in 1000)]]&gt;$R$7,Копия_20206[[#This Row],[Units (in 1000)]]&lt;$R$6),"outlier","not outlier")</f>
        <v>not outlier</v>
      </c>
      <c r="K801" s="4" t="str">
        <f>IF(OR(Копия_20206[[#This Row],[Value (in 1000 rub)]]&gt;$S$7,Копия_20206[[#This Row],[Value (in 1000 rub)]]&lt;$S$6),"outlier","not outlier")</f>
        <v>not outlier</v>
      </c>
      <c r="L801" s="4" t="str">
        <f>IF(OR(Копия_20206[[#This Row],[Volume (in 1000 kg)]]&gt;$T$7,Копия_20206[[#This Row],[Volume (in 1000 kg)]]&lt;$T$6),"outlier","not outlier")</f>
        <v>not outlier</v>
      </c>
      <c r="M801" s="4" t="str">
        <f>IF(OR(Копия_20206[[#This Row],[Number of stores]]&gt;$U$7,Копия_20206[[#This Row],[Number of stores]]&lt;$U$6),"outlier","not outlier")</f>
        <v>not outlier</v>
      </c>
    </row>
    <row r="802" spans="1:13" x14ac:dyDescent="0.25">
      <c r="A802">
        <v>2021</v>
      </c>
      <c r="B802">
        <v>12</v>
      </c>
      <c r="C802" s="1" t="s">
        <v>8</v>
      </c>
      <c r="D802" s="1" t="s">
        <v>42</v>
      </c>
      <c r="E802" s="1" t="s">
        <v>12</v>
      </c>
      <c r="F802" s="4">
        <v>0.38169999999999998</v>
      </c>
      <c r="G802" s="4">
        <v>61.491981000000003</v>
      </c>
      <c r="H802" s="4">
        <v>0.17369999999999999</v>
      </c>
      <c r="I802">
        <v>0</v>
      </c>
      <c r="J802" s="4" t="str">
        <f>IF(OR(Копия_20206[[#This Row],[Units (in 1000)]]&gt;$R$7,Копия_20206[[#This Row],[Units (in 1000)]]&lt;$R$6),"outlier","not outlier")</f>
        <v>not outlier</v>
      </c>
      <c r="K802" s="4" t="str">
        <f>IF(OR(Копия_20206[[#This Row],[Value (in 1000 rub)]]&gt;$S$7,Копия_20206[[#This Row],[Value (in 1000 rub)]]&lt;$S$6),"outlier","not outlier")</f>
        <v>not outlier</v>
      </c>
      <c r="L802" s="4" t="str">
        <f>IF(OR(Копия_20206[[#This Row],[Volume (in 1000 kg)]]&gt;$T$7,Копия_20206[[#This Row],[Volume (in 1000 kg)]]&lt;$T$6),"outlier","not outlier")</f>
        <v>not outlier</v>
      </c>
      <c r="M802" s="4" t="str">
        <f>IF(OR(Копия_20206[[#This Row],[Number of stores]]&gt;$U$7,Копия_20206[[#This Row],[Number of stores]]&lt;$U$6),"outlier","not outlier")</f>
        <v>not outlier</v>
      </c>
    </row>
    <row r="803" spans="1:13" x14ac:dyDescent="0.25">
      <c r="A803">
        <v>2021</v>
      </c>
      <c r="B803">
        <v>6</v>
      </c>
      <c r="C803" s="1" t="s">
        <v>29</v>
      </c>
      <c r="D803" s="1" t="s">
        <v>41</v>
      </c>
      <c r="E803" s="1" t="s">
        <v>21</v>
      </c>
      <c r="F803" s="4">
        <v>0.49919999999999998</v>
      </c>
      <c r="G803" s="4">
        <v>183.33368999999999</v>
      </c>
      <c r="H803" s="4">
        <v>0.1249</v>
      </c>
      <c r="I803">
        <v>0</v>
      </c>
      <c r="J803" s="4" t="str">
        <f>IF(OR(Копия_20206[[#This Row],[Units (in 1000)]]&gt;$R$7,Копия_20206[[#This Row],[Units (in 1000)]]&lt;$R$6),"outlier","not outlier")</f>
        <v>not outlier</v>
      </c>
      <c r="K803" s="4" t="str">
        <f>IF(OR(Копия_20206[[#This Row],[Value (in 1000 rub)]]&gt;$S$7,Копия_20206[[#This Row],[Value (in 1000 rub)]]&lt;$S$6),"outlier","not outlier")</f>
        <v>not outlier</v>
      </c>
      <c r="L803" s="4" t="str">
        <f>IF(OR(Копия_20206[[#This Row],[Volume (in 1000 kg)]]&gt;$T$7,Копия_20206[[#This Row],[Volume (in 1000 kg)]]&lt;$T$6),"outlier","not outlier")</f>
        <v>not outlier</v>
      </c>
      <c r="M803" s="4" t="str">
        <f>IF(OR(Копия_20206[[#This Row],[Number of stores]]&gt;$U$7,Копия_20206[[#This Row],[Number of stores]]&lt;$U$6),"outlier","not outlier")</f>
        <v>not outlier</v>
      </c>
    </row>
    <row r="804" spans="1:13" x14ac:dyDescent="0.25">
      <c r="A804">
        <v>2021</v>
      </c>
      <c r="B804">
        <v>6</v>
      </c>
      <c r="C804" s="1" t="s">
        <v>29</v>
      </c>
      <c r="D804" s="1" t="s">
        <v>41</v>
      </c>
      <c r="E804" s="1" t="s">
        <v>12</v>
      </c>
      <c r="F804" s="4">
        <v>0.16639999999999999</v>
      </c>
      <c r="G804" s="4">
        <v>87.983642000000003</v>
      </c>
      <c r="H804" s="4">
        <v>8.3199999999999996E-2</v>
      </c>
      <c r="I804">
        <v>0</v>
      </c>
      <c r="J804" s="4" t="str">
        <f>IF(OR(Копия_20206[[#This Row],[Units (in 1000)]]&gt;$R$7,Копия_20206[[#This Row],[Units (in 1000)]]&lt;$R$6),"outlier","not outlier")</f>
        <v>not outlier</v>
      </c>
      <c r="K804" s="4" t="str">
        <f>IF(OR(Копия_20206[[#This Row],[Value (in 1000 rub)]]&gt;$S$7,Копия_20206[[#This Row],[Value (in 1000 rub)]]&lt;$S$6),"outlier","not outlier")</f>
        <v>not outlier</v>
      </c>
      <c r="L804" s="4" t="str">
        <f>IF(OR(Копия_20206[[#This Row],[Volume (in 1000 kg)]]&gt;$T$7,Копия_20206[[#This Row],[Volume (in 1000 kg)]]&lt;$T$6),"outlier","not outlier")</f>
        <v>not outlier</v>
      </c>
      <c r="M804" s="4" t="str">
        <f>IF(OR(Копия_20206[[#This Row],[Number of stores]]&gt;$U$7,Копия_20206[[#This Row],[Number of stores]]&lt;$U$6),"outlier","not outlier")</f>
        <v>not outlier</v>
      </c>
    </row>
    <row r="805" spans="1:13" x14ac:dyDescent="0.25">
      <c r="A805">
        <v>2021</v>
      </c>
      <c r="B805">
        <v>1</v>
      </c>
      <c r="C805" s="1" t="s">
        <v>29</v>
      </c>
      <c r="D805" s="1" t="s">
        <v>30</v>
      </c>
      <c r="E805" s="1" t="s">
        <v>18</v>
      </c>
      <c r="F805" s="4">
        <v>1.8007</v>
      </c>
      <c r="G805" s="4">
        <v>496.77016099999997</v>
      </c>
      <c r="H805" s="4">
        <v>0.34210000000000002</v>
      </c>
      <c r="I805">
        <v>96</v>
      </c>
      <c r="J805" s="4" t="str">
        <f>IF(OR(Копия_20206[[#This Row],[Units (in 1000)]]&gt;$R$7,Копия_20206[[#This Row],[Units (in 1000)]]&lt;$R$6),"outlier","not outlier")</f>
        <v>not outlier</v>
      </c>
      <c r="K805" s="4" t="str">
        <f>IF(OR(Копия_20206[[#This Row],[Value (in 1000 rub)]]&gt;$S$7,Копия_20206[[#This Row],[Value (in 1000 rub)]]&lt;$S$6),"outlier","not outlier")</f>
        <v>not outlier</v>
      </c>
      <c r="L805" s="4" t="str">
        <f>IF(OR(Копия_20206[[#This Row],[Volume (in 1000 kg)]]&gt;$T$7,Копия_20206[[#This Row],[Volume (in 1000 kg)]]&lt;$T$6),"outlier","not outlier")</f>
        <v>not outlier</v>
      </c>
      <c r="M805" s="4" t="str">
        <f>IF(OR(Копия_20206[[#This Row],[Number of stores]]&gt;$U$7,Копия_20206[[#This Row],[Number of stores]]&lt;$U$6),"outlier","not outlier")</f>
        <v>not outlier</v>
      </c>
    </row>
    <row r="806" spans="1:13" x14ac:dyDescent="0.25">
      <c r="A806">
        <v>2021</v>
      </c>
      <c r="B806">
        <v>1</v>
      </c>
      <c r="C806" s="1" t="s">
        <v>29</v>
      </c>
      <c r="D806" s="1" t="s">
        <v>30</v>
      </c>
      <c r="E806" s="1" t="s">
        <v>11</v>
      </c>
      <c r="F806" s="4">
        <v>3.4299999999999997E-2</v>
      </c>
      <c r="G806" s="4">
        <v>10.777786000000001</v>
      </c>
      <c r="H806" s="4">
        <v>1.21E-2</v>
      </c>
      <c r="I806">
        <v>8</v>
      </c>
      <c r="J806" s="4" t="str">
        <f>IF(OR(Копия_20206[[#This Row],[Units (in 1000)]]&gt;$R$7,Копия_20206[[#This Row],[Units (in 1000)]]&lt;$R$6),"outlier","not outlier")</f>
        <v>not outlier</v>
      </c>
      <c r="K806" s="4" t="str">
        <f>IF(OR(Копия_20206[[#This Row],[Value (in 1000 rub)]]&gt;$S$7,Копия_20206[[#This Row],[Value (in 1000 rub)]]&lt;$S$6),"outlier","not outlier")</f>
        <v>not outlier</v>
      </c>
      <c r="L806" s="4" t="str">
        <f>IF(OR(Копия_20206[[#This Row],[Volume (in 1000 kg)]]&gt;$T$7,Копия_20206[[#This Row],[Volume (in 1000 kg)]]&lt;$T$6),"outlier","not outlier")</f>
        <v>not outlier</v>
      </c>
      <c r="M806" s="4" t="str">
        <f>IF(OR(Копия_20206[[#This Row],[Number of stores]]&gt;$U$7,Копия_20206[[#This Row],[Number of stores]]&lt;$U$6),"outlier","not outlier")</f>
        <v>not outlier</v>
      </c>
    </row>
    <row r="807" spans="1:13" x14ac:dyDescent="0.25">
      <c r="A807">
        <v>2021</v>
      </c>
      <c r="B807">
        <v>1</v>
      </c>
      <c r="C807" s="1" t="s">
        <v>29</v>
      </c>
      <c r="D807" s="1" t="s">
        <v>30</v>
      </c>
      <c r="E807" s="1" t="s">
        <v>12</v>
      </c>
      <c r="F807" s="4">
        <v>7.1199999999999999E-2</v>
      </c>
      <c r="G807" s="4">
        <v>35.072660999999997</v>
      </c>
      <c r="H807" s="4">
        <v>3.56E-2</v>
      </c>
      <c r="I807">
        <v>48</v>
      </c>
      <c r="J807" s="4" t="str">
        <f>IF(OR(Копия_20206[[#This Row],[Units (in 1000)]]&gt;$R$7,Копия_20206[[#This Row],[Units (in 1000)]]&lt;$R$6),"outlier","not outlier")</f>
        <v>not outlier</v>
      </c>
      <c r="K807" s="4" t="str">
        <f>IF(OR(Копия_20206[[#This Row],[Value (in 1000 rub)]]&gt;$S$7,Копия_20206[[#This Row],[Value (in 1000 rub)]]&lt;$S$6),"outlier","not outlier")</f>
        <v>not outlier</v>
      </c>
      <c r="L807" s="4" t="str">
        <f>IF(OR(Копия_20206[[#This Row],[Volume (in 1000 kg)]]&gt;$T$7,Копия_20206[[#This Row],[Volume (in 1000 kg)]]&lt;$T$6),"outlier","not outlier")</f>
        <v>not outlier</v>
      </c>
      <c r="M807" s="4" t="str">
        <f>IF(OR(Копия_20206[[#This Row],[Number of stores]]&gt;$U$7,Копия_20206[[#This Row],[Number of stores]]&lt;$U$6),"outlier","not outlier")</f>
        <v>not outlier</v>
      </c>
    </row>
    <row r="808" spans="1:13" x14ac:dyDescent="0.25">
      <c r="A808">
        <v>2021</v>
      </c>
      <c r="B808">
        <v>2</v>
      </c>
      <c r="C808" s="1" t="s">
        <v>29</v>
      </c>
      <c r="D808" s="1" t="s">
        <v>30</v>
      </c>
      <c r="E808" s="1" t="s">
        <v>18</v>
      </c>
      <c r="F808" s="4">
        <v>1.5409999999999999</v>
      </c>
      <c r="G808" s="4">
        <v>407.29363699999999</v>
      </c>
      <c r="H808" s="4">
        <v>0.2928</v>
      </c>
      <c r="I808">
        <v>101</v>
      </c>
      <c r="J808" s="4" t="str">
        <f>IF(OR(Копия_20206[[#This Row],[Units (in 1000)]]&gt;$R$7,Копия_20206[[#This Row],[Units (in 1000)]]&lt;$R$6),"outlier","not outlier")</f>
        <v>not outlier</v>
      </c>
      <c r="K808" s="4" t="str">
        <f>IF(OR(Копия_20206[[#This Row],[Value (in 1000 rub)]]&gt;$S$7,Копия_20206[[#This Row],[Value (in 1000 rub)]]&lt;$S$6),"outlier","not outlier")</f>
        <v>not outlier</v>
      </c>
      <c r="L808" s="4" t="str">
        <f>IF(OR(Копия_20206[[#This Row],[Volume (in 1000 kg)]]&gt;$T$7,Копия_20206[[#This Row],[Volume (in 1000 kg)]]&lt;$T$6),"outlier","not outlier")</f>
        <v>not outlier</v>
      </c>
      <c r="M808" s="4" t="str">
        <f>IF(OR(Копия_20206[[#This Row],[Number of stores]]&gt;$U$7,Копия_20206[[#This Row],[Number of stores]]&lt;$U$6),"outlier","not outlier")</f>
        <v>not outlier</v>
      </c>
    </row>
    <row r="809" spans="1:13" x14ac:dyDescent="0.25">
      <c r="A809">
        <v>2021</v>
      </c>
      <c r="B809">
        <v>2</v>
      </c>
      <c r="C809" s="1" t="s">
        <v>29</v>
      </c>
      <c r="D809" s="1" t="s">
        <v>30</v>
      </c>
      <c r="E809" s="1" t="s">
        <v>11</v>
      </c>
      <c r="F809" s="4">
        <v>2.06E-2</v>
      </c>
      <c r="G809" s="4">
        <v>6.792724999999999</v>
      </c>
      <c r="H809" s="4">
        <v>7.3000000000000001E-3</v>
      </c>
      <c r="I809">
        <v>7</v>
      </c>
      <c r="J809" s="4" t="str">
        <f>IF(OR(Копия_20206[[#This Row],[Units (in 1000)]]&gt;$R$7,Копия_20206[[#This Row],[Units (in 1000)]]&lt;$R$6),"outlier","not outlier")</f>
        <v>not outlier</v>
      </c>
      <c r="K809" s="4" t="str">
        <f>IF(OR(Копия_20206[[#This Row],[Value (in 1000 rub)]]&gt;$S$7,Копия_20206[[#This Row],[Value (in 1000 rub)]]&lt;$S$6),"outlier","not outlier")</f>
        <v>not outlier</v>
      </c>
      <c r="L809" s="4" t="str">
        <f>IF(OR(Копия_20206[[#This Row],[Volume (in 1000 kg)]]&gt;$T$7,Копия_20206[[#This Row],[Volume (in 1000 kg)]]&lt;$T$6),"outlier","not outlier")</f>
        <v>not outlier</v>
      </c>
      <c r="M809" s="4" t="str">
        <f>IF(OR(Копия_20206[[#This Row],[Number of stores]]&gt;$U$7,Копия_20206[[#This Row],[Number of stores]]&lt;$U$6),"outlier","not outlier")</f>
        <v>not outlier</v>
      </c>
    </row>
    <row r="810" spans="1:13" x14ac:dyDescent="0.25">
      <c r="A810">
        <v>2021</v>
      </c>
      <c r="B810">
        <v>2</v>
      </c>
      <c r="C810" s="1" t="s">
        <v>29</v>
      </c>
      <c r="D810" s="1" t="s">
        <v>30</v>
      </c>
      <c r="E810" s="1" t="s">
        <v>12</v>
      </c>
      <c r="F810" s="4">
        <v>7.3800000000000004E-2</v>
      </c>
      <c r="G810" s="4">
        <v>36.475166000000002</v>
      </c>
      <c r="H810" s="4">
        <v>3.6900000000000002E-2</v>
      </c>
      <c r="I810">
        <v>54</v>
      </c>
      <c r="J810" s="4" t="str">
        <f>IF(OR(Копия_20206[[#This Row],[Units (in 1000)]]&gt;$R$7,Копия_20206[[#This Row],[Units (in 1000)]]&lt;$R$6),"outlier","not outlier")</f>
        <v>not outlier</v>
      </c>
      <c r="K810" s="4" t="str">
        <f>IF(OR(Копия_20206[[#This Row],[Value (in 1000 rub)]]&gt;$S$7,Копия_20206[[#This Row],[Value (in 1000 rub)]]&lt;$S$6),"outlier","not outlier")</f>
        <v>not outlier</v>
      </c>
      <c r="L810" s="4" t="str">
        <f>IF(OR(Копия_20206[[#This Row],[Volume (in 1000 kg)]]&gt;$T$7,Копия_20206[[#This Row],[Volume (in 1000 kg)]]&lt;$T$6),"outlier","not outlier")</f>
        <v>not outlier</v>
      </c>
      <c r="M810" s="4" t="str">
        <f>IF(OR(Копия_20206[[#This Row],[Number of stores]]&gt;$U$7,Копия_20206[[#This Row],[Number of stores]]&lt;$U$6),"outlier","not outlier")</f>
        <v>not outlier</v>
      </c>
    </row>
    <row r="811" spans="1:13" x14ac:dyDescent="0.25">
      <c r="A811">
        <v>2021</v>
      </c>
      <c r="B811">
        <v>3</v>
      </c>
      <c r="C811" s="1" t="s">
        <v>29</v>
      </c>
      <c r="D811" s="1" t="s">
        <v>30</v>
      </c>
      <c r="E811" s="1" t="s">
        <v>18</v>
      </c>
      <c r="F811" s="4">
        <v>1.7753000000000001</v>
      </c>
      <c r="G811" s="4">
        <v>504.26181800000001</v>
      </c>
      <c r="H811" s="4">
        <v>0.33729999999999999</v>
      </c>
      <c r="I811">
        <v>95</v>
      </c>
      <c r="J811" s="4" t="str">
        <f>IF(OR(Копия_20206[[#This Row],[Units (in 1000)]]&gt;$R$7,Копия_20206[[#This Row],[Units (in 1000)]]&lt;$R$6),"outlier","not outlier")</f>
        <v>not outlier</v>
      </c>
      <c r="K811" s="4" t="str">
        <f>IF(OR(Копия_20206[[#This Row],[Value (in 1000 rub)]]&gt;$S$7,Копия_20206[[#This Row],[Value (in 1000 rub)]]&lt;$S$6),"outlier","not outlier")</f>
        <v>not outlier</v>
      </c>
      <c r="L811" s="4" t="str">
        <f>IF(OR(Копия_20206[[#This Row],[Volume (in 1000 kg)]]&gt;$T$7,Копия_20206[[#This Row],[Volume (in 1000 kg)]]&lt;$T$6),"outlier","not outlier")</f>
        <v>not outlier</v>
      </c>
      <c r="M811" s="4" t="str">
        <f>IF(OR(Копия_20206[[#This Row],[Number of stores]]&gt;$U$7,Копия_20206[[#This Row],[Number of stores]]&lt;$U$6),"outlier","not outlier")</f>
        <v>not outlier</v>
      </c>
    </row>
    <row r="812" spans="1:13" x14ac:dyDescent="0.25">
      <c r="A812">
        <v>2021</v>
      </c>
      <c r="B812">
        <v>3</v>
      </c>
      <c r="C812" s="1" t="s">
        <v>29</v>
      </c>
      <c r="D812" s="1" t="s">
        <v>30</v>
      </c>
      <c r="E812" s="1" t="s">
        <v>11</v>
      </c>
      <c r="F812" s="4">
        <v>1.9E-2</v>
      </c>
      <c r="G812" s="4">
        <v>6.1212439999999999</v>
      </c>
      <c r="H812" s="4">
        <v>6.7000000000000002E-3</v>
      </c>
      <c r="I812">
        <v>8</v>
      </c>
      <c r="J812" s="4" t="str">
        <f>IF(OR(Копия_20206[[#This Row],[Units (in 1000)]]&gt;$R$7,Копия_20206[[#This Row],[Units (in 1000)]]&lt;$R$6),"outlier","not outlier")</f>
        <v>not outlier</v>
      </c>
      <c r="K812" s="4" t="str">
        <f>IF(OR(Копия_20206[[#This Row],[Value (in 1000 rub)]]&gt;$S$7,Копия_20206[[#This Row],[Value (in 1000 rub)]]&lt;$S$6),"outlier","not outlier")</f>
        <v>not outlier</v>
      </c>
      <c r="L812" s="4" t="str">
        <f>IF(OR(Копия_20206[[#This Row],[Volume (in 1000 kg)]]&gt;$T$7,Копия_20206[[#This Row],[Volume (in 1000 kg)]]&lt;$T$6),"outlier","not outlier")</f>
        <v>not outlier</v>
      </c>
      <c r="M812" s="4" t="str">
        <f>IF(OR(Копия_20206[[#This Row],[Number of stores]]&gt;$U$7,Копия_20206[[#This Row],[Number of stores]]&lt;$U$6),"outlier","not outlier")</f>
        <v>not outlier</v>
      </c>
    </row>
    <row r="813" spans="1:13" x14ac:dyDescent="0.25">
      <c r="A813">
        <v>2021</v>
      </c>
      <c r="B813">
        <v>3</v>
      </c>
      <c r="C813" s="1" t="s">
        <v>29</v>
      </c>
      <c r="D813" s="1" t="s">
        <v>30</v>
      </c>
      <c r="E813" s="1" t="s">
        <v>12</v>
      </c>
      <c r="F813" s="4">
        <v>9.6500000000000002E-2</v>
      </c>
      <c r="G813" s="4">
        <v>47.773322</v>
      </c>
      <c r="H813" s="4">
        <v>4.8300000000000003E-2</v>
      </c>
      <c r="I813">
        <v>62</v>
      </c>
      <c r="J813" s="4" t="str">
        <f>IF(OR(Копия_20206[[#This Row],[Units (in 1000)]]&gt;$R$7,Копия_20206[[#This Row],[Units (in 1000)]]&lt;$R$6),"outlier","not outlier")</f>
        <v>not outlier</v>
      </c>
      <c r="K813" s="4" t="str">
        <f>IF(OR(Копия_20206[[#This Row],[Value (in 1000 rub)]]&gt;$S$7,Копия_20206[[#This Row],[Value (in 1000 rub)]]&lt;$S$6),"outlier","not outlier")</f>
        <v>not outlier</v>
      </c>
      <c r="L813" s="4" t="str">
        <f>IF(OR(Копия_20206[[#This Row],[Volume (in 1000 kg)]]&gt;$T$7,Копия_20206[[#This Row],[Volume (in 1000 kg)]]&lt;$T$6),"outlier","not outlier")</f>
        <v>not outlier</v>
      </c>
      <c r="M813" s="4" t="str">
        <f>IF(OR(Копия_20206[[#This Row],[Number of stores]]&gt;$U$7,Копия_20206[[#This Row],[Number of stores]]&lt;$U$6),"outlier","not outlier")</f>
        <v>not outlier</v>
      </c>
    </row>
    <row r="814" spans="1:13" x14ac:dyDescent="0.25">
      <c r="A814">
        <v>2021</v>
      </c>
      <c r="B814">
        <v>4</v>
      </c>
      <c r="C814" s="1" t="s">
        <v>29</v>
      </c>
      <c r="D814" s="1" t="s">
        <v>30</v>
      </c>
      <c r="E814" s="1" t="s">
        <v>18</v>
      </c>
      <c r="F814" s="4">
        <v>1.9362999999999999</v>
      </c>
      <c r="G814" s="4">
        <v>590.07532900000001</v>
      </c>
      <c r="H814" s="4">
        <v>0.36799999999999999</v>
      </c>
      <c r="I814">
        <v>107</v>
      </c>
      <c r="J814" s="4" t="str">
        <f>IF(OR(Копия_20206[[#This Row],[Units (in 1000)]]&gt;$R$7,Копия_20206[[#This Row],[Units (in 1000)]]&lt;$R$6),"outlier","not outlier")</f>
        <v>not outlier</v>
      </c>
      <c r="K814" s="4" t="str">
        <f>IF(OR(Копия_20206[[#This Row],[Value (in 1000 rub)]]&gt;$S$7,Копия_20206[[#This Row],[Value (in 1000 rub)]]&lt;$S$6),"outlier","not outlier")</f>
        <v>not outlier</v>
      </c>
      <c r="L814" s="4" t="str">
        <f>IF(OR(Копия_20206[[#This Row],[Volume (in 1000 kg)]]&gt;$T$7,Копия_20206[[#This Row],[Volume (in 1000 kg)]]&lt;$T$6),"outlier","not outlier")</f>
        <v>not outlier</v>
      </c>
      <c r="M814" s="4" t="str">
        <f>IF(OR(Копия_20206[[#This Row],[Number of stores]]&gt;$U$7,Копия_20206[[#This Row],[Number of stores]]&lt;$U$6),"outlier","not outlier")</f>
        <v>not outlier</v>
      </c>
    </row>
    <row r="815" spans="1:13" x14ac:dyDescent="0.25">
      <c r="A815">
        <v>2021</v>
      </c>
      <c r="B815">
        <v>4</v>
      </c>
      <c r="C815" s="1" t="s">
        <v>29</v>
      </c>
      <c r="D815" s="1" t="s">
        <v>30</v>
      </c>
      <c r="E815" s="1" t="s">
        <v>11</v>
      </c>
      <c r="F815" s="4">
        <v>3.0700000000000002E-2</v>
      </c>
      <c r="G815" s="4">
        <v>11.345499</v>
      </c>
      <c r="H815" s="4">
        <v>1.09E-2</v>
      </c>
      <c r="I815">
        <v>7</v>
      </c>
      <c r="J815" s="4" t="str">
        <f>IF(OR(Копия_20206[[#This Row],[Units (in 1000)]]&gt;$R$7,Копия_20206[[#This Row],[Units (in 1000)]]&lt;$R$6),"outlier","not outlier")</f>
        <v>not outlier</v>
      </c>
      <c r="K815" s="4" t="str">
        <f>IF(OR(Копия_20206[[#This Row],[Value (in 1000 rub)]]&gt;$S$7,Копия_20206[[#This Row],[Value (in 1000 rub)]]&lt;$S$6),"outlier","not outlier")</f>
        <v>not outlier</v>
      </c>
      <c r="L815" s="4" t="str">
        <f>IF(OR(Копия_20206[[#This Row],[Volume (in 1000 kg)]]&gt;$T$7,Копия_20206[[#This Row],[Volume (in 1000 kg)]]&lt;$T$6),"outlier","not outlier")</f>
        <v>not outlier</v>
      </c>
      <c r="M815" s="4" t="str">
        <f>IF(OR(Копия_20206[[#This Row],[Number of stores]]&gt;$U$7,Копия_20206[[#This Row],[Number of stores]]&lt;$U$6),"outlier","not outlier")</f>
        <v>not outlier</v>
      </c>
    </row>
    <row r="816" spans="1:13" x14ac:dyDescent="0.25">
      <c r="A816">
        <v>2021</v>
      </c>
      <c r="B816">
        <v>4</v>
      </c>
      <c r="C816" s="1" t="s">
        <v>29</v>
      </c>
      <c r="D816" s="1" t="s">
        <v>30</v>
      </c>
      <c r="E816" s="1" t="s">
        <v>12</v>
      </c>
      <c r="F816" s="4">
        <v>7.2900000000000006E-2</v>
      </c>
      <c r="G816" s="4">
        <v>36.270744999999998</v>
      </c>
      <c r="H816" s="4">
        <v>3.6499999999999998E-2</v>
      </c>
      <c r="I816">
        <v>49</v>
      </c>
      <c r="J816" s="4" t="str">
        <f>IF(OR(Копия_20206[[#This Row],[Units (in 1000)]]&gt;$R$7,Копия_20206[[#This Row],[Units (in 1000)]]&lt;$R$6),"outlier","not outlier")</f>
        <v>not outlier</v>
      </c>
      <c r="K816" s="4" t="str">
        <f>IF(OR(Копия_20206[[#This Row],[Value (in 1000 rub)]]&gt;$S$7,Копия_20206[[#This Row],[Value (in 1000 rub)]]&lt;$S$6),"outlier","not outlier")</f>
        <v>not outlier</v>
      </c>
      <c r="L816" s="4" t="str">
        <f>IF(OR(Копия_20206[[#This Row],[Volume (in 1000 kg)]]&gt;$T$7,Копия_20206[[#This Row],[Volume (in 1000 kg)]]&lt;$T$6),"outlier","not outlier")</f>
        <v>not outlier</v>
      </c>
      <c r="M816" s="4" t="str">
        <f>IF(OR(Копия_20206[[#This Row],[Number of stores]]&gt;$U$7,Копия_20206[[#This Row],[Number of stores]]&lt;$U$6),"outlier","not outlier")</f>
        <v>not outlier</v>
      </c>
    </row>
    <row r="817" spans="1:13" x14ac:dyDescent="0.25">
      <c r="A817">
        <v>2021</v>
      </c>
      <c r="B817">
        <v>5</v>
      </c>
      <c r="C817" s="1" t="s">
        <v>29</v>
      </c>
      <c r="D817" s="1" t="s">
        <v>30</v>
      </c>
      <c r="E817" s="1" t="s">
        <v>18</v>
      </c>
      <c r="F817" s="4">
        <v>1.2937000000000001</v>
      </c>
      <c r="G817" s="4">
        <v>382.59960000000001</v>
      </c>
      <c r="H817" s="4">
        <v>0.2457</v>
      </c>
      <c r="I817">
        <v>113</v>
      </c>
      <c r="J817" s="4" t="str">
        <f>IF(OR(Копия_20206[[#This Row],[Units (in 1000)]]&gt;$R$7,Копия_20206[[#This Row],[Units (in 1000)]]&lt;$R$6),"outlier","not outlier")</f>
        <v>not outlier</v>
      </c>
      <c r="K817" s="4" t="str">
        <f>IF(OR(Копия_20206[[#This Row],[Value (in 1000 rub)]]&gt;$S$7,Копия_20206[[#This Row],[Value (in 1000 rub)]]&lt;$S$6),"outlier","not outlier")</f>
        <v>not outlier</v>
      </c>
      <c r="L817" s="4" t="str">
        <f>IF(OR(Копия_20206[[#This Row],[Volume (in 1000 kg)]]&gt;$T$7,Копия_20206[[#This Row],[Volume (in 1000 kg)]]&lt;$T$6),"outlier","not outlier")</f>
        <v>not outlier</v>
      </c>
      <c r="M817" s="4" t="str">
        <f>IF(OR(Копия_20206[[#This Row],[Number of stores]]&gt;$U$7,Копия_20206[[#This Row],[Number of stores]]&lt;$U$6),"outlier","not outlier")</f>
        <v>not outlier</v>
      </c>
    </row>
    <row r="818" spans="1:13" x14ac:dyDescent="0.25">
      <c r="A818">
        <v>2021</v>
      </c>
      <c r="B818">
        <v>5</v>
      </c>
      <c r="C818" s="1" t="s">
        <v>29</v>
      </c>
      <c r="D818" s="1" t="s">
        <v>30</v>
      </c>
      <c r="E818" s="1" t="s">
        <v>11</v>
      </c>
      <c r="F818" s="4">
        <v>1.1299999999999999E-2</v>
      </c>
      <c r="G818" s="4">
        <v>4.8052010000000003</v>
      </c>
      <c r="H818" s="4">
        <v>4.0000000000000001E-3</v>
      </c>
      <c r="I818">
        <v>4</v>
      </c>
      <c r="J818" s="4" t="str">
        <f>IF(OR(Копия_20206[[#This Row],[Units (in 1000)]]&gt;$R$7,Копия_20206[[#This Row],[Units (in 1000)]]&lt;$R$6),"outlier","not outlier")</f>
        <v>not outlier</v>
      </c>
      <c r="K818" s="4" t="str">
        <f>IF(OR(Копия_20206[[#This Row],[Value (in 1000 rub)]]&gt;$S$7,Копия_20206[[#This Row],[Value (in 1000 rub)]]&lt;$S$6),"outlier","not outlier")</f>
        <v>not outlier</v>
      </c>
      <c r="L818" s="4" t="str">
        <f>IF(OR(Копия_20206[[#This Row],[Volume (in 1000 kg)]]&gt;$T$7,Копия_20206[[#This Row],[Volume (in 1000 kg)]]&lt;$T$6),"outlier","not outlier")</f>
        <v>not outlier</v>
      </c>
      <c r="M818" s="4" t="str">
        <f>IF(OR(Копия_20206[[#This Row],[Number of stores]]&gt;$U$7,Копия_20206[[#This Row],[Number of stores]]&lt;$U$6),"outlier","not outlier")</f>
        <v>not outlier</v>
      </c>
    </row>
    <row r="819" spans="1:13" x14ac:dyDescent="0.25">
      <c r="A819">
        <v>2021</v>
      </c>
      <c r="B819">
        <v>5</v>
      </c>
      <c r="C819" s="1" t="s">
        <v>29</v>
      </c>
      <c r="D819" s="1" t="s">
        <v>30</v>
      </c>
      <c r="E819" s="1" t="s">
        <v>12</v>
      </c>
      <c r="F819" s="4">
        <v>4.9299999999999997E-2</v>
      </c>
      <c r="G819" s="4">
        <v>24.562618000000001</v>
      </c>
      <c r="H819" s="4">
        <v>2.46E-2</v>
      </c>
      <c r="I819">
        <v>44</v>
      </c>
      <c r="J819" s="4" t="str">
        <f>IF(OR(Копия_20206[[#This Row],[Units (in 1000)]]&gt;$R$7,Копия_20206[[#This Row],[Units (in 1000)]]&lt;$R$6),"outlier","not outlier")</f>
        <v>not outlier</v>
      </c>
      <c r="K819" s="4" t="str">
        <f>IF(OR(Копия_20206[[#This Row],[Value (in 1000 rub)]]&gt;$S$7,Копия_20206[[#This Row],[Value (in 1000 rub)]]&lt;$S$6),"outlier","not outlier")</f>
        <v>not outlier</v>
      </c>
      <c r="L819" s="4" t="str">
        <f>IF(OR(Копия_20206[[#This Row],[Volume (in 1000 kg)]]&gt;$T$7,Копия_20206[[#This Row],[Volume (in 1000 kg)]]&lt;$T$6),"outlier","not outlier")</f>
        <v>not outlier</v>
      </c>
      <c r="M819" s="4" t="str">
        <f>IF(OR(Копия_20206[[#This Row],[Number of stores]]&gt;$U$7,Копия_20206[[#This Row],[Number of stores]]&lt;$U$6),"outlier","not outlier")</f>
        <v>not outlier</v>
      </c>
    </row>
    <row r="820" spans="1:13" x14ac:dyDescent="0.25">
      <c r="A820">
        <v>2021</v>
      </c>
      <c r="B820">
        <v>6</v>
      </c>
      <c r="C820" s="1" t="s">
        <v>29</v>
      </c>
      <c r="D820" s="1" t="s">
        <v>30</v>
      </c>
      <c r="E820" s="1" t="s">
        <v>18</v>
      </c>
      <c r="F820" s="4">
        <v>1.4055</v>
      </c>
      <c r="G820" s="4">
        <v>441.05953799999997</v>
      </c>
      <c r="H820" s="4">
        <v>0.2671</v>
      </c>
      <c r="I820">
        <v>107</v>
      </c>
      <c r="J820" s="4" t="str">
        <f>IF(OR(Копия_20206[[#This Row],[Units (in 1000)]]&gt;$R$7,Копия_20206[[#This Row],[Units (in 1000)]]&lt;$R$6),"outlier","not outlier")</f>
        <v>not outlier</v>
      </c>
      <c r="K820" s="4" t="str">
        <f>IF(OR(Копия_20206[[#This Row],[Value (in 1000 rub)]]&gt;$S$7,Копия_20206[[#This Row],[Value (in 1000 rub)]]&lt;$S$6),"outlier","not outlier")</f>
        <v>not outlier</v>
      </c>
      <c r="L820" s="4" t="str">
        <f>IF(OR(Копия_20206[[#This Row],[Volume (in 1000 kg)]]&gt;$T$7,Копия_20206[[#This Row],[Volume (in 1000 kg)]]&lt;$T$6),"outlier","not outlier")</f>
        <v>not outlier</v>
      </c>
      <c r="M820" s="4" t="str">
        <f>IF(OR(Копия_20206[[#This Row],[Number of stores]]&gt;$U$7,Копия_20206[[#This Row],[Number of stores]]&lt;$U$6),"outlier","not outlier")</f>
        <v>not outlier</v>
      </c>
    </row>
    <row r="821" spans="1:13" x14ac:dyDescent="0.25">
      <c r="A821">
        <v>2021</v>
      </c>
      <c r="B821">
        <v>6</v>
      </c>
      <c r="C821" s="1" t="s">
        <v>29</v>
      </c>
      <c r="D821" s="1" t="s">
        <v>30</v>
      </c>
      <c r="E821" s="1" t="s">
        <v>11</v>
      </c>
      <c r="F821" s="4">
        <v>1.7600000000000001E-2</v>
      </c>
      <c r="G821" s="4">
        <v>7.4547910000000002</v>
      </c>
      <c r="H821" s="4">
        <v>6.1999999999999998E-3</v>
      </c>
      <c r="I821">
        <v>5</v>
      </c>
      <c r="J821" s="4" t="str">
        <f>IF(OR(Копия_20206[[#This Row],[Units (in 1000)]]&gt;$R$7,Копия_20206[[#This Row],[Units (in 1000)]]&lt;$R$6),"outlier","not outlier")</f>
        <v>not outlier</v>
      </c>
      <c r="K821" s="4" t="str">
        <f>IF(OR(Копия_20206[[#This Row],[Value (in 1000 rub)]]&gt;$S$7,Копия_20206[[#This Row],[Value (in 1000 rub)]]&lt;$S$6),"outlier","not outlier")</f>
        <v>not outlier</v>
      </c>
      <c r="L821" s="4" t="str">
        <f>IF(OR(Копия_20206[[#This Row],[Volume (in 1000 kg)]]&gt;$T$7,Копия_20206[[#This Row],[Volume (in 1000 kg)]]&lt;$T$6),"outlier","not outlier")</f>
        <v>not outlier</v>
      </c>
      <c r="M821" s="4" t="str">
        <f>IF(OR(Копия_20206[[#This Row],[Number of stores]]&gt;$U$7,Копия_20206[[#This Row],[Number of stores]]&lt;$U$6),"outlier","not outlier")</f>
        <v>not outlier</v>
      </c>
    </row>
    <row r="822" spans="1:13" x14ac:dyDescent="0.25">
      <c r="A822">
        <v>2021</v>
      </c>
      <c r="B822">
        <v>6</v>
      </c>
      <c r="C822" s="1" t="s">
        <v>29</v>
      </c>
      <c r="D822" s="1" t="s">
        <v>30</v>
      </c>
      <c r="E822" s="1" t="s">
        <v>12</v>
      </c>
      <c r="F822" s="4">
        <v>5.0200000000000002E-2</v>
      </c>
      <c r="G822" s="4">
        <v>25.818787</v>
      </c>
      <c r="H822" s="4">
        <v>2.5100000000000001E-2</v>
      </c>
      <c r="I822">
        <v>44</v>
      </c>
      <c r="J822" s="4" t="str">
        <f>IF(OR(Копия_20206[[#This Row],[Units (in 1000)]]&gt;$R$7,Копия_20206[[#This Row],[Units (in 1000)]]&lt;$R$6),"outlier","not outlier")</f>
        <v>not outlier</v>
      </c>
      <c r="K822" s="4" t="str">
        <f>IF(OR(Копия_20206[[#This Row],[Value (in 1000 rub)]]&gt;$S$7,Копия_20206[[#This Row],[Value (in 1000 rub)]]&lt;$S$6),"outlier","not outlier")</f>
        <v>not outlier</v>
      </c>
      <c r="L822" s="4" t="str">
        <f>IF(OR(Копия_20206[[#This Row],[Volume (in 1000 kg)]]&gt;$T$7,Копия_20206[[#This Row],[Volume (in 1000 kg)]]&lt;$T$6),"outlier","not outlier")</f>
        <v>not outlier</v>
      </c>
      <c r="M822" s="4" t="str">
        <f>IF(OR(Копия_20206[[#This Row],[Number of stores]]&gt;$U$7,Копия_20206[[#This Row],[Number of stores]]&lt;$U$6),"outlier","not outlier")</f>
        <v>not outlier</v>
      </c>
    </row>
    <row r="823" spans="1:13" x14ac:dyDescent="0.25">
      <c r="A823">
        <v>2021</v>
      </c>
      <c r="B823">
        <v>7</v>
      </c>
      <c r="C823" s="1" t="s">
        <v>29</v>
      </c>
      <c r="D823" s="1" t="s">
        <v>30</v>
      </c>
      <c r="E823" s="1" t="s">
        <v>18</v>
      </c>
      <c r="F823" s="4">
        <v>0.92989999999999995</v>
      </c>
      <c r="G823" s="4">
        <v>287.86619899999999</v>
      </c>
      <c r="H823" s="4">
        <v>0.17660000000000001</v>
      </c>
      <c r="I823">
        <v>105</v>
      </c>
      <c r="J823" s="4" t="str">
        <f>IF(OR(Копия_20206[[#This Row],[Units (in 1000)]]&gt;$R$7,Копия_20206[[#This Row],[Units (in 1000)]]&lt;$R$6),"outlier","not outlier")</f>
        <v>not outlier</v>
      </c>
      <c r="K823" s="4" t="str">
        <f>IF(OR(Копия_20206[[#This Row],[Value (in 1000 rub)]]&gt;$S$7,Копия_20206[[#This Row],[Value (in 1000 rub)]]&lt;$S$6),"outlier","not outlier")</f>
        <v>not outlier</v>
      </c>
      <c r="L823" s="4" t="str">
        <f>IF(OR(Копия_20206[[#This Row],[Volume (in 1000 kg)]]&gt;$T$7,Копия_20206[[#This Row],[Volume (in 1000 kg)]]&lt;$T$6),"outlier","not outlier")</f>
        <v>not outlier</v>
      </c>
      <c r="M823" s="4" t="str">
        <f>IF(OR(Копия_20206[[#This Row],[Number of stores]]&gt;$U$7,Копия_20206[[#This Row],[Number of stores]]&lt;$U$6),"outlier","not outlier")</f>
        <v>not outlier</v>
      </c>
    </row>
    <row r="824" spans="1:13" x14ac:dyDescent="0.25">
      <c r="A824">
        <v>2021</v>
      </c>
      <c r="B824">
        <v>7</v>
      </c>
      <c r="C824" s="1" t="s">
        <v>29</v>
      </c>
      <c r="D824" s="1" t="s">
        <v>30</v>
      </c>
      <c r="E824" s="1" t="s">
        <v>11</v>
      </c>
      <c r="F824" s="4">
        <v>1.66E-2</v>
      </c>
      <c r="G824" s="4">
        <v>6.9438370000000003</v>
      </c>
      <c r="H824" s="4">
        <v>5.8999999999999999E-3</v>
      </c>
      <c r="I824">
        <v>5</v>
      </c>
      <c r="J824" s="4" t="str">
        <f>IF(OR(Копия_20206[[#This Row],[Units (in 1000)]]&gt;$R$7,Копия_20206[[#This Row],[Units (in 1000)]]&lt;$R$6),"outlier","not outlier")</f>
        <v>not outlier</v>
      </c>
      <c r="K824" s="4" t="str">
        <f>IF(OR(Копия_20206[[#This Row],[Value (in 1000 rub)]]&gt;$S$7,Копия_20206[[#This Row],[Value (in 1000 rub)]]&lt;$S$6),"outlier","not outlier")</f>
        <v>not outlier</v>
      </c>
      <c r="L824" s="4" t="str">
        <f>IF(OR(Копия_20206[[#This Row],[Volume (in 1000 kg)]]&gt;$T$7,Копия_20206[[#This Row],[Volume (in 1000 kg)]]&lt;$T$6),"outlier","not outlier")</f>
        <v>not outlier</v>
      </c>
      <c r="M824" s="4" t="str">
        <f>IF(OR(Копия_20206[[#This Row],[Number of stores]]&gt;$U$7,Копия_20206[[#This Row],[Number of stores]]&lt;$U$6),"outlier","not outlier")</f>
        <v>not outlier</v>
      </c>
    </row>
    <row r="825" spans="1:13" x14ac:dyDescent="0.25">
      <c r="A825">
        <v>2021</v>
      </c>
      <c r="B825">
        <v>7</v>
      </c>
      <c r="C825" s="1" t="s">
        <v>29</v>
      </c>
      <c r="D825" s="1" t="s">
        <v>30</v>
      </c>
      <c r="E825" s="1" t="s">
        <v>12</v>
      </c>
      <c r="F825" s="4">
        <v>4.9299999999999997E-2</v>
      </c>
      <c r="G825" s="4">
        <v>25.549583999999999</v>
      </c>
      <c r="H825" s="4">
        <v>2.46E-2</v>
      </c>
      <c r="I825">
        <v>34</v>
      </c>
      <c r="J825" s="4" t="str">
        <f>IF(OR(Копия_20206[[#This Row],[Units (in 1000)]]&gt;$R$7,Копия_20206[[#This Row],[Units (in 1000)]]&lt;$R$6),"outlier","not outlier")</f>
        <v>not outlier</v>
      </c>
      <c r="K825" s="4" t="str">
        <f>IF(OR(Копия_20206[[#This Row],[Value (in 1000 rub)]]&gt;$S$7,Копия_20206[[#This Row],[Value (in 1000 rub)]]&lt;$S$6),"outlier","not outlier")</f>
        <v>not outlier</v>
      </c>
      <c r="L825" s="4" t="str">
        <f>IF(OR(Копия_20206[[#This Row],[Volume (in 1000 kg)]]&gt;$T$7,Копия_20206[[#This Row],[Volume (in 1000 kg)]]&lt;$T$6),"outlier","not outlier")</f>
        <v>not outlier</v>
      </c>
      <c r="M825" s="4" t="str">
        <f>IF(OR(Копия_20206[[#This Row],[Number of stores]]&gt;$U$7,Копия_20206[[#This Row],[Number of stores]]&lt;$U$6),"outlier","not outlier")</f>
        <v>not outlier</v>
      </c>
    </row>
    <row r="826" spans="1:13" x14ac:dyDescent="0.25">
      <c r="A826">
        <v>2021</v>
      </c>
      <c r="B826">
        <v>8</v>
      </c>
      <c r="C826" s="1" t="s">
        <v>29</v>
      </c>
      <c r="D826" s="1" t="s">
        <v>30</v>
      </c>
      <c r="E826" s="1" t="s">
        <v>18</v>
      </c>
      <c r="F826" s="4">
        <v>0.65920000000000001</v>
      </c>
      <c r="G826" s="4">
        <v>215.46899199999999</v>
      </c>
      <c r="H826" s="4">
        <v>0.12529999999999999</v>
      </c>
      <c r="I826">
        <v>105</v>
      </c>
      <c r="J826" s="4" t="str">
        <f>IF(OR(Копия_20206[[#This Row],[Units (in 1000)]]&gt;$R$7,Копия_20206[[#This Row],[Units (in 1000)]]&lt;$R$6),"outlier","not outlier")</f>
        <v>not outlier</v>
      </c>
      <c r="K826" s="4" t="str">
        <f>IF(OR(Копия_20206[[#This Row],[Value (in 1000 rub)]]&gt;$S$7,Копия_20206[[#This Row],[Value (in 1000 rub)]]&lt;$S$6),"outlier","not outlier")</f>
        <v>not outlier</v>
      </c>
      <c r="L826" s="4" t="str">
        <f>IF(OR(Копия_20206[[#This Row],[Volume (in 1000 kg)]]&gt;$T$7,Копия_20206[[#This Row],[Volume (in 1000 kg)]]&lt;$T$6),"outlier","not outlier")</f>
        <v>not outlier</v>
      </c>
      <c r="M826" s="4" t="str">
        <f>IF(OR(Копия_20206[[#This Row],[Number of stores]]&gt;$U$7,Копия_20206[[#This Row],[Number of stores]]&lt;$U$6),"outlier","not outlier")</f>
        <v>not outlier</v>
      </c>
    </row>
    <row r="827" spans="1:13" x14ac:dyDescent="0.25">
      <c r="A827">
        <v>2021</v>
      </c>
      <c r="B827">
        <v>8</v>
      </c>
      <c r="C827" s="1" t="s">
        <v>29</v>
      </c>
      <c r="D827" s="1" t="s">
        <v>30</v>
      </c>
      <c r="E827" s="1" t="s">
        <v>11</v>
      </c>
      <c r="F827" s="4">
        <v>1.26E-2</v>
      </c>
      <c r="G827" s="4">
        <v>5.401491</v>
      </c>
      <c r="H827" s="4">
        <v>4.4000000000000003E-3</v>
      </c>
      <c r="I827">
        <v>4</v>
      </c>
      <c r="J827" s="4" t="str">
        <f>IF(OR(Копия_20206[[#This Row],[Units (in 1000)]]&gt;$R$7,Копия_20206[[#This Row],[Units (in 1000)]]&lt;$R$6),"outlier","not outlier")</f>
        <v>not outlier</v>
      </c>
      <c r="K827" s="4" t="str">
        <f>IF(OR(Копия_20206[[#This Row],[Value (in 1000 rub)]]&gt;$S$7,Копия_20206[[#This Row],[Value (in 1000 rub)]]&lt;$S$6),"outlier","not outlier")</f>
        <v>not outlier</v>
      </c>
      <c r="L827" s="4" t="str">
        <f>IF(OR(Копия_20206[[#This Row],[Volume (in 1000 kg)]]&gt;$T$7,Копия_20206[[#This Row],[Volume (in 1000 kg)]]&lt;$T$6),"outlier","not outlier")</f>
        <v>not outlier</v>
      </c>
      <c r="M827" s="4" t="str">
        <f>IF(OR(Копия_20206[[#This Row],[Number of stores]]&gt;$U$7,Копия_20206[[#This Row],[Number of stores]]&lt;$U$6),"outlier","not outlier")</f>
        <v>not outlier</v>
      </c>
    </row>
    <row r="828" spans="1:13" x14ac:dyDescent="0.25">
      <c r="A828">
        <v>2021</v>
      </c>
      <c r="B828">
        <v>8</v>
      </c>
      <c r="C828" s="1" t="s">
        <v>29</v>
      </c>
      <c r="D828" s="1" t="s">
        <v>30</v>
      </c>
      <c r="E828" s="1" t="s">
        <v>12</v>
      </c>
      <c r="F828" s="4">
        <v>6.5199999999999994E-2</v>
      </c>
      <c r="G828" s="4">
        <v>33.784533000000003</v>
      </c>
      <c r="H828" s="4">
        <v>3.2599999999999997E-2</v>
      </c>
      <c r="I828">
        <v>47</v>
      </c>
      <c r="J828" s="4" t="str">
        <f>IF(OR(Копия_20206[[#This Row],[Units (in 1000)]]&gt;$R$7,Копия_20206[[#This Row],[Units (in 1000)]]&lt;$R$6),"outlier","not outlier")</f>
        <v>not outlier</v>
      </c>
      <c r="K828" s="4" t="str">
        <f>IF(OR(Копия_20206[[#This Row],[Value (in 1000 rub)]]&gt;$S$7,Копия_20206[[#This Row],[Value (in 1000 rub)]]&lt;$S$6),"outlier","not outlier")</f>
        <v>not outlier</v>
      </c>
      <c r="L828" s="4" t="str">
        <f>IF(OR(Копия_20206[[#This Row],[Volume (in 1000 kg)]]&gt;$T$7,Копия_20206[[#This Row],[Volume (in 1000 kg)]]&lt;$T$6),"outlier","not outlier")</f>
        <v>not outlier</v>
      </c>
      <c r="M828" s="4" t="str">
        <f>IF(OR(Копия_20206[[#This Row],[Number of stores]]&gt;$U$7,Копия_20206[[#This Row],[Number of stores]]&lt;$U$6),"outlier","not outlier")</f>
        <v>not outlier</v>
      </c>
    </row>
    <row r="829" spans="1:13" x14ac:dyDescent="0.25">
      <c r="A829">
        <v>2021</v>
      </c>
      <c r="B829">
        <v>9</v>
      </c>
      <c r="C829" s="1" t="s">
        <v>29</v>
      </c>
      <c r="D829" s="1" t="s">
        <v>30</v>
      </c>
      <c r="E829" s="1" t="s">
        <v>18</v>
      </c>
      <c r="F829" s="4">
        <v>1.3111999999999999</v>
      </c>
      <c r="G829" s="4">
        <v>388.65413999999998</v>
      </c>
      <c r="H829" s="4">
        <v>0.249</v>
      </c>
      <c r="I829">
        <v>115</v>
      </c>
      <c r="J829" s="4" t="str">
        <f>IF(OR(Копия_20206[[#This Row],[Units (in 1000)]]&gt;$R$7,Копия_20206[[#This Row],[Units (in 1000)]]&lt;$R$6),"outlier","not outlier")</f>
        <v>not outlier</v>
      </c>
      <c r="K829" s="4" t="str">
        <f>IF(OR(Копия_20206[[#This Row],[Value (in 1000 rub)]]&gt;$S$7,Копия_20206[[#This Row],[Value (in 1000 rub)]]&lt;$S$6),"outlier","not outlier")</f>
        <v>not outlier</v>
      </c>
      <c r="L829" s="4" t="str">
        <f>IF(OR(Копия_20206[[#This Row],[Volume (in 1000 kg)]]&gt;$T$7,Копия_20206[[#This Row],[Volume (in 1000 kg)]]&lt;$T$6),"outlier","not outlier")</f>
        <v>not outlier</v>
      </c>
      <c r="M829" s="4" t="str">
        <f>IF(OR(Копия_20206[[#This Row],[Number of stores]]&gt;$U$7,Копия_20206[[#This Row],[Number of stores]]&lt;$U$6),"outlier","not outlier")</f>
        <v>not outlier</v>
      </c>
    </row>
    <row r="830" spans="1:13" x14ac:dyDescent="0.25">
      <c r="A830">
        <v>2021</v>
      </c>
      <c r="B830">
        <v>9</v>
      </c>
      <c r="C830" s="1" t="s">
        <v>29</v>
      </c>
      <c r="D830" s="1" t="s">
        <v>30</v>
      </c>
      <c r="E830" s="1" t="s">
        <v>11</v>
      </c>
      <c r="F830" s="4">
        <v>1.15E-2</v>
      </c>
      <c r="G830" s="4">
        <v>4.9720930000000001</v>
      </c>
      <c r="H830" s="4">
        <v>4.1999999999999997E-3</v>
      </c>
      <c r="I830">
        <v>5</v>
      </c>
      <c r="J830" s="4" t="str">
        <f>IF(OR(Копия_20206[[#This Row],[Units (in 1000)]]&gt;$R$7,Копия_20206[[#This Row],[Units (in 1000)]]&lt;$R$6),"outlier","not outlier")</f>
        <v>not outlier</v>
      </c>
      <c r="K830" s="4" t="str">
        <f>IF(OR(Копия_20206[[#This Row],[Value (in 1000 rub)]]&gt;$S$7,Копия_20206[[#This Row],[Value (in 1000 rub)]]&lt;$S$6),"outlier","not outlier")</f>
        <v>not outlier</v>
      </c>
      <c r="L830" s="4" t="str">
        <f>IF(OR(Копия_20206[[#This Row],[Volume (in 1000 kg)]]&gt;$T$7,Копия_20206[[#This Row],[Volume (in 1000 kg)]]&lt;$T$6),"outlier","not outlier")</f>
        <v>not outlier</v>
      </c>
      <c r="M830" s="4" t="str">
        <f>IF(OR(Копия_20206[[#This Row],[Number of stores]]&gt;$U$7,Копия_20206[[#This Row],[Number of stores]]&lt;$U$6),"outlier","not outlier")</f>
        <v>not outlier</v>
      </c>
    </row>
    <row r="831" spans="1:13" x14ac:dyDescent="0.25">
      <c r="A831">
        <v>2021</v>
      </c>
      <c r="B831">
        <v>9</v>
      </c>
      <c r="C831" s="1" t="s">
        <v>29</v>
      </c>
      <c r="D831" s="1" t="s">
        <v>30</v>
      </c>
      <c r="E831" s="1" t="s">
        <v>12</v>
      </c>
      <c r="F831" s="4">
        <v>5.6599999999999998E-2</v>
      </c>
      <c r="G831" s="4">
        <v>29.526423000000001</v>
      </c>
      <c r="H831" s="4">
        <v>2.8299999999999999E-2</v>
      </c>
      <c r="I831">
        <v>47</v>
      </c>
      <c r="J831" s="4" t="str">
        <f>IF(OR(Копия_20206[[#This Row],[Units (in 1000)]]&gt;$R$7,Копия_20206[[#This Row],[Units (in 1000)]]&lt;$R$6),"outlier","not outlier")</f>
        <v>not outlier</v>
      </c>
      <c r="K831" s="4" t="str">
        <f>IF(OR(Копия_20206[[#This Row],[Value (in 1000 rub)]]&gt;$S$7,Копия_20206[[#This Row],[Value (in 1000 rub)]]&lt;$S$6),"outlier","not outlier")</f>
        <v>not outlier</v>
      </c>
      <c r="L831" s="4" t="str">
        <f>IF(OR(Копия_20206[[#This Row],[Volume (in 1000 kg)]]&gt;$T$7,Копия_20206[[#This Row],[Volume (in 1000 kg)]]&lt;$T$6),"outlier","not outlier")</f>
        <v>not outlier</v>
      </c>
      <c r="M831" s="4" t="str">
        <f>IF(OR(Копия_20206[[#This Row],[Number of stores]]&gt;$U$7,Копия_20206[[#This Row],[Number of stores]]&lt;$U$6),"outlier","not outlier")</f>
        <v>not outlier</v>
      </c>
    </row>
    <row r="832" spans="1:13" x14ac:dyDescent="0.25">
      <c r="A832">
        <v>2021</v>
      </c>
      <c r="B832">
        <v>10</v>
      </c>
      <c r="C832" s="1" t="s">
        <v>29</v>
      </c>
      <c r="D832" s="1" t="s">
        <v>30</v>
      </c>
      <c r="E832" s="1" t="s">
        <v>18</v>
      </c>
      <c r="F832" s="4">
        <v>1.2161999999999999</v>
      </c>
      <c r="G832" s="4">
        <v>378.99533500000001</v>
      </c>
      <c r="H832" s="4">
        <v>0.2311</v>
      </c>
      <c r="I832">
        <v>107</v>
      </c>
      <c r="J832" s="4" t="str">
        <f>IF(OR(Копия_20206[[#This Row],[Units (in 1000)]]&gt;$R$7,Копия_20206[[#This Row],[Units (in 1000)]]&lt;$R$6),"outlier","not outlier")</f>
        <v>not outlier</v>
      </c>
      <c r="K832" s="4" t="str">
        <f>IF(OR(Копия_20206[[#This Row],[Value (in 1000 rub)]]&gt;$S$7,Копия_20206[[#This Row],[Value (in 1000 rub)]]&lt;$S$6),"outlier","not outlier")</f>
        <v>not outlier</v>
      </c>
      <c r="L832" s="4" t="str">
        <f>IF(OR(Копия_20206[[#This Row],[Volume (in 1000 kg)]]&gt;$T$7,Копия_20206[[#This Row],[Volume (in 1000 kg)]]&lt;$T$6),"outlier","not outlier")</f>
        <v>not outlier</v>
      </c>
      <c r="M832" s="4" t="str">
        <f>IF(OR(Копия_20206[[#This Row],[Number of stores]]&gt;$U$7,Копия_20206[[#This Row],[Number of stores]]&lt;$U$6),"outlier","not outlier")</f>
        <v>not outlier</v>
      </c>
    </row>
    <row r="833" spans="1:13" x14ac:dyDescent="0.25">
      <c r="A833">
        <v>2021</v>
      </c>
      <c r="B833">
        <v>10</v>
      </c>
      <c r="C833" s="1" t="s">
        <v>29</v>
      </c>
      <c r="D833" s="1" t="s">
        <v>30</v>
      </c>
      <c r="E833" s="1" t="s">
        <v>11</v>
      </c>
      <c r="F833" s="4">
        <v>1.7600000000000001E-2</v>
      </c>
      <c r="G833" s="4">
        <v>7.4601620000000004</v>
      </c>
      <c r="H833" s="4">
        <v>6.1999999999999998E-3</v>
      </c>
      <c r="I833">
        <v>4</v>
      </c>
      <c r="J833" s="4" t="str">
        <f>IF(OR(Копия_20206[[#This Row],[Units (in 1000)]]&gt;$R$7,Копия_20206[[#This Row],[Units (in 1000)]]&lt;$R$6),"outlier","not outlier")</f>
        <v>not outlier</v>
      </c>
      <c r="K833" s="4" t="str">
        <f>IF(OR(Копия_20206[[#This Row],[Value (in 1000 rub)]]&gt;$S$7,Копия_20206[[#This Row],[Value (in 1000 rub)]]&lt;$S$6),"outlier","not outlier")</f>
        <v>not outlier</v>
      </c>
      <c r="L833" s="4" t="str">
        <f>IF(OR(Копия_20206[[#This Row],[Volume (in 1000 kg)]]&gt;$T$7,Копия_20206[[#This Row],[Volume (in 1000 kg)]]&lt;$T$6),"outlier","not outlier")</f>
        <v>not outlier</v>
      </c>
      <c r="M833" s="4" t="str">
        <f>IF(OR(Копия_20206[[#This Row],[Number of stores]]&gt;$U$7,Копия_20206[[#This Row],[Number of stores]]&lt;$U$6),"outlier","not outlier")</f>
        <v>not outlier</v>
      </c>
    </row>
    <row r="834" spans="1:13" x14ac:dyDescent="0.25">
      <c r="A834">
        <v>2021</v>
      </c>
      <c r="B834">
        <v>10</v>
      </c>
      <c r="C834" s="1" t="s">
        <v>29</v>
      </c>
      <c r="D834" s="1" t="s">
        <v>30</v>
      </c>
      <c r="E834" s="1" t="s">
        <v>12</v>
      </c>
      <c r="F834" s="4">
        <v>4.6699999999999998E-2</v>
      </c>
      <c r="G834" s="4">
        <v>23.810641</v>
      </c>
      <c r="H834" s="4">
        <v>2.3300000000000001E-2</v>
      </c>
      <c r="I834">
        <v>36</v>
      </c>
      <c r="J834" s="4" t="str">
        <f>IF(OR(Копия_20206[[#This Row],[Units (in 1000)]]&gt;$R$7,Копия_20206[[#This Row],[Units (in 1000)]]&lt;$R$6),"outlier","not outlier")</f>
        <v>not outlier</v>
      </c>
      <c r="K834" s="4" t="str">
        <f>IF(OR(Копия_20206[[#This Row],[Value (in 1000 rub)]]&gt;$S$7,Копия_20206[[#This Row],[Value (in 1000 rub)]]&lt;$S$6),"outlier","not outlier")</f>
        <v>not outlier</v>
      </c>
      <c r="L834" s="4" t="str">
        <f>IF(OR(Копия_20206[[#This Row],[Volume (in 1000 kg)]]&gt;$T$7,Копия_20206[[#This Row],[Volume (in 1000 kg)]]&lt;$T$6),"outlier","not outlier")</f>
        <v>not outlier</v>
      </c>
      <c r="M834" s="4" t="str">
        <f>IF(OR(Копия_20206[[#This Row],[Number of stores]]&gt;$U$7,Копия_20206[[#This Row],[Number of stores]]&lt;$U$6),"outlier","not outlier")</f>
        <v>not outlier</v>
      </c>
    </row>
    <row r="835" spans="1:13" x14ac:dyDescent="0.25">
      <c r="A835">
        <v>2021</v>
      </c>
      <c r="B835">
        <v>11</v>
      </c>
      <c r="C835" s="1" t="s">
        <v>29</v>
      </c>
      <c r="D835" s="1" t="s">
        <v>30</v>
      </c>
      <c r="E835" s="1" t="s">
        <v>18</v>
      </c>
      <c r="F835" s="4">
        <v>1.0677000000000001</v>
      </c>
      <c r="G835" s="4">
        <v>321.767696</v>
      </c>
      <c r="H835" s="4">
        <v>0.20269999999999999</v>
      </c>
      <c r="I835">
        <v>108</v>
      </c>
      <c r="J835" s="4" t="str">
        <f>IF(OR(Копия_20206[[#This Row],[Units (in 1000)]]&gt;$R$7,Копия_20206[[#This Row],[Units (in 1000)]]&lt;$R$6),"outlier","not outlier")</f>
        <v>not outlier</v>
      </c>
      <c r="K835" s="4" t="str">
        <f>IF(OR(Копия_20206[[#This Row],[Value (in 1000 rub)]]&gt;$S$7,Копия_20206[[#This Row],[Value (in 1000 rub)]]&lt;$S$6),"outlier","not outlier")</f>
        <v>not outlier</v>
      </c>
      <c r="L835" s="4" t="str">
        <f>IF(OR(Копия_20206[[#This Row],[Volume (in 1000 kg)]]&gt;$T$7,Копия_20206[[#This Row],[Volume (in 1000 kg)]]&lt;$T$6),"outlier","not outlier")</f>
        <v>not outlier</v>
      </c>
      <c r="M835" s="4" t="str">
        <f>IF(OR(Копия_20206[[#This Row],[Number of stores]]&gt;$U$7,Копия_20206[[#This Row],[Number of stores]]&lt;$U$6),"outlier","not outlier")</f>
        <v>not outlier</v>
      </c>
    </row>
    <row r="836" spans="1:13" x14ac:dyDescent="0.25">
      <c r="A836">
        <v>2021</v>
      </c>
      <c r="B836">
        <v>11</v>
      </c>
      <c r="C836" s="1" t="s">
        <v>29</v>
      </c>
      <c r="D836" s="1" t="s">
        <v>30</v>
      </c>
      <c r="E836" s="1" t="s">
        <v>11</v>
      </c>
      <c r="F836" s="4">
        <v>1.6799999999999999E-2</v>
      </c>
      <c r="G836" s="4">
        <v>7.1706029999999998</v>
      </c>
      <c r="H836" s="4">
        <v>6.0000000000000001E-3</v>
      </c>
      <c r="I836">
        <v>5</v>
      </c>
      <c r="J836" s="4" t="str">
        <f>IF(OR(Копия_20206[[#This Row],[Units (in 1000)]]&gt;$R$7,Копия_20206[[#This Row],[Units (in 1000)]]&lt;$R$6),"outlier","not outlier")</f>
        <v>not outlier</v>
      </c>
      <c r="K836" s="4" t="str">
        <f>IF(OR(Копия_20206[[#This Row],[Value (in 1000 rub)]]&gt;$S$7,Копия_20206[[#This Row],[Value (in 1000 rub)]]&lt;$S$6),"outlier","not outlier")</f>
        <v>not outlier</v>
      </c>
      <c r="L836" s="4" t="str">
        <f>IF(OR(Копия_20206[[#This Row],[Volume (in 1000 kg)]]&gt;$T$7,Копия_20206[[#This Row],[Volume (in 1000 kg)]]&lt;$T$6),"outlier","not outlier")</f>
        <v>not outlier</v>
      </c>
      <c r="M836" s="4" t="str">
        <f>IF(OR(Копия_20206[[#This Row],[Number of stores]]&gt;$U$7,Копия_20206[[#This Row],[Number of stores]]&lt;$U$6),"outlier","not outlier")</f>
        <v>not outlier</v>
      </c>
    </row>
    <row r="837" spans="1:13" x14ac:dyDescent="0.25">
      <c r="A837">
        <v>2021</v>
      </c>
      <c r="B837">
        <v>11</v>
      </c>
      <c r="C837" s="1" t="s">
        <v>29</v>
      </c>
      <c r="D837" s="1" t="s">
        <v>30</v>
      </c>
      <c r="E837" s="1" t="s">
        <v>12</v>
      </c>
      <c r="F837" s="4">
        <v>4.6600000000000003E-2</v>
      </c>
      <c r="G837" s="4">
        <v>24.183679000000001</v>
      </c>
      <c r="H837" s="4">
        <v>2.3300000000000001E-2</v>
      </c>
      <c r="I837">
        <v>39</v>
      </c>
      <c r="J837" s="4" t="str">
        <f>IF(OR(Копия_20206[[#This Row],[Units (in 1000)]]&gt;$R$7,Копия_20206[[#This Row],[Units (in 1000)]]&lt;$R$6),"outlier","not outlier")</f>
        <v>not outlier</v>
      </c>
      <c r="K837" s="4" t="str">
        <f>IF(OR(Копия_20206[[#This Row],[Value (in 1000 rub)]]&gt;$S$7,Копия_20206[[#This Row],[Value (in 1000 rub)]]&lt;$S$6),"outlier","not outlier")</f>
        <v>not outlier</v>
      </c>
      <c r="L837" s="4" t="str">
        <f>IF(OR(Копия_20206[[#This Row],[Volume (in 1000 kg)]]&gt;$T$7,Копия_20206[[#This Row],[Volume (in 1000 kg)]]&lt;$T$6),"outlier","not outlier")</f>
        <v>not outlier</v>
      </c>
      <c r="M837" s="4" t="str">
        <f>IF(OR(Копия_20206[[#This Row],[Number of stores]]&gt;$U$7,Копия_20206[[#This Row],[Number of stores]]&lt;$U$6),"outlier","not outlier")</f>
        <v>not outlier</v>
      </c>
    </row>
    <row r="838" spans="1:13" x14ac:dyDescent="0.25">
      <c r="A838">
        <v>2021</v>
      </c>
      <c r="B838">
        <v>12</v>
      </c>
      <c r="C838" s="1" t="s">
        <v>29</v>
      </c>
      <c r="D838" s="1" t="s">
        <v>30</v>
      </c>
      <c r="E838" s="1" t="s">
        <v>18</v>
      </c>
      <c r="F838" s="4">
        <v>1.3044</v>
      </c>
      <c r="G838" s="4">
        <v>385.36005399999999</v>
      </c>
      <c r="H838" s="4">
        <v>0.24779999999999999</v>
      </c>
      <c r="I838">
        <v>105</v>
      </c>
      <c r="J838" s="4" t="str">
        <f>IF(OR(Копия_20206[[#This Row],[Units (in 1000)]]&gt;$R$7,Копия_20206[[#This Row],[Units (in 1000)]]&lt;$R$6),"outlier","not outlier")</f>
        <v>not outlier</v>
      </c>
      <c r="K838" s="4" t="str">
        <f>IF(OR(Копия_20206[[#This Row],[Value (in 1000 rub)]]&gt;$S$7,Копия_20206[[#This Row],[Value (in 1000 rub)]]&lt;$S$6),"outlier","not outlier")</f>
        <v>not outlier</v>
      </c>
      <c r="L838" s="4" t="str">
        <f>IF(OR(Копия_20206[[#This Row],[Volume (in 1000 kg)]]&gt;$T$7,Копия_20206[[#This Row],[Volume (in 1000 kg)]]&lt;$T$6),"outlier","not outlier")</f>
        <v>not outlier</v>
      </c>
      <c r="M838" s="4" t="str">
        <f>IF(OR(Копия_20206[[#This Row],[Number of stores]]&gt;$U$7,Копия_20206[[#This Row],[Number of stores]]&lt;$U$6),"outlier","not outlier")</f>
        <v>not outlier</v>
      </c>
    </row>
    <row r="839" spans="1:13" x14ac:dyDescent="0.25">
      <c r="A839">
        <v>2021</v>
      </c>
      <c r="B839">
        <v>12</v>
      </c>
      <c r="C839" s="1" t="s">
        <v>29</v>
      </c>
      <c r="D839" s="1" t="s">
        <v>30</v>
      </c>
      <c r="E839" s="1" t="s">
        <v>11</v>
      </c>
      <c r="F839" s="4">
        <v>2.01E-2</v>
      </c>
      <c r="G839" s="4">
        <v>8.7732209999999995</v>
      </c>
      <c r="H839" s="4">
        <v>7.1999999999999998E-3</v>
      </c>
      <c r="I839">
        <v>6</v>
      </c>
      <c r="J839" s="4" t="str">
        <f>IF(OR(Копия_20206[[#This Row],[Units (in 1000)]]&gt;$R$7,Копия_20206[[#This Row],[Units (in 1000)]]&lt;$R$6),"outlier","not outlier")</f>
        <v>not outlier</v>
      </c>
      <c r="K839" s="4" t="str">
        <f>IF(OR(Копия_20206[[#This Row],[Value (in 1000 rub)]]&gt;$S$7,Копия_20206[[#This Row],[Value (in 1000 rub)]]&lt;$S$6),"outlier","not outlier")</f>
        <v>not outlier</v>
      </c>
      <c r="L839" s="4" t="str">
        <f>IF(OR(Копия_20206[[#This Row],[Volume (in 1000 kg)]]&gt;$T$7,Копия_20206[[#This Row],[Volume (in 1000 kg)]]&lt;$T$6),"outlier","not outlier")</f>
        <v>not outlier</v>
      </c>
      <c r="M839" s="4" t="str">
        <f>IF(OR(Копия_20206[[#This Row],[Number of stores]]&gt;$U$7,Копия_20206[[#This Row],[Number of stores]]&lt;$U$6),"outlier","not outlier")</f>
        <v>not outlier</v>
      </c>
    </row>
    <row r="840" spans="1:13" x14ac:dyDescent="0.25">
      <c r="A840">
        <v>2021</v>
      </c>
      <c r="B840">
        <v>12</v>
      </c>
      <c r="C840" s="1" t="s">
        <v>29</v>
      </c>
      <c r="D840" s="1" t="s">
        <v>30</v>
      </c>
      <c r="E840" s="1" t="s">
        <v>12</v>
      </c>
      <c r="F840" s="4">
        <v>5.5100000000000003E-2</v>
      </c>
      <c r="G840" s="4">
        <v>28.912296000000001</v>
      </c>
      <c r="H840" s="4">
        <v>2.76E-2</v>
      </c>
      <c r="I840">
        <v>44</v>
      </c>
      <c r="J840" s="4" t="str">
        <f>IF(OR(Копия_20206[[#This Row],[Units (in 1000)]]&gt;$R$7,Копия_20206[[#This Row],[Units (in 1000)]]&lt;$R$6),"outlier","not outlier")</f>
        <v>not outlier</v>
      </c>
      <c r="K840" s="4" t="str">
        <f>IF(OR(Копия_20206[[#This Row],[Value (in 1000 rub)]]&gt;$S$7,Копия_20206[[#This Row],[Value (in 1000 rub)]]&lt;$S$6),"outlier","not outlier")</f>
        <v>not outlier</v>
      </c>
      <c r="L840" s="4" t="str">
        <f>IF(OR(Копия_20206[[#This Row],[Volume (in 1000 kg)]]&gt;$T$7,Копия_20206[[#This Row],[Volume (in 1000 kg)]]&lt;$T$6),"outlier","not outlier")</f>
        <v>not outlier</v>
      </c>
      <c r="M840" s="4" t="str">
        <f>IF(OR(Копия_20206[[#This Row],[Number of stores]]&gt;$U$7,Копия_20206[[#This Row],[Number of stores]]&lt;$U$6),"outlier","not outlier")</f>
        <v>not outlier</v>
      </c>
    </row>
    <row r="841" spans="1:13" x14ac:dyDescent="0.25">
      <c r="A841">
        <v>2021</v>
      </c>
      <c r="B841">
        <v>1</v>
      </c>
      <c r="C841" s="1" t="s">
        <v>29</v>
      </c>
      <c r="D841" s="1" t="s">
        <v>33</v>
      </c>
      <c r="E841" s="1" t="s">
        <v>18</v>
      </c>
      <c r="F841" s="4">
        <v>6.9999999999999999E-4</v>
      </c>
      <c r="G841" s="4">
        <v>0.330204</v>
      </c>
      <c r="H841" s="4">
        <v>1E-4</v>
      </c>
      <c r="I841">
        <v>0</v>
      </c>
      <c r="J841" s="4" t="str">
        <f>IF(OR(Копия_20206[[#This Row],[Units (in 1000)]]&gt;$R$7,Копия_20206[[#This Row],[Units (in 1000)]]&lt;$R$6),"outlier","not outlier")</f>
        <v>not outlier</v>
      </c>
      <c r="K841" s="4" t="str">
        <f>IF(OR(Копия_20206[[#This Row],[Value (in 1000 rub)]]&gt;$S$7,Копия_20206[[#This Row],[Value (in 1000 rub)]]&lt;$S$6),"outlier","not outlier")</f>
        <v>not outlier</v>
      </c>
      <c r="L841" s="4" t="str">
        <f>IF(OR(Копия_20206[[#This Row],[Volume (in 1000 kg)]]&gt;$T$7,Копия_20206[[#This Row],[Volume (in 1000 kg)]]&lt;$T$6),"outlier","not outlier")</f>
        <v>not outlier</v>
      </c>
      <c r="M841" s="4" t="str">
        <f>IF(OR(Копия_20206[[#This Row],[Number of stores]]&gt;$U$7,Копия_20206[[#This Row],[Number of stores]]&lt;$U$6),"outlier","not outlier")</f>
        <v>not outlier</v>
      </c>
    </row>
    <row r="842" spans="1:13" x14ac:dyDescent="0.25">
      <c r="A842">
        <v>2021</v>
      </c>
      <c r="B842">
        <v>1</v>
      </c>
      <c r="C842" s="1" t="s">
        <v>29</v>
      </c>
      <c r="D842" s="1" t="s">
        <v>33</v>
      </c>
      <c r="E842" s="1" t="s">
        <v>11</v>
      </c>
      <c r="F842" s="4">
        <v>5.7700000000000001E-2</v>
      </c>
      <c r="G842" s="4">
        <v>27.053737000000002</v>
      </c>
      <c r="H842" s="4">
        <v>2.0199999999999999E-2</v>
      </c>
      <c r="I842">
        <v>0</v>
      </c>
      <c r="J842" s="4" t="str">
        <f>IF(OR(Копия_20206[[#This Row],[Units (in 1000)]]&gt;$R$7,Копия_20206[[#This Row],[Units (in 1000)]]&lt;$R$6),"outlier","not outlier")</f>
        <v>not outlier</v>
      </c>
      <c r="K842" s="4" t="str">
        <f>IF(OR(Копия_20206[[#This Row],[Value (in 1000 rub)]]&gt;$S$7,Копия_20206[[#This Row],[Value (in 1000 rub)]]&lt;$S$6),"outlier","not outlier")</f>
        <v>not outlier</v>
      </c>
      <c r="L842" s="4" t="str">
        <f>IF(OR(Копия_20206[[#This Row],[Volume (in 1000 kg)]]&gt;$T$7,Копия_20206[[#This Row],[Volume (in 1000 kg)]]&lt;$T$6),"outlier","not outlier")</f>
        <v>not outlier</v>
      </c>
      <c r="M842" s="4" t="str">
        <f>IF(OR(Копия_20206[[#This Row],[Number of stores]]&gt;$U$7,Копия_20206[[#This Row],[Number of stores]]&lt;$U$6),"outlier","not outlier")</f>
        <v>not outlier</v>
      </c>
    </row>
    <row r="843" spans="1:13" x14ac:dyDescent="0.25">
      <c r="A843">
        <v>2021</v>
      </c>
      <c r="B843">
        <v>1</v>
      </c>
      <c r="C843" s="1" t="s">
        <v>29</v>
      </c>
      <c r="D843" s="1" t="s">
        <v>33</v>
      </c>
      <c r="E843" s="1" t="s">
        <v>12</v>
      </c>
      <c r="F843" s="4">
        <v>0.29909999999999998</v>
      </c>
      <c r="G843" s="4">
        <v>167.43448900000001</v>
      </c>
      <c r="H843" s="4">
        <v>0.12559999999999999</v>
      </c>
      <c r="I843">
        <v>0</v>
      </c>
      <c r="J843" s="4" t="str">
        <f>IF(OR(Копия_20206[[#This Row],[Units (in 1000)]]&gt;$R$7,Копия_20206[[#This Row],[Units (in 1000)]]&lt;$R$6),"outlier","not outlier")</f>
        <v>not outlier</v>
      </c>
      <c r="K843" s="4" t="str">
        <f>IF(OR(Копия_20206[[#This Row],[Value (in 1000 rub)]]&gt;$S$7,Копия_20206[[#This Row],[Value (in 1000 rub)]]&lt;$S$6),"outlier","not outlier")</f>
        <v>not outlier</v>
      </c>
      <c r="L843" s="4" t="str">
        <f>IF(OR(Копия_20206[[#This Row],[Volume (in 1000 kg)]]&gt;$T$7,Копия_20206[[#This Row],[Volume (in 1000 kg)]]&lt;$T$6),"outlier","not outlier")</f>
        <v>not outlier</v>
      </c>
      <c r="M843" s="4" t="str">
        <f>IF(OR(Копия_20206[[#This Row],[Number of stores]]&gt;$U$7,Копия_20206[[#This Row],[Number of stores]]&lt;$U$6),"outlier","not outlier")</f>
        <v>not outlier</v>
      </c>
    </row>
    <row r="844" spans="1:13" x14ac:dyDescent="0.25">
      <c r="A844">
        <v>2021</v>
      </c>
      <c r="B844">
        <v>2</v>
      </c>
      <c r="C844" s="1" t="s">
        <v>29</v>
      </c>
      <c r="D844" s="1" t="s">
        <v>33</v>
      </c>
      <c r="E844" s="1" t="s">
        <v>18</v>
      </c>
      <c r="F844" s="4">
        <v>1.2999999999999999E-3</v>
      </c>
      <c r="G844" s="4">
        <v>0.660408</v>
      </c>
      <c r="H844" s="4">
        <v>2.9999999999999997E-4</v>
      </c>
      <c r="I844">
        <v>0</v>
      </c>
      <c r="J844" s="4" t="str">
        <f>IF(OR(Копия_20206[[#This Row],[Units (in 1000)]]&gt;$R$7,Копия_20206[[#This Row],[Units (in 1000)]]&lt;$R$6),"outlier","not outlier")</f>
        <v>not outlier</v>
      </c>
      <c r="K844" s="4" t="str">
        <f>IF(OR(Копия_20206[[#This Row],[Value (in 1000 rub)]]&gt;$S$7,Копия_20206[[#This Row],[Value (in 1000 rub)]]&lt;$S$6),"outlier","not outlier")</f>
        <v>not outlier</v>
      </c>
      <c r="L844" s="4" t="str">
        <f>IF(OR(Копия_20206[[#This Row],[Volume (in 1000 kg)]]&gt;$T$7,Копия_20206[[#This Row],[Volume (in 1000 kg)]]&lt;$T$6),"outlier","not outlier")</f>
        <v>not outlier</v>
      </c>
      <c r="M844" s="4" t="str">
        <f>IF(OR(Копия_20206[[#This Row],[Number of stores]]&gt;$U$7,Копия_20206[[#This Row],[Number of stores]]&lt;$U$6),"outlier","not outlier")</f>
        <v>not outlier</v>
      </c>
    </row>
    <row r="845" spans="1:13" x14ac:dyDescent="0.25">
      <c r="A845">
        <v>2021</v>
      </c>
      <c r="B845">
        <v>2</v>
      </c>
      <c r="C845" s="1" t="s">
        <v>29</v>
      </c>
      <c r="D845" s="1" t="s">
        <v>33</v>
      </c>
      <c r="E845" s="1" t="s">
        <v>11</v>
      </c>
      <c r="F845" s="4">
        <v>5.5100000000000003E-2</v>
      </c>
      <c r="G845" s="4">
        <v>25.322154000000001</v>
      </c>
      <c r="H845" s="4">
        <v>1.9300000000000001E-2</v>
      </c>
      <c r="I845">
        <v>0</v>
      </c>
      <c r="J845" s="4" t="str">
        <f>IF(OR(Копия_20206[[#This Row],[Units (in 1000)]]&gt;$R$7,Копия_20206[[#This Row],[Units (in 1000)]]&lt;$R$6),"outlier","not outlier")</f>
        <v>not outlier</v>
      </c>
      <c r="K845" s="4" t="str">
        <f>IF(OR(Копия_20206[[#This Row],[Value (in 1000 rub)]]&gt;$S$7,Копия_20206[[#This Row],[Value (in 1000 rub)]]&lt;$S$6),"outlier","not outlier")</f>
        <v>not outlier</v>
      </c>
      <c r="L845" s="4" t="str">
        <f>IF(OR(Копия_20206[[#This Row],[Volume (in 1000 kg)]]&gt;$T$7,Копия_20206[[#This Row],[Volume (in 1000 kg)]]&lt;$T$6),"outlier","not outlier")</f>
        <v>not outlier</v>
      </c>
      <c r="M845" s="4" t="str">
        <f>IF(OR(Копия_20206[[#This Row],[Number of stores]]&gt;$U$7,Копия_20206[[#This Row],[Number of stores]]&lt;$U$6),"outlier","not outlier")</f>
        <v>not outlier</v>
      </c>
    </row>
    <row r="846" spans="1:13" x14ac:dyDescent="0.25">
      <c r="A846">
        <v>2021</v>
      </c>
      <c r="B846">
        <v>2</v>
      </c>
      <c r="C846" s="1" t="s">
        <v>29</v>
      </c>
      <c r="D846" s="1" t="s">
        <v>33</v>
      </c>
      <c r="E846" s="1" t="s">
        <v>12</v>
      </c>
      <c r="F846" s="4">
        <v>0.40989999999999999</v>
      </c>
      <c r="G846" s="4">
        <v>222.27564100000001</v>
      </c>
      <c r="H846" s="4">
        <v>0.1721</v>
      </c>
      <c r="I846">
        <v>0</v>
      </c>
      <c r="J846" s="4" t="str">
        <f>IF(OR(Копия_20206[[#This Row],[Units (in 1000)]]&gt;$R$7,Копия_20206[[#This Row],[Units (in 1000)]]&lt;$R$6),"outlier","not outlier")</f>
        <v>not outlier</v>
      </c>
      <c r="K846" s="4" t="str">
        <f>IF(OR(Копия_20206[[#This Row],[Value (in 1000 rub)]]&gt;$S$7,Копия_20206[[#This Row],[Value (in 1000 rub)]]&lt;$S$6),"outlier","not outlier")</f>
        <v>not outlier</v>
      </c>
      <c r="L846" s="4" t="str">
        <f>IF(OR(Копия_20206[[#This Row],[Volume (in 1000 kg)]]&gt;$T$7,Копия_20206[[#This Row],[Volume (in 1000 kg)]]&lt;$T$6),"outlier","not outlier")</f>
        <v>not outlier</v>
      </c>
      <c r="M846" s="4" t="str">
        <f>IF(OR(Копия_20206[[#This Row],[Number of stores]]&gt;$U$7,Копия_20206[[#This Row],[Number of stores]]&lt;$U$6),"outlier","not outlier")</f>
        <v>not outlier</v>
      </c>
    </row>
    <row r="847" spans="1:13" x14ac:dyDescent="0.25">
      <c r="A847">
        <v>2021</v>
      </c>
      <c r="B847">
        <v>3</v>
      </c>
      <c r="C847" s="1" t="s">
        <v>29</v>
      </c>
      <c r="D847" s="1" t="s">
        <v>33</v>
      </c>
      <c r="E847" s="1" t="s">
        <v>18</v>
      </c>
      <c r="F847" s="4">
        <v>2E-3</v>
      </c>
      <c r="G847" s="4">
        <v>0.99061299999999997</v>
      </c>
      <c r="H847" s="4">
        <v>4.0000000000000002E-4</v>
      </c>
      <c r="I847">
        <v>0</v>
      </c>
      <c r="J847" s="4" t="str">
        <f>IF(OR(Копия_20206[[#This Row],[Units (in 1000)]]&gt;$R$7,Копия_20206[[#This Row],[Units (in 1000)]]&lt;$R$6),"outlier","not outlier")</f>
        <v>not outlier</v>
      </c>
      <c r="K847" s="4" t="str">
        <f>IF(OR(Копия_20206[[#This Row],[Value (in 1000 rub)]]&gt;$S$7,Копия_20206[[#This Row],[Value (in 1000 rub)]]&lt;$S$6),"outlier","not outlier")</f>
        <v>not outlier</v>
      </c>
      <c r="L847" s="4" t="str">
        <f>IF(OR(Копия_20206[[#This Row],[Volume (in 1000 kg)]]&gt;$T$7,Копия_20206[[#This Row],[Volume (in 1000 kg)]]&lt;$T$6),"outlier","not outlier")</f>
        <v>not outlier</v>
      </c>
      <c r="M847" s="4" t="str">
        <f>IF(OR(Копия_20206[[#This Row],[Number of stores]]&gt;$U$7,Копия_20206[[#This Row],[Number of stores]]&lt;$U$6),"outlier","not outlier")</f>
        <v>not outlier</v>
      </c>
    </row>
    <row r="848" spans="1:13" x14ac:dyDescent="0.25">
      <c r="A848">
        <v>2021</v>
      </c>
      <c r="B848">
        <v>3</v>
      </c>
      <c r="C848" s="1" t="s">
        <v>29</v>
      </c>
      <c r="D848" s="1" t="s">
        <v>33</v>
      </c>
      <c r="E848" s="1" t="s">
        <v>11</v>
      </c>
      <c r="F848" s="4">
        <v>6.1899999999999997E-2</v>
      </c>
      <c r="G848" s="4">
        <v>28.385296000000004</v>
      </c>
      <c r="H848" s="4">
        <v>2.1600000000000001E-2</v>
      </c>
      <c r="I848">
        <v>0</v>
      </c>
      <c r="J848" s="4" t="str">
        <f>IF(OR(Копия_20206[[#This Row],[Units (in 1000)]]&gt;$R$7,Копия_20206[[#This Row],[Units (in 1000)]]&lt;$R$6),"outlier","not outlier")</f>
        <v>not outlier</v>
      </c>
      <c r="K848" s="4" t="str">
        <f>IF(OR(Копия_20206[[#This Row],[Value (in 1000 rub)]]&gt;$S$7,Копия_20206[[#This Row],[Value (in 1000 rub)]]&lt;$S$6),"outlier","not outlier")</f>
        <v>not outlier</v>
      </c>
      <c r="L848" s="4" t="str">
        <f>IF(OR(Копия_20206[[#This Row],[Volume (in 1000 kg)]]&gt;$T$7,Копия_20206[[#This Row],[Volume (in 1000 kg)]]&lt;$T$6),"outlier","not outlier")</f>
        <v>not outlier</v>
      </c>
      <c r="M848" s="4" t="str">
        <f>IF(OR(Копия_20206[[#This Row],[Number of stores]]&gt;$U$7,Копия_20206[[#This Row],[Number of stores]]&lt;$U$6),"outlier","not outlier")</f>
        <v>not outlier</v>
      </c>
    </row>
    <row r="849" spans="1:13" x14ac:dyDescent="0.25">
      <c r="A849">
        <v>2021</v>
      </c>
      <c r="B849">
        <v>3</v>
      </c>
      <c r="C849" s="1" t="s">
        <v>29</v>
      </c>
      <c r="D849" s="1" t="s">
        <v>33</v>
      </c>
      <c r="E849" s="1" t="s">
        <v>12</v>
      </c>
      <c r="F849" s="4">
        <v>0.46129999999999999</v>
      </c>
      <c r="G849" s="4">
        <v>255.430531</v>
      </c>
      <c r="H849" s="4">
        <v>0.19370000000000001</v>
      </c>
      <c r="I849">
        <v>0</v>
      </c>
      <c r="J849" s="4" t="str">
        <f>IF(OR(Копия_20206[[#This Row],[Units (in 1000)]]&gt;$R$7,Копия_20206[[#This Row],[Units (in 1000)]]&lt;$R$6),"outlier","not outlier")</f>
        <v>not outlier</v>
      </c>
      <c r="K849" s="4" t="str">
        <f>IF(OR(Копия_20206[[#This Row],[Value (in 1000 rub)]]&gt;$S$7,Копия_20206[[#This Row],[Value (in 1000 rub)]]&lt;$S$6),"outlier","not outlier")</f>
        <v>not outlier</v>
      </c>
      <c r="L849" s="4" t="str">
        <f>IF(OR(Копия_20206[[#This Row],[Volume (in 1000 kg)]]&gt;$T$7,Копия_20206[[#This Row],[Volume (in 1000 kg)]]&lt;$T$6),"outlier","not outlier")</f>
        <v>not outlier</v>
      </c>
      <c r="M849" s="4" t="str">
        <f>IF(OR(Копия_20206[[#This Row],[Number of stores]]&gt;$U$7,Копия_20206[[#This Row],[Number of stores]]&lt;$U$6),"outlier","not outlier")</f>
        <v>not outlier</v>
      </c>
    </row>
    <row r="850" spans="1:13" x14ac:dyDescent="0.25">
      <c r="A850">
        <v>2021</v>
      </c>
      <c r="B850">
        <v>4</v>
      </c>
      <c r="C850" s="1" t="s">
        <v>29</v>
      </c>
      <c r="D850" s="1" t="s">
        <v>33</v>
      </c>
      <c r="E850" s="1" t="s">
        <v>18</v>
      </c>
      <c r="F850" s="4">
        <v>6.9999999999999999E-4</v>
      </c>
      <c r="G850" s="4">
        <v>0.330204</v>
      </c>
      <c r="H850" s="4">
        <v>1E-4</v>
      </c>
      <c r="I850">
        <v>0</v>
      </c>
      <c r="J850" s="4" t="str">
        <f>IF(OR(Копия_20206[[#This Row],[Units (in 1000)]]&gt;$R$7,Копия_20206[[#This Row],[Units (in 1000)]]&lt;$R$6),"outlier","not outlier")</f>
        <v>not outlier</v>
      </c>
      <c r="K850" s="4" t="str">
        <f>IF(OR(Копия_20206[[#This Row],[Value (in 1000 rub)]]&gt;$S$7,Копия_20206[[#This Row],[Value (in 1000 rub)]]&lt;$S$6),"outlier","not outlier")</f>
        <v>not outlier</v>
      </c>
      <c r="L850" s="4" t="str">
        <f>IF(OR(Копия_20206[[#This Row],[Volume (in 1000 kg)]]&gt;$T$7,Копия_20206[[#This Row],[Volume (in 1000 kg)]]&lt;$T$6),"outlier","not outlier")</f>
        <v>not outlier</v>
      </c>
      <c r="M850" s="4" t="str">
        <f>IF(OR(Копия_20206[[#This Row],[Number of stores]]&gt;$U$7,Копия_20206[[#This Row],[Number of stores]]&lt;$U$6),"outlier","not outlier")</f>
        <v>not outlier</v>
      </c>
    </row>
    <row r="851" spans="1:13" x14ac:dyDescent="0.25">
      <c r="A851">
        <v>2021</v>
      </c>
      <c r="B851">
        <v>4</v>
      </c>
      <c r="C851" s="1" t="s">
        <v>29</v>
      </c>
      <c r="D851" s="1" t="s">
        <v>33</v>
      </c>
      <c r="E851" s="1" t="s">
        <v>11</v>
      </c>
      <c r="F851" s="4">
        <v>8.3699999999999997E-2</v>
      </c>
      <c r="G851" s="4">
        <v>38.515669000000003</v>
      </c>
      <c r="H851" s="4">
        <v>2.93E-2</v>
      </c>
      <c r="I851">
        <v>0</v>
      </c>
      <c r="J851" s="4" t="str">
        <f>IF(OR(Копия_20206[[#This Row],[Units (in 1000)]]&gt;$R$7,Копия_20206[[#This Row],[Units (in 1000)]]&lt;$R$6),"outlier","not outlier")</f>
        <v>not outlier</v>
      </c>
      <c r="K851" s="4" t="str">
        <f>IF(OR(Копия_20206[[#This Row],[Value (in 1000 rub)]]&gt;$S$7,Копия_20206[[#This Row],[Value (in 1000 rub)]]&lt;$S$6),"outlier","not outlier")</f>
        <v>not outlier</v>
      </c>
      <c r="L851" s="4" t="str">
        <f>IF(OR(Копия_20206[[#This Row],[Volume (in 1000 kg)]]&gt;$T$7,Копия_20206[[#This Row],[Volume (in 1000 kg)]]&lt;$T$6),"outlier","not outlier")</f>
        <v>not outlier</v>
      </c>
      <c r="M851" s="4" t="str">
        <f>IF(OR(Копия_20206[[#This Row],[Number of stores]]&gt;$U$7,Копия_20206[[#This Row],[Number of stores]]&lt;$U$6),"outlier","not outlier")</f>
        <v>not outlier</v>
      </c>
    </row>
    <row r="852" spans="1:13" x14ac:dyDescent="0.25">
      <c r="A852">
        <v>2021</v>
      </c>
      <c r="B852">
        <v>4</v>
      </c>
      <c r="C852" s="1" t="s">
        <v>29</v>
      </c>
      <c r="D852" s="1" t="s">
        <v>33</v>
      </c>
      <c r="E852" s="1" t="s">
        <v>12</v>
      </c>
      <c r="F852" s="4">
        <v>0.32790000000000002</v>
      </c>
      <c r="G852" s="4">
        <v>191.16669099999999</v>
      </c>
      <c r="H852" s="4">
        <v>0.13769999999999999</v>
      </c>
      <c r="I852">
        <v>0</v>
      </c>
      <c r="J852" s="4" t="str">
        <f>IF(OR(Копия_20206[[#This Row],[Units (in 1000)]]&gt;$R$7,Копия_20206[[#This Row],[Units (in 1000)]]&lt;$R$6),"outlier","not outlier")</f>
        <v>not outlier</v>
      </c>
      <c r="K852" s="4" t="str">
        <f>IF(OR(Копия_20206[[#This Row],[Value (in 1000 rub)]]&gt;$S$7,Копия_20206[[#This Row],[Value (in 1000 rub)]]&lt;$S$6),"outlier","not outlier")</f>
        <v>not outlier</v>
      </c>
      <c r="L852" s="4" t="str">
        <f>IF(OR(Копия_20206[[#This Row],[Volume (in 1000 kg)]]&gt;$T$7,Копия_20206[[#This Row],[Volume (in 1000 kg)]]&lt;$T$6),"outlier","not outlier")</f>
        <v>not outlier</v>
      </c>
      <c r="M852" s="4" t="str">
        <f>IF(OR(Копия_20206[[#This Row],[Number of stores]]&gt;$U$7,Копия_20206[[#This Row],[Number of stores]]&lt;$U$6),"outlier","not outlier")</f>
        <v>not outlier</v>
      </c>
    </row>
    <row r="853" spans="1:13" x14ac:dyDescent="0.25">
      <c r="A853">
        <v>2021</v>
      </c>
      <c r="B853">
        <v>5</v>
      </c>
      <c r="C853" s="1" t="s">
        <v>29</v>
      </c>
      <c r="D853" s="1" t="s">
        <v>33</v>
      </c>
      <c r="E853" s="1" t="s">
        <v>11</v>
      </c>
      <c r="F853" s="4">
        <v>8.5300000000000001E-2</v>
      </c>
      <c r="G853" s="4">
        <v>39.231243999999997</v>
      </c>
      <c r="H853" s="4">
        <v>2.98E-2</v>
      </c>
      <c r="I853">
        <v>0</v>
      </c>
      <c r="J853" s="4" t="str">
        <f>IF(OR(Копия_20206[[#This Row],[Units (in 1000)]]&gt;$R$7,Копия_20206[[#This Row],[Units (in 1000)]]&lt;$R$6),"outlier","not outlier")</f>
        <v>not outlier</v>
      </c>
      <c r="K853" s="4" t="str">
        <f>IF(OR(Копия_20206[[#This Row],[Value (in 1000 rub)]]&gt;$S$7,Копия_20206[[#This Row],[Value (in 1000 rub)]]&lt;$S$6),"outlier","not outlier")</f>
        <v>not outlier</v>
      </c>
      <c r="L853" s="4" t="str">
        <f>IF(OR(Копия_20206[[#This Row],[Volume (in 1000 kg)]]&gt;$T$7,Копия_20206[[#This Row],[Volume (in 1000 kg)]]&lt;$T$6),"outlier","not outlier")</f>
        <v>not outlier</v>
      </c>
      <c r="M853" s="4" t="str">
        <f>IF(OR(Копия_20206[[#This Row],[Number of stores]]&gt;$U$7,Копия_20206[[#This Row],[Number of stores]]&lt;$U$6),"outlier","not outlier")</f>
        <v>not outlier</v>
      </c>
    </row>
    <row r="854" spans="1:13" x14ac:dyDescent="0.25">
      <c r="A854">
        <v>2021</v>
      </c>
      <c r="B854">
        <v>5</v>
      </c>
      <c r="C854" s="1" t="s">
        <v>29</v>
      </c>
      <c r="D854" s="1" t="s">
        <v>33</v>
      </c>
      <c r="E854" s="1" t="s">
        <v>12</v>
      </c>
      <c r="F854" s="4">
        <v>0.39800000000000002</v>
      </c>
      <c r="G854" s="4">
        <v>222.56314399999999</v>
      </c>
      <c r="H854" s="4">
        <v>0.16719999999999999</v>
      </c>
      <c r="I854">
        <v>0</v>
      </c>
      <c r="J854" s="4" t="str">
        <f>IF(OR(Копия_20206[[#This Row],[Units (in 1000)]]&gt;$R$7,Копия_20206[[#This Row],[Units (in 1000)]]&lt;$R$6),"outlier","not outlier")</f>
        <v>not outlier</v>
      </c>
      <c r="K854" s="4" t="str">
        <f>IF(OR(Копия_20206[[#This Row],[Value (in 1000 rub)]]&gt;$S$7,Копия_20206[[#This Row],[Value (in 1000 rub)]]&lt;$S$6),"outlier","not outlier")</f>
        <v>not outlier</v>
      </c>
      <c r="L854" s="4" t="str">
        <f>IF(OR(Копия_20206[[#This Row],[Volume (in 1000 kg)]]&gt;$T$7,Копия_20206[[#This Row],[Volume (in 1000 kg)]]&lt;$T$6),"outlier","not outlier")</f>
        <v>not outlier</v>
      </c>
      <c r="M854" s="4" t="str">
        <f>IF(OR(Копия_20206[[#This Row],[Number of stores]]&gt;$U$7,Копия_20206[[#This Row],[Number of stores]]&lt;$U$6),"outlier","not outlier")</f>
        <v>not outlier</v>
      </c>
    </row>
    <row r="855" spans="1:13" x14ac:dyDescent="0.25">
      <c r="A855">
        <v>2021</v>
      </c>
      <c r="B855">
        <v>7</v>
      </c>
      <c r="C855" s="1" t="s">
        <v>29</v>
      </c>
      <c r="D855" s="1" t="s">
        <v>33</v>
      </c>
      <c r="E855" s="1" t="s">
        <v>11</v>
      </c>
      <c r="F855" s="4">
        <v>7.4099999999999999E-2</v>
      </c>
      <c r="G855" s="4">
        <v>34.415036999999998</v>
      </c>
      <c r="H855" s="4">
        <v>2.5899999999999999E-2</v>
      </c>
      <c r="I855">
        <v>0</v>
      </c>
      <c r="J855" s="4" t="str">
        <f>IF(OR(Копия_20206[[#This Row],[Units (in 1000)]]&gt;$R$7,Копия_20206[[#This Row],[Units (in 1000)]]&lt;$R$6),"outlier","not outlier")</f>
        <v>not outlier</v>
      </c>
      <c r="K855" s="4" t="str">
        <f>IF(OR(Копия_20206[[#This Row],[Value (in 1000 rub)]]&gt;$S$7,Копия_20206[[#This Row],[Value (in 1000 rub)]]&lt;$S$6),"outlier","not outlier")</f>
        <v>not outlier</v>
      </c>
      <c r="L855" s="4" t="str">
        <f>IF(OR(Копия_20206[[#This Row],[Volume (in 1000 kg)]]&gt;$T$7,Копия_20206[[#This Row],[Volume (in 1000 kg)]]&lt;$T$6),"outlier","not outlier")</f>
        <v>not outlier</v>
      </c>
      <c r="M855" s="4" t="str">
        <f>IF(OR(Копия_20206[[#This Row],[Number of stores]]&gt;$U$7,Копия_20206[[#This Row],[Number of stores]]&lt;$U$6),"outlier","not outlier")</f>
        <v>not outlier</v>
      </c>
    </row>
    <row r="856" spans="1:13" x14ac:dyDescent="0.25">
      <c r="A856">
        <v>2021</v>
      </c>
      <c r="B856">
        <v>7</v>
      </c>
      <c r="C856" s="1" t="s">
        <v>29</v>
      </c>
      <c r="D856" s="1" t="s">
        <v>33</v>
      </c>
      <c r="E856" s="1" t="s">
        <v>12</v>
      </c>
      <c r="F856" s="4">
        <v>0.27760000000000001</v>
      </c>
      <c r="G856" s="4">
        <v>161.84455600000001</v>
      </c>
      <c r="H856" s="4">
        <v>0.1166</v>
      </c>
      <c r="I856">
        <v>0</v>
      </c>
      <c r="J856" s="4" t="str">
        <f>IF(OR(Копия_20206[[#This Row],[Units (in 1000)]]&gt;$R$7,Копия_20206[[#This Row],[Units (in 1000)]]&lt;$R$6),"outlier","not outlier")</f>
        <v>not outlier</v>
      </c>
      <c r="K856" s="4" t="str">
        <f>IF(OR(Копия_20206[[#This Row],[Value (in 1000 rub)]]&gt;$S$7,Копия_20206[[#This Row],[Value (in 1000 rub)]]&lt;$S$6),"outlier","not outlier")</f>
        <v>not outlier</v>
      </c>
      <c r="L856" s="4" t="str">
        <f>IF(OR(Копия_20206[[#This Row],[Volume (in 1000 kg)]]&gt;$T$7,Копия_20206[[#This Row],[Volume (in 1000 kg)]]&lt;$T$6),"outlier","not outlier")</f>
        <v>not outlier</v>
      </c>
      <c r="M856" s="4" t="str">
        <f>IF(OR(Копия_20206[[#This Row],[Number of stores]]&gt;$U$7,Копия_20206[[#This Row],[Number of stores]]&lt;$U$6),"outlier","not outlier")</f>
        <v>not outlier</v>
      </c>
    </row>
    <row r="857" spans="1:13" x14ac:dyDescent="0.25">
      <c r="A857">
        <v>2021</v>
      </c>
      <c r="B857">
        <v>8</v>
      </c>
      <c r="C857" s="1" t="s">
        <v>29</v>
      </c>
      <c r="D857" s="1" t="s">
        <v>33</v>
      </c>
      <c r="E857" s="1" t="s">
        <v>18</v>
      </c>
      <c r="F857" s="4">
        <v>1.2999999999999999E-3</v>
      </c>
      <c r="G857" s="4">
        <v>0.660408</v>
      </c>
      <c r="H857" s="4">
        <v>2.9999999999999997E-4</v>
      </c>
      <c r="I857">
        <v>0</v>
      </c>
      <c r="J857" s="4" t="str">
        <f>IF(OR(Копия_20206[[#This Row],[Units (in 1000)]]&gt;$R$7,Копия_20206[[#This Row],[Units (in 1000)]]&lt;$R$6),"outlier","not outlier")</f>
        <v>not outlier</v>
      </c>
      <c r="K857" s="4" t="str">
        <f>IF(OR(Копия_20206[[#This Row],[Value (in 1000 rub)]]&gt;$S$7,Копия_20206[[#This Row],[Value (in 1000 rub)]]&lt;$S$6),"outlier","not outlier")</f>
        <v>not outlier</v>
      </c>
      <c r="L857" s="4" t="str">
        <f>IF(OR(Копия_20206[[#This Row],[Volume (in 1000 kg)]]&gt;$T$7,Копия_20206[[#This Row],[Volume (in 1000 kg)]]&lt;$T$6),"outlier","not outlier")</f>
        <v>not outlier</v>
      </c>
      <c r="M857" s="4" t="str">
        <f>IF(OR(Копия_20206[[#This Row],[Number of stores]]&gt;$U$7,Копия_20206[[#This Row],[Number of stores]]&lt;$U$6),"outlier","not outlier")</f>
        <v>not outlier</v>
      </c>
    </row>
    <row r="858" spans="1:13" x14ac:dyDescent="0.25">
      <c r="A858">
        <v>2021</v>
      </c>
      <c r="B858">
        <v>8</v>
      </c>
      <c r="C858" s="1" t="s">
        <v>29</v>
      </c>
      <c r="D858" s="1" t="s">
        <v>33</v>
      </c>
      <c r="E858" s="1" t="s">
        <v>11</v>
      </c>
      <c r="F858" s="4">
        <v>6.1499999999999999E-2</v>
      </c>
      <c r="G858" s="4">
        <v>28.180940999999997</v>
      </c>
      <c r="H858" s="4">
        <v>2.1499999999999998E-2</v>
      </c>
      <c r="I858">
        <v>0</v>
      </c>
      <c r="J858" s="4" t="str">
        <f>IF(OR(Копия_20206[[#This Row],[Units (in 1000)]]&gt;$R$7,Копия_20206[[#This Row],[Units (in 1000)]]&lt;$R$6),"outlier","not outlier")</f>
        <v>not outlier</v>
      </c>
      <c r="K858" s="4" t="str">
        <f>IF(OR(Копия_20206[[#This Row],[Value (in 1000 rub)]]&gt;$S$7,Копия_20206[[#This Row],[Value (in 1000 rub)]]&lt;$S$6),"outlier","not outlier")</f>
        <v>not outlier</v>
      </c>
      <c r="L858" s="4" t="str">
        <f>IF(OR(Копия_20206[[#This Row],[Volume (in 1000 kg)]]&gt;$T$7,Копия_20206[[#This Row],[Volume (in 1000 kg)]]&lt;$T$6),"outlier","not outlier")</f>
        <v>not outlier</v>
      </c>
      <c r="M858" s="4" t="str">
        <f>IF(OR(Копия_20206[[#This Row],[Number of stores]]&gt;$U$7,Копия_20206[[#This Row],[Number of stores]]&lt;$U$6),"outlier","not outlier")</f>
        <v>not outlier</v>
      </c>
    </row>
    <row r="859" spans="1:13" x14ac:dyDescent="0.25">
      <c r="A859">
        <v>2021</v>
      </c>
      <c r="B859">
        <v>8</v>
      </c>
      <c r="C859" s="1" t="s">
        <v>29</v>
      </c>
      <c r="D859" s="1" t="s">
        <v>33</v>
      </c>
      <c r="E859" s="1" t="s">
        <v>12</v>
      </c>
      <c r="F859" s="4">
        <v>0.30449999999999999</v>
      </c>
      <c r="G859" s="4">
        <v>177.71524500000004</v>
      </c>
      <c r="H859" s="4">
        <v>0.12790000000000001</v>
      </c>
      <c r="I859">
        <v>0</v>
      </c>
      <c r="J859" s="4" t="str">
        <f>IF(OR(Копия_20206[[#This Row],[Units (in 1000)]]&gt;$R$7,Копия_20206[[#This Row],[Units (in 1000)]]&lt;$R$6),"outlier","not outlier")</f>
        <v>not outlier</v>
      </c>
      <c r="K859" s="4" t="str">
        <f>IF(OR(Копия_20206[[#This Row],[Value (in 1000 rub)]]&gt;$S$7,Копия_20206[[#This Row],[Value (in 1000 rub)]]&lt;$S$6),"outlier","not outlier")</f>
        <v>not outlier</v>
      </c>
      <c r="L859" s="4" t="str">
        <f>IF(OR(Копия_20206[[#This Row],[Volume (in 1000 kg)]]&gt;$T$7,Копия_20206[[#This Row],[Volume (in 1000 kg)]]&lt;$T$6),"outlier","not outlier")</f>
        <v>not outlier</v>
      </c>
      <c r="M859" s="4" t="str">
        <f>IF(OR(Копия_20206[[#This Row],[Number of stores]]&gt;$U$7,Копия_20206[[#This Row],[Number of stores]]&lt;$U$6),"outlier","not outlier")</f>
        <v>not outlier</v>
      </c>
    </row>
    <row r="860" spans="1:13" x14ac:dyDescent="0.25">
      <c r="A860">
        <v>2021</v>
      </c>
      <c r="B860">
        <v>9</v>
      </c>
      <c r="C860" s="1" t="s">
        <v>29</v>
      </c>
      <c r="D860" s="1" t="s">
        <v>33</v>
      </c>
      <c r="E860" s="1" t="s">
        <v>18</v>
      </c>
      <c r="F860" s="4">
        <v>2.0999999999999999E-3</v>
      </c>
      <c r="G860" s="4">
        <v>0.76722800000000002</v>
      </c>
      <c r="H860" s="4">
        <v>4.0000000000000002E-4</v>
      </c>
      <c r="I860">
        <v>3</v>
      </c>
      <c r="J860" s="4" t="str">
        <f>IF(OR(Копия_20206[[#This Row],[Units (in 1000)]]&gt;$R$7,Копия_20206[[#This Row],[Units (in 1000)]]&lt;$R$6),"outlier","not outlier")</f>
        <v>not outlier</v>
      </c>
      <c r="K860" s="4" t="str">
        <f>IF(OR(Копия_20206[[#This Row],[Value (in 1000 rub)]]&gt;$S$7,Копия_20206[[#This Row],[Value (in 1000 rub)]]&lt;$S$6),"outlier","not outlier")</f>
        <v>not outlier</v>
      </c>
      <c r="L860" s="4" t="str">
        <f>IF(OR(Копия_20206[[#This Row],[Volume (in 1000 kg)]]&gt;$T$7,Копия_20206[[#This Row],[Volume (in 1000 kg)]]&lt;$T$6),"outlier","not outlier")</f>
        <v>not outlier</v>
      </c>
      <c r="M860" s="4" t="str">
        <f>IF(OR(Копия_20206[[#This Row],[Number of stores]]&gt;$U$7,Копия_20206[[#This Row],[Number of stores]]&lt;$U$6),"outlier","not outlier")</f>
        <v>not outlier</v>
      </c>
    </row>
    <row r="861" spans="1:13" x14ac:dyDescent="0.25">
      <c r="A861">
        <v>2021</v>
      </c>
      <c r="B861">
        <v>9</v>
      </c>
      <c r="C861" s="1" t="s">
        <v>29</v>
      </c>
      <c r="D861" s="1" t="s">
        <v>33</v>
      </c>
      <c r="E861" s="1" t="s">
        <v>11</v>
      </c>
      <c r="F861" s="4">
        <v>0.1255</v>
      </c>
      <c r="G861" s="4">
        <v>54.314748000000002</v>
      </c>
      <c r="H861" s="4">
        <v>4.3900000000000002E-2</v>
      </c>
      <c r="I861">
        <v>86</v>
      </c>
      <c r="J861" s="4" t="str">
        <f>IF(OR(Копия_20206[[#This Row],[Units (in 1000)]]&gt;$R$7,Копия_20206[[#This Row],[Units (in 1000)]]&lt;$R$6),"outlier","not outlier")</f>
        <v>not outlier</v>
      </c>
      <c r="K861" s="4" t="str">
        <f>IF(OR(Копия_20206[[#This Row],[Value (in 1000 rub)]]&gt;$S$7,Копия_20206[[#This Row],[Value (in 1000 rub)]]&lt;$S$6),"outlier","not outlier")</f>
        <v>not outlier</v>
      </c>
      <c r="L861" s="4" t="str">
        <f>IF(OR(Копия_20206[[#This Row],[Volume (in 1000 kg)]]&gt;$T$7,Копия_20206[[#This Row],[Volume (in 1000 kg)]]&lt;$T$6),"outlier","not outlier")</f>
        <v>not outlier</v>
      </c>
      <c r="M861" s="4" t="str">
        <f>IF(OR(Копия_20206[[#This Row],[Number of stores]]&gt;$U$7,Копия_20206[[#This Row],[Number of stores]]&lt;$U$6),"outlier","not outlier")</f>
        <v>not outlier</v>
      </c>
    </row>
    <row r="862" spans="1:13" x14ac:dyDescent="0.25">
      <c r="A862">
        <v>2021</v>
      </c>
      <c r="B862">
        <v>9</v>
      </c>
      <c r="C862" s="1" t="s">
        <v>29</v>
      </c>
      <c r="D862" s="1" t="s">
        <v>33</v>
      </c>
      <c r="E862" s="1" t="s">
        <v>12</v>
      </c>
      <c r="F862" s="4">
        <v>0.40360000000000001</v>
      </c>
      <c r="G862" s="4">
        <v>228.47459499999999</v>
      </c>
      <c r="H862" s="4">
        <v>0.16950000000000001</v>
      </c>
      <c r="I862">
        <v>130</v>
      </c>
      <c r="J862" s="4" t="str">
        <f>IF(OR(Копия_20206[[#This Row],[Units (in 1000)]]&gt;$R$7,Копия_20206[[#This Row],[Units (in 1000)]]&lt;$R$6),"outlier","not outlier")</f>
        <v>not outlier</v>
      </c>
      <c r="K862" s="4" t="str">
        <f>IF(OR(Копия_20206[[#This Row],[Value (in 1000 rub)]]&gt;$S$7,Копия_20206[[#This Row],[Value (in 1000 rub)]]&lt;$S$6),"outlier","not outlier")</f>
        <v>not outlier</v>
      </c>
      <c r="L862" s="4" t="str">
        <f>IF(OR(Копия_20206[[#This Row],[Volume (in 1000 kg)]]&gt;$T$7,Копия_20206[[#This Row],[Volume (in 1000 kg)]]&lt;$T$6),"outlier","not outlier")</f>
        <v>not outlier</v>
      </c>
      <c r="M862" s="4" t="str">
        <f>IF(OR(Копия_20206[[#This Row],[Number of stores]]&gt;$U$7,Копия_20206[[#This Row],[Number of stores]]&lt;$U$6),"outlier","not outlier")</f>
        <v>not outlier</v>
      </c>
    </row>
    <row r="863" spans="1:13" x14ac:dyDescent="0.25">
      <c r="A863">
        <v>2021</v>
      </c>
      <c r="B863">
        <v>10</v>
      </c>
      <c r="C863" s="1" t="s">
        <v>29</v>
      </c>
      <c r="D863" s="1" t="s">
        <v>33</v>
      </c>
      <c r="E863" s="1" t="s">
        <v>18</v>
      </c>
      <c r="F863" s="4">
        <v>2.5999999999999999E-3</v>
      </c>
      <c r="G863" s="4">
        <v>1.2736730000000001</v>
      </c>
      <c r="H863" s="4">
        <v>5.0000000000000001E-4</v>
      </c>
      <c r="I863">
        <v>1</v>
      </c>
      <c r="J863" s="4" t="str">
        <f>IF(OR(Копия_20206[[#This Row],[Units (in 1000)]]&gt;$R$7,Копия_20206[[#This Row],[Units (in 1000)]]&lt;$R$6),"outlier","not outlier")</f>
        <v>not outlier</v>
      </c>
      <c r="K863" s="4" t="str">
        <f>IF(OR(Копия_20206[[#This Row],[Value (in 1000 rub)]]&gt;$S$7,Копия_20206[[#This Row],[Value (in 1000 rub)]]&lt;$S$6),"outlier","not outlier")</f>
        <v>not outlier</v>
      </c>
      <c r="L863" s="4" t="str">
        <f>IF(OR(Копия_20206[[#This Row],[Volume (in 1000 kg)]]&gt;$T$7,Копия_20206[[#This Row],[Volume (in 1000 kg)]]&lt;$T$6),"outlier","not outlier")</f>
        <v>not outlier</v>
      </c>
      <c r="M863" s="4" t="str">
        <f>IF(OR(Копия_20206[[#This Row],[Number of stores]]&gt;$U$7,Копия_20206[[#This Row],[Number of stores]]&lt;$U$6),"outlier","not outlier")</f>
        <v>not outlier</v>
      </c>
    </row>
    <row r="864" spans="1:13" x14ac:dyDescent="0.25">
      <c r="A864">
        <v>2021</v>
      </c>
      <c r="B864">
        <v>10</v>
      </c>
      <c r="C864" s="1" t="s">
        <v>29</v>
      </c>
      <c r="D864" s="1" t="s">
        <v>33</v>
      </c>
      <c r="E864" s="1" t="s">
        <v>11</v>
      </c>
      <c r="F864" s="4">
        <v>0.1336</v>
      </c>
      <c r="G864" s="4">
        <v>58.314528000000003</v>
      </c>
      <c r="H864" s="4">
        <v>4.6699999999999998E-2</v>
      </c>
      <c r="I864">
        <v>89</v>
      </c>
      <c r="J864" s="4" t="str">
        <f>IF(OR(Копия_20206[[#This Row],[Units (in 1000)]]&gt;$R$7,Копия_20206[[#This Row],[Units (in 1000)]]&lt;$R$6),"outlier","not outlier")</f>
        <v>not outlier</v>
      </c>
      <c r="K864" s="4" t="str">
        <f>IF(OR(Копия_20206[[#This Row],[Value (in 1000 rub)]]&gt;$S$7,Копия_20206[[#This Row],[Value (in 1000 rub)]]&lt;$S$6),"outlier","not outlier")</f>
        <v>not outlier</v>
      </c>
      <c r="L864" s="4" t="str">
        <f>IF(OR(Копия_20206[[#This Row],[Volume (in 1000 kg)]]&gt;$T$7,Копия_20206[[#This Row],[Volume (in 1000 kg)]]&lt;$T$6),"outlier","not outlier")</f>
        <v>not outlier</v>
      </c>
      <c r="M864" s="4" t="str">
        <f>IF(OR(Копия_20206[[#This Row],[Number of stores]]&gt;$U$7,Копия_20206[[#This Row],[Number of stores]]&lt;$U$6),"outlier","not outlier")</f>
        <v>not outlier</v>
      </c>
    </row>
    <row r="865" spans="1:13" x14ac:dyDescent="0.25">
      <c r="A865">
        <v>2021</v>
      </c>
      <c r="B865">
        <v>10</v>
      </c>
      <c r="C865" s="1" t="s">
        <v>29</v>
      </c>
      <c r="D865" s="1" t="s">
        <v>33</v>
      </c>
      <c r="E865" s="1" t="s">
        <v>12</v>
      </c>
      <c r="F865" s="4">
        <v>0.52339999999999998</v>
      </c>
      <c r="G865" s="4">
        <v>283.69342599999999</v>
      </c>
      <c r="H865" s="4">
        <v>0.21990000000000001</v>
      </c>
      <c r="I865">
        <v>89</v>
      </c>
      <c r="J865" s="4" t="str">
        <f>IF(OR(Копия_20206[[#This Row],[Units (in 1000)]]&gt;$R$7,Копия_20206[[#This Row],[Units (in 1000)]]&lt;$R$6),"outlier","not outlier")</f>
        <v>not outlier</v>
      </c>
      <c r="K865" s="4" t="str">
        <f>IF(OR(Копия_20206[[#This Row],[Value (in 1000 rub)]]&gt;$S$7,Копия_20206[[#This Row],[Value (in 1000 rub)]]&lt;$S$6),"outlier","not outlier")</f>
        <v>not outlier</v>
      </c>
      <c r="L865" s="4" t="str">
        <f>IF(OR(Копия_20206[[#This Row],[Volume (in 1000 kg)]]&gt;$T$7,Копия_20206[[#This Row],[Volume (in 1000 kg)]]&lt;$T$6),"outlier","not outlier")</f>
        <v>not outlier</v>
      </c>
      <c r="M865" s="4" t="str">
        <f>IF(OR(Копия_20206[[#This Row],[Number of stores]]&gt;$U$7,Копия_20206[[#This Row],[Number of stores]]&lt;$U$6),"outlier","not outlier")</f>
        <v>not outlier</v>
      </c>
    </row>
    <row r="866" spans="1:13" x14ac:dyDescent="0.25">
      <c r="A866">
        <v>2021</v>
      </c>
      <c r="B866">
        <v>12</v>
      </c>
      <c r="C866" s="1" t="s">
        <v>29</v>
      </c>
      <c r="D866" s="1" t="s">
        <v>33</v>
      </c>
      <c r="E866" s="1" t="s">
        <v>18</v>
      </c>
      <c r="F866" s="4">
        <v>3.3E-3</v>
      </c>
      <c r="G866" s="4">
        <v>1.6510210000000003</v>
      </c>
      <c r="H866" s="4">
        <v>5.9999999999999995E-4</v>
      </c>
      <c r="I866">
        <v>0</v>
      </c>
      <c r="J866" s="4" t="str">
        <f>IF(OR(Копия_20206[[#This Row],[Units (in 1000)]]&gt;$R$7,Копия_20206[[#This Row],[Units (in 1000)]]&lt;$R$6),"outlier","not outlier")</f>
        <v>not outlier</v>
      </c>
      <c r="K866" s="4" t="str">
        <f>IF(OR(Копия_20206[[#This Row],[Value (in 1000 rub)]]&gt;$S$7,Копия_20206[[#This Row],[Value (in 1000 rub)]]&lt;$S$6),"outlier","not outlier")</f>
        <v>not outlier</v>
      </c>
      <c r="L866" s="4" t="str">
        <f>IF(OR(Копия_20206[[#This Row],[Volume (in 1000 kg)]]&gt;$T$7,Копия_20206[[#This Row],[Volume (in 1000 kg)]]&lt;$T$6),"outlier","not outlier")</f>
        <v>not outlier</v>
      </c>
      <c r="M866" s="4" t="str">
        <f>IF(OR(Копия_20206[[#This Row],[Number of stores]]&gt;$U$7,Копия_20206[[#This Row],[Number of stores]]&lt;$U$6),"outlier","not outlier")</f>
        <v>not outlier</v>
      </c>
    </row>
    <row r="867" spans="1:13" x14ac:dyDescent="0.25">
      <c r="A867">
        <v>2021</v>
      </c>
      <c r="B867">
        <v>12</v>
      </c>
      <c r="C867" s="1" t="s">
        <v>29</v>
      </c>
      <c r="D867" s="1" t="s">
        <v>33</v>
      </c>
      <c r="E867" s="1" t="s">
        <v>11</v>
      </c>
      <c r="F867" s="4">
        <v>0.104</v>
      </c>
      <c r="G867" s="4">
        <v>49.401865999999998</v>
      </c>
      <c r="H867" s="4">
        <v>3.6400000000000002E-2</v>
      </c>
      <c r="I867">
        <v>0</v>
      </c>
      <c r="J867" s="4" t="str">
        <f>IF(OR(Копия_20206[[#This Row],[Units (in 1000)]]&gt;$R$7,Копия_20206[[#This Row],[Units (in 1000)]]&lt;$R$6),"outlier","not outlier")</f>
        <v>not outlier</v>
      </c>
      <c r="K867" s="4" t="str">
        <f>IF(OR(Копия_20206[[#This Row],[Value (in 1000 rub)]]&gt;$S$7,Копия_20206[[#This Row],[Value (in 1000 rub)]]&lt;$S$6),"outlier","not outlier")</f>
        <v>not outlier</v>
      </c>
      <c r="L867" s="4" t="str">
        <f>IF(OR(Копия_20206[[#This Row],[Volume (in 1000 kg)]]&gt;$T$7,Копия_20206[[#This Row],[Volume (in 1000 kg)]]&lt;$T$6),"outlier","not outlier")</f>
        <v>not outlier</v>
      </c>
      <c r="M867" s="4" t="str">
        <f>IF(OR(Копия_20206[[#This Row],[Number of stores]]&gt;$U$7,Копия_20206[[#This Row],[Number of stores]]&lt;$U$6),"outlier","not outlier")</f>
        <v>not outlier</v>
      </c>
    </row>
    <row r="868" spans="1:13" x14ac:dyDescent="0.25">
      <c r="A868">
        <v>2021</v>
      </c>
      <c r="B868">
        <v>12</v>
      </c>
      <c r="C868" s="1" t="s">
        <v>29</v>
      </c>
      <c r="D868" s="1" t="s">
        <v>33</v>
      </c>
      <c r="E868" s="1" t="s">
        <v>12</v>
      </c>
      <c r="F868" s="4">
        <v>0.2762</v>
      </c>
      <c r="G868" s="4">
        <v>154.51408900000001</v>
      </c>
      <c r="H868" s="4">
        <v>0.11600000000000001</v>
      </c>
      <c r="I868">
        <v>0</v>
      </c>
      <c r="J868" s="4" t="str">
        <f>IF(OR(Копия_20206[[#This Row],[Units (in 1000)]]&gt;$R$7,Копия_20206[[#This Row],[Units (in 1000)]]&lt;$R$6),"outlier","not outlier")</f>
        <v>not outlier</v>
      </c>
      <c r="K868" s="4" t="str">
        <f>IF(OR(Копия_20206[[#This Row],[Value (in 1000 rub)]]&gt;$S$7,Копия_20206[[#This Row],[Value (in 1000 rub)]]&lt;$S$6),"outlier","not outlier")</f>
        <v>not outlier</v>
      </c>
      <c r="L868" s="4" t="str">
        <f>IF(OR(Копия_20206[[#This Row],[Volume (in 1000 kg)]]&gt;$T$7,Копия_20206[[#This Row],[Volume (in 1000 kg)]]&lt;$T$6),"outlier","not outlier")</f>
        <v>not outlier</v>
      </c>
      <c r="M868" s="4" t="str">
        <f>IF(OR(Копия_20206[[#This Row],[Number of stores]]&gt;$U$7,Копия_20206[[#This Row],[Number of stores]]&lt;$U$6),"outlier","not outlier")</f>
        <v>not outlier</v>
      </c>
    </row>
    <row r="869" spans="1:13" x14ac:dyDescent="0.25">
      <c r="A869">
        <v>2021</v>
      </c>
      <c r="B869">
        <v>1</v>
      </c>
      <c r="C869" s="1" t="s">
        <v>25</v>
      </c>
      <c r="D869" s="1" t="s">
        <v>26</v>
      </c>
      <c r="E869" s="1" t="s">
        <v>11</v>
      </c>
      <c r="F869" s="4">
        <v>0.75460000000000005</v>
      </c>
      <c r="G869" s="4">
        <v>69.099011000000004</v>
      </c>
      <c r="H869" s="4">
        <v>0.2641</v>
      </c>
      <c r="I869">
        <v>222</v>
      </c>
      <c r="J869" s="4" t="str">
        <f>IF(OR(Копия_20206[[#This Row],[Units (in 1000)]]&gt;$R$7,Копия_20206[[#This Row],[Units (in 1000)]]&lt;$R$6),"outlier","not outlier")</f>
        <v>not outlier</v>
      </c>
      <c r="K869" s="4" t="str">
        <f>IF(OR(Копия_20206[[#This Row],[Value (in 1000 rub)]]&gt;$S$7,Копия_20206[[#This Row],[Value (in 1000 rub)]]&lt;$S$6),"outlier","not outlier")</f>
        <v>not outlier</v>
      </c>
      <c r="L869" s="4" t="str">
        <f>IF(OR(Копия_20206[[#This Row],[Volume (in 1000 kg)]]&gt;$T$7,Копия_20206[[#This Row],[Volume (in 1000 kg)]]&lt;$T$6),"outlier","not outlier")</f>
        <v>not outlier</v>
      </c>
      <c r="M869" s="4" t="str">
        <f>IF(OR(Копия_20206[[#This Row],[Number of stores]]&gt;$U$7,Копия_20206[[#This Row],[Number of stores]]&lt;$U$6),"outlier","not outlier")</f>
        <v>not outlier</v>
      </c>
    </row>
    <row r="870" spans="1:13" x14ac:dyDescent="0.25">
      <c r="A870">
        <v>2021</v>
      </c>
      <c r="B870">
        <v>2</v>
      </c>
      <c r="C870" s="1" t="s">
        <v>25</v>
      </c>
      <c r="D870" s="1" t="s">
        <v>26</v>
      </c>
      <c r="E870" s="1" t="s">
        <v>11</v>
      </c>
      <c r="F870" s="4">
        <v>0.86280000000000001</v>
      </c>
      <c r="G870" s="4">
        <v>77.771446999999995</v>
      </c>
      <c r="H870" s="4">
        <v>0.30199999999999999</v>
      </c>
      <c r="I870">
        <v>213</v>
      </c>
      <c r="J870" s="4" t="str">
        <f>IF(OR(Копия_20206[[#This Row],[Units (in 1000)]]&gt;$R$7,Копия_20206[[#This Row],[Units (in 1000)]]&lt;$R$6),"outlier","not outlier")</f>
        <v>not outlier</v>
      </c>
      <c r="K870" s="4" t="str">
        <f>IF(OR(Копия_20206[[#This Row],[Value (in 1000 rub)]]&gt;$S$7,Копия_20206[[#This Row],[Value (in 1000 rub)]]&lt;$S$6),"outlier","not outlier")</f>
        <v>not outlier</v>
      </c>
      <c r="L870" s="4" t="str">
        <f>IF(OR(Копия_20206[[#This Row],[Volume (in 1000 kg)]]&gt;$T$7,Копия_20206[[#This Row],[Volume (in 1000 kg)]]&lt;$T$6),"outlier","not outlier")</f>
        <v>not outlier</v>
      </c>
      <c r="M870" s="4" t="str">
        <f>IF(OR(Копия_20206[[#This Row],[Number of stores]]&gt;$U$7,Копия_20206[[#This Row],[Number of stores]]&lt;$U$6),"outlier","not outlier")</f>
        <v>not outlier</v>
      </c>
    </row>
    <row r="871" spans="1:13" x14ac:dyDescent="0.25">
      <c r="A871">
        <v>2021</v>
      </c>
      <c r="B871">
        <v>3</v>
      </c>
      <c r="C871" s="1" t="s">
        <v>25</v>
      </c>
      <c r="D871" s="1" t="s">
        <v>26</v>
      </c>
      <c r="E871" s="1" t="s">
        <v>11</v>
      </c>
      <c r="F871" s="4">
        <v>1.0598000000000001</v>
      </c>
      <c r="G871" s="4">
        <v>97.765709999999999</v>
      </c>
      <c r="H871" s="4">
        <v>0.371</v>
      </c>
      <c r="I871">
        <v>221</v>
      </c>
      <c r="J871" s="4" t="str">
        <f>IF(OR(Копия_20206[[#This Row],[Units (in 1000)]]&gt;$R$7,Копия_20206[[#This Row],[Units (in 1000)]]&lt;$R$6),"outlier","not outlier")</f>
        <v>not outlier</v>
      </c>
      <c r="K871" s="4" t="str">
        <f>IF(OR(Копия_20206[[#This Row],[Value (in 1000 rub)]]&gt;$S$7,Копия_20206[[#This Row],[Value (in 1000 rub)]]&lt;$S$6),"outlier","not outlier")</f>
        <v>not outlier</v>
      </c>
      <c r="L871" s="4" t="str">
        <f>IF(OR(Копия_20206[[#This Row],[Volume (in 1000 kg)]]&gt;$T$7,Копия_20206[[#This Row],[Volume (in 1000 kg)]]&lt;$T$6),"outlier","not outlier")</f>
        <v>not outlier</v>
      </c>
      <c r="M871" s="4" t="str">
        <f>IF(OR(Копия_20206[[#This Row],[Number of stores]]&gt;$U$7,Копия_20206[[#This Row],[Number of stores]]&lt;$U$6),"outlier","not outlier")</f>
        <v>not outlier</v>
      </c>
    </row>
    <row r="872" spans="1:13" x14ac:dyDescent="0.25">
      <c r="A872">
        <v>2021</v>
      </c>
      <c r="B872">
        <v>4</v>
      </c>
      <c r="C872" s="1" t="s">
        <v>25</v>
      </c>
      <c r="D872" s="1" t="s">
        <v>26</v>
      </c>
      <c r="E872" s="1" t="s">
        <v>11</v>
      </c>
      <c r="F872" s="4">
        <v>1.0268999999999999</v>
      </c>
      <c r="G872" s="4">
        <v>93.809292999999997</v>
      </c>
      <c r="H872" s="4">
        <v>0.3594</v>
      </c>
      <c r="I872">
        <v>525</v>
      </c>
      <c r="J872" s="4" t="str">
        <f>IF(OR(Копия_20206[[#This Row],[Units (in 1000)]]&gt;$R$7,Копия_20206[[#This Row],[Units (in 1000)]]&lt;$R$6),"outlier","not outlier")</f>
        <v>not outlier</v>
      </c>
      <c r="K872" s="4" t="str">
        <f>IF(OR(Копия_20206[[#This Row],[Value (in 1000 rub)]]&gt;$S$7,Копия_20206[[#This Row],[Value (in 1000 rub)]]&lt;$S$6),"outlier","not outlier")</f>
        <v>not outlier</v>
      </c>
      <c r="L872" s="4" t="str">
        <f>IF(OR(Копия_20206[[#This Row],[Volume (in 1000 kg)]]&gt;$T$7,Копия_20206[[#This Row],[Volume (in 1000 kg)]]&lt;$T$6),"outlier","not outlier")</f>
        <v>not outlier</v>
      </c>
      <c r="M872" s="4" t="str">
        <f>IF(OR(Копия_20206[[#This Row],[Number of stores]]&gt;$U$7,Копия_20206[[#This Row],[Number of stores]]&lt;$U$6),"outlier","not outlier")</f>
        <v>not outlier</v>
      </c>
    </row>
    <row r="873" spans="1:13" x14ac:dyDescent="0.25">
      <c r="A873">
        <v>2021</v>
      </c>
      <c r="B873">
        <v>5</v>
      </c>
      <c r="C873" s="1" t="s">
        <v>8</v>
      </c>
      <c r="D873" s="1" t="s">
        <v>26</v>
      </c>
      <c r="E873" s="1" t="s">
        <v>11</v>
      </c>
      <c r="F873" s="4">
        <v>1.1917</v>
      </c>
      <c r="G873" s="4">
        <v>73.446700000000007</v>
      </c>
      <c r="H873" s="4">
        <v>0.41710000000000003</v>
      </c>
      <c r="I873">
        <v>107</v>
      </c>
      <c r="J873" s="4" t="str">
        <f>IF(OR(Копия_20206[[#This Row],[Units (in 1000)]]&gt;$R$7,Копия_20206[[#This Row],[Units (in 1000)]]&lt;$R$6),"outlier","not outlier")</f>
        <v>not outlier</v>
      </c>
      <c r="K873" s="4" t="str">
        <f>IF(OR(Копия_20206[[#This Row],[Value (in 1000 rub)]]&gt;$S$7,Копия_20206[[#This Row],[Value (in 1000 rub)]]&lt;$S$6),"outlier","not outlier")</f>
        <v>not outlier</v>
      </c>
      <c r="L873" s="4" t="str">
        <f>IF(OR(Копия_20206[[#This Row],[Volume (in 1000 kg)]]&gt;$T$7,Копия_20206[[#This Row],[Volume (in 1000 kg)]]&lt;$T$6),"outlier","not outlier")</f>
        <v>not outlier</v>
      </c>
      <c r="M873" s="4" t="str">
        <f>IF(OR(Копия_20206[[#This Row],[Number of stores]]&gt;$U$7,Копия_20206[[#This Row],[Number of stores]]&lt;$U$6),"outlier","not outlier")</f>
        <v>not outlier</v>
      </c>
    </row>
    <row r="874" spans="1:13" x14ac:dyDescent="0.25">
      <c r="A874">
        <v>2021</v>
      </c>
      <c r="B874">
        <v>5</v>
      </c>
      <c r="C874" s="1" t="s">
        <v>25</v>
      </c>
      <c r="D874" s="1" t="s">
        <v>26</v>
      </c>
      <c r="E874" s="1" t="s">
        <v>11</v>
      </c>
      <c r="F874" s="4">
        <v>8.7390000000000008</v>
      </c>
      <c r="G874" s="4">
        <v>530.79929600000003</v>
      </c>
      <c r="H874" s="4">
        <v>3.0586000000000002</v>
      </c>
      <c r="I874">
        <v>2725</v>
      </c>
      <c r="J874" s="4" t="str">
        <f>IF(OR(Копия_20206[[#This Row],[Units (in 1000)]]&gt;$R$7,Копия_20206[[#This Row],[Units (in 1000)]]&lt;$R$6),"outlier","not outlier")</f>
        <v>not outlier</v>
      </c>
      <c r="K874" s="4" t="str">
        <f>IF(OR(Копия_20206[[#This Row],[Value (in 1000 rub)]]&gt;$S$7,Копия_20206[[#This Row],[Value (in 1000 rub)]]&lt;$S$6),"outlier","not outlier")</f>
        <v>not outlier</v>
      </c>
      <c r="L874" s="4" t="str">
        <f>IF(OR(Копия_20206[[#This Row],[Volume (in 1000 kg)]]&gt;$T$7,Копия_20206[[#This Row],[Volume (in 1000 kg)]]&lt;$T$6),"outlier","not outlier")</f>
        <v>not outlier</v>
      </c>
      <c r="M874" s="4" t="str">
        <f>IF(OR(Копия_20206[[#This Row],[Number of stores]]&gt;$U$7,Копия_20206[[#This Row],[Number of stores]]&lt;$U$6),"outlier","not outlier")</f>
        <v>outlier</v>
      </c>
    </row>
    <row r="875" spans="1:13" x14ac:dyDescent="0.25">
      <c r="A875">
        <v>2021</v>
      </c>
      <c r="B875">
        <v>5</v>
      </c>
      <c r="C875" s="1" t="s">
        <v>29</v>
      </c>
      <c r="D875" s="1" t="s">
        <v>26</v>
      </c>
      <c r="E875" s="1" t="s">
        <v>11</v>
      </c>
      <c r="F875" s="4">
        <v>13.682700000000001</v>
      </c>
      <c r="G875" s="4">
        <v>829.92592400000001</v>
      </c>
      <c r="H875" s="4">
        <v>4.7889999999999997</v>
      </c>
      <c r="I875">
        <v>4261</v>
      </c>
      <c r="J875" s="4" t="str">
        <f>IF(OR(Копия_20206[[#This Row],[Units (in 1000)]]&gt;$R$7,Копия_20206[[#This Row],[Units (in 1000)]]&lt;$R$6),"outlier","not outlier")</f>
        <v>not outlier</v>
      </c>
      <c r="K875" s="4" t="str">
        <f>IF(OR(Копия_20206[[#This Row],[Value (in 1000 rub)]]&gt;$S$7,Копия_20206[[#This Row],[Value (in 1000 rub)]]&lt;$S$6),"outlier","not outlier")</f>
        <v>not outlier</v>
      </c>
      <c r="L875" s="4" t="str">
        <f>IF(OR(Копия_20206[[#This Row],[Volume (in 1000 kg)]]&gt;$T$7,Копия_20206[[#This Row],[Volume (in 1000 kg)]]&lt;$T$6),"outlier","not outlier")</f>
        <v>not outlier</v>
      </c>
      <c r="M875" s="4" t="str">
        <f>IF(OR(Копия_20206[[#This Row],[Number of stores]]&gt;$U$7,Копия_20206[[#This Row],[Number of stores]]&lt;$U$6),"outlier","not outlier")</f>
        <v>outlier</v>
      </c>
    </row>
    <row r="876" spans="1:13" x14ac:dyDescent="0.25">
      <c r="A876">
        <v>2021</v>
      </c>
      <c r="B876">
        <v>6</v>
      </c>
      <c r="C876" s="1" t="s">
        <v>8</v>
      </c>
      <c r="D876" s="1" t="s">
        <v>26</v>
      </c>
      <c r="E876" s="1" t="s">
        <v>11</v>
      </c>
      <c r="F876" s="4">
        <v>1.3838999999999999</v>
      </c>
      <c r="G876" s="4">
        <v>79.551433000000003</v>
      </c>
      <c r="H876" s="4">
        <v>0.4844</v>
      </c>
      <c r="I876">
        <v>118</v>
      </c>
      <c r="J876" s="4" t="str">
        <f>IF(OR(Копия_20206[[#This Row],[Units (in 1000)]]&gt;$R$7,Копия_20206[[#This Row],[Units (in 1000)]]&lt;$R$6),"outlier","not outlier")</f>
        <v>not outlier</v>
      </c>
      <c r="K876" s="4" t="str">
        <f>IF(OR(Копия_20206[[#This Row],[Value (in 1000 rub)]]&gt;$S$7,Копия_20206[[#This Row],[Value (in 1000 rub)]]&lt;$S$6),"outlier","not outlier")</f>
        <v>not outlier</v>
      </c>
      <c r="L876" s="4" t="str">
        <f>IF(OR(Копия_20206[[#This Row],[Volume (in 1000 kg)]]&gt;$T$7,Копия_20206[[#This Row],[Volume (in 1000 kg)]]&lt;$T$6),"outlier","not outlier")</f>
        <v>not outlier</v>
      </c>
      <c r="M876" s="4" t="str">
        <f>IF(OR(Копия_20206[[#This Row],[Number of stores]]&gt;$U$7,Копия_20206[[#This Row],[Number of stores]]&lt;$U$6),"outlier","not outlier")</f>
        <v>not outlier</v>
      </c>
    </row>
    <row r="877" spans="1:13" x14ac:dyDescent="0.25">
      <c r="A877">
        <v>2021</v>
      </c>
      <c r="B877">
        <v>6</v>
      </c>
      <c r="C877" s="1" t="s">
        <v>25</v>
      </c>
      <c r="D877" s="1" t="s">
        <v>26</v>
      </c>
      <c r="E877" s="1" t="s">
        <v>11</v>
      </c>
      <c r="F877" s="4">
        <v>9.0986999999999991</v>
      </c>
      <c r="G877" s="4">
        <v>522.36755200000005</v>
      </c>
      <c r="H877" s="4">
        <v>3.1844999999999999</v>
      </c>
      <c r="I877">
        <v>3345</v>
      </c>
      <c r="J877" s="4" t="str">
        <f>IF(OR(Копия_20206[[#This Row],[Units (in 1000)]]&gt;$R$7,Копия_20206[[#This Row],[Units (in 1000)]]&lt;$R$6),"outlier","not outlier")</f>
        <v>not outlier</v>
      </c>
      <c r="K877" s="4" t="str">
        <f>IF(OR(Копия_20206[[#This Row],[Value (in 1000 rub)]]&gt;$S$7,Копия_20206[[#This Row],[Value (in 1000 rub)]]&lt;$S$6),"outlier","not outlier")</f>
        <v>not outlier</v>
      </c>
      <c r="L877" s="4" t="str">
        <f>IF(OR(Копия_20206[[#This Row],[Volume (in 1000 kg)]]&gt;$T$7,Копия_20206[[#This Row],[Volume (in 1000 kg)]]&lt;$T$6),"outlier","not outlier")</f>
        <v>not outlier</v>
      </c>
      <c r="M877" s="4" t="str">
        <f>IF(OR(Копия_20206[[#This Row],[Number of stores]]&gt;$U$7,Копия_20206[[#This Row],[Number of stores]]&lt;$U$6),"outlier","not outlier")</f>
        <v>outlier</v>
      </c>
    </row>
    <row r="878" spans="1:13" x14ac:dyDescent="0.25">
      <c r="A878">
        <v>2021</v>
      </c>
      <c r="B878">
        <v>6</v>
      </c>
      <c r="C878" s="1" t="s">
        <v>29</v>
      </c>
      <c r="D878" s="1" t="s">
        <v>26</v>
      </c>
      <c r="E878" s="1" t="s">
        <v>11</v>
      </c>
      <c r="F878" s="4">
        <v>17.653400000000001</v>
      </c>
      <c r="G878" s="4">
        <v>960.91475300000002</v>
      </c>
      <c r="H878" s="4">
        <v>6.1787000000000001</v>
      </c>
      <c r="I878">
        <v>5559</v>
      </c>
      <c r="J878" s="4" t="str">
        <f>IF(OR(Копия_20206[[#This Row],[Units (in 1000)]]&gt;$R$7,Копия_20206[[#This Row],[Units (in 1000)]]&lt;$R$6),"outlier","not outlier")</f>
        <v>not outlier</v>
      </c>
      <c r="K878" s="4" t="str">
        <f>IF(OR(Копия_20206[[#This Row],[Value (in 1000 rub)]]&gt;$S$7,Копия_20206[[#This Row],[Value (in 1000 rub)]]&lt;$S$6),"outlier","not outlier")</f>
        <v>not outlier</v>
      </c>
      <c r="L878" s="4" t="str">
        <f>IF(OR(Копия_20206[[#This Row],[Volume (in 1000 kg)]]&gt;$T$7,Копия_20206[[#This Row],[Volume (in 1000 kg)]]&lt;$T$6),"outlier","not outlier")</f>
        <v>not outlier</v>
      </c>
      <c r="M878" s="4" t="str">
        <f>IF(OR(Копия_20206[[#This Row],[Number of stores]]&gt;$U$7,Копия_20206[[#This Row],[Number of stores]]&lt;$U$6),"outlier","not outlier")</f>
        <v>outlier</v>
      </c>
    </row>
    <row r="879" spans="1:13" x14ac:dyDescent="0.25">
      <c r="A879">
        <v>2021</v>
      </c>
      <c r="B879">
        <v>7</v>
      </c>
      <c r="C879" s="1" t="s">
        <v>8</v>
      </c>
      <c r="D879" s="1" t="s">
        <v>26</v>
      </c>
      <c r="E879" s="1" t="s">
        <v>11</v>
      </c>
      <c r="F879" s="4">
        <v>1.1016999999999999</v>
      </c>
      <c r="G879" s="4">
        <v>60.192714000000002</v>
      </c>
      <c r="H879" s="4">
        <v>0.3856</v>
      </c>
      <c r="I879">
        <v>103</v>
      </c>
      <c r="J879" s="4" t="str">
        <f>IF(OR(Копия_20206[[#This Row],[Units (in 1000)]]&gt;$R$7,Копия_20206[[#This Row],[Units (in 1000)]]&lt;$R$6),"outlier","not outlier")</f>
        <v>not outlier</v>
      </c>
      <c r="K879" s="4" t="str">
        <f>IF(OR(Копия_20206[[#This Row],[Value (in 1000 rub)]]&gt;$S$7,Копия_20206[[#This Row],[Value (in 1000 rub)]]&lt;$S$6),"outlier","not outlier")</f>
        <v>not outlier</v>
      </c>
      <c r="L879" s="4" t="str">
        <f>IF(OR(Копия_20206[[#This Row],[Volume (in 1000 kg)]]&gt;$T$7,Копия_20206[[#This Row],[Volume (in 1000 kg)]]&lt;$T$6),"outlier","not outlier")</f>
        <v>not outlier</v>
      </c>
      <c r="M879" s="4" t="str">
        <f>IF(OR(Копия_20206[[#This Row],[Number of stores]]&gt;$U$7,Копия_20206[[#This Row],[Number of stores]]&lt;$U$6),"outlier","not outlier")</f>
        <v>not outlier</v>
      </c>
    </row>
    <row r="880" spans="1:13" x14ac:dyDescent="0.25">
      <c r="A880">
        <v>2021</v>
      </c>
      <c r="B880">
        <v>7</v>
      </c>
      <c r="C880" s="1" t="s">
        <v>25</v>
      </c>
      <c r="D880" s="1" t="s">
        <v>26</v>
      </c>
      <c r="E880" s="1" t="s">
        <v>11</v>
      </c>
      <c r="F880" s="4">
        <v>10.391999999999999</v>
      </c>
      <c r="G880" s="4">
        <v>539.01800000000003</v>
      </c>
      <c r="H880" s="4">
        <v>3.6372</v>
      </c>
      <c r="I880">
        <v>3268</v>
      </c>
      <c r="J880" s="4" t="str">
        <f>IF(OR(Копия_20206[[#This Row],[Units (in 1000)]]&gt;$R$7,Копия_20206[[#This Row],[Units (in 1000)]]&lt;$R$6),"outlier","not outlier")</f>
        <v>not outlier</v>
      </c>
      <c r="K880" s="4" t="str">
        <f>IF(OR(Копия_20206[[#This Row],[Value (in 1000 rub)]]&gt;$S$7,Копия_20206[[#This Row],[Value (in 1000 rub)]]&lt;$S$6),"outlier","not outlier")</f>
        <v>not outlier</v>
      </c>
      <c r="L880" s="4" t="str">
        <f>IF(OR(Копия_20206[[#This Row],[Volume (in 1000 kg)]]&gt;$T$7,Копия_20206[[#This Row],[Volume (in 1000 kg)]]&lt;$T$6),"outlier","not outlier")</f>
        <v>not outlier</v>
      </c>
      <c r="M880" s="4" t="str">
        <f>IF(OR(Копия_20206[[#This Row],[Number of stores]]&gt;$U$7,Копия_20206[[#This Row],[Number of stores]]&lt;$U$6),"outlier","not outlier")</f>
        <v>outlier</v>
      </c>
    </row>
    <row r="881" spans="1:13" x14ac:dyDescent="0.25">
      <c r="A881">
        <v>2021</v>
      </c>
      <c r="B881">
        <v>7</v>
      </c>
      <c r="C881" s="1" t="s">
        <v>29</v>
      </c>
      <c r="D881" s="1" t="s">
        <v>26</v>
      </c>
      <c r="E881" s="1" t="s">
        <v>11</v>
      </c>
      <c r="F881" s="4">
        <v>19.049499999999998</v>
      </c>
      <c r="G881" s="4">
        <v>959.11653200000001</v>
      </c>
      <c r="H881" s="4">
        <v>6.6673</v>
      </c>
      <c r="I881">
        <v>5302</v>
      </c>
      <c r="J881" s="4" t="str">
        <f>IF(OR(Копия_20206[[#This Row],[Units (in 1000)]]&gt;$R$7,Копия_20206[[#This Row],[Units (in 1000)]]&lt;$R$6),"outlier","not outlier")</f>
        <v>not outlier</v>
      </c>
      <c r="K881" s="4" t="str">
        <f>IF(OR(Копия_20206[[#This Row],[Value (in 1000 rub)]]&gt;$S$7,Копия_20206[[#This Row],[Value (in 1000 rub)]]&lt;$S$6),"outlier","not outlier")</f>
        <v>not outlier</v>
      </c>
      <c r="L881" s="4" t="str">
        <f>IF(OR(Копия_20206[[#This Row],[Volume (in 1000 kg)]]&gt;$T$7,Копия_20206[[#This Row],[Volume (in 1000 kg)]]&lt;$T$6),"outlier","not outlier")</f>
        <v>not outlier</v>
      </c>
      <c r="M881" s="4" t="str">
        <f>IF(OR(Копия_20206[[#This Row],[Number of stores]]&gt;$U$7,Копия_20206[[#This Row],[Number of stores]]&lt;$U$6),"outlier","not outlier")</f>
        <v>outlier</v>
      </c>
    </row>
    <row r="882" spans="1:13" x14ac:dyDescent="0.25">
      <c r="A882">
        <v>2021</v>
      </c>
      <c r="B882">
        <v>8</v>
      </c>
      <c r="C882" s="1" t="s">
        <v>25</v>
      </c>
      <c r="D882" s="1" t="s">
        <v>26</v>
      </c>
      <c r="E882" s="1" t="s">
        <v>11</v>
      </c>
      <c r="F882" s="4">
        <v>7.9817</v>
      </c>
      <c r="G882" s="4">
        <v>399.15529700000002</v>
      </c>
      <c r="H882" s="4">
        <v>2.7936000000000001</v>
      </c>
      <c r="I882">
        <v>2704</v>
      </c>
      <c r="J882" s="4" t="str">
        <f>IF(OR(Копия_20206[[#This Row],[Units (in 1000)]]&gt;$R$7,Копия_20206[[#This Row],[Units (in 1000)]]&lt;$R$6),"outlier","not outlier")</f>
        <v>not outlier</v>
      </c>
      <c r="K882" s="4" t="str">
        <f>IF(OR(Копия_20206[[#This Row],[Value (in 1000 rub)]]&gt;$S$7,Копия_20206[[#This Row],[Value (in 1000 rub)]]&lt;$S$6),"outlier","not outlier")</f>
        <v>not outlier</v>
      </c>
      <c r="L882" s="4" t="str">
        <f>IF(OR(Копия_20206[[#This Row],[Volume (in 1000 kg)]]&gt;$T$7,Копия_20206[[#This Row],[Volume (in 1000 kg)]]&lt;$T$6),"outlier","not outlier")</f>
        <v>not outlier</v>
      </c>
      <c r="M882" s="4" t="str">
        <f>IF(OR(Копия_20206[[#This Row],[Number of stores]]&gt;$U$7,Копия_20206[[#This Row],[Number of stores]]&lt;$U$6),"outlier","not outlier")</f>
        <v>outlier</v>
      </c>
    </row>
    <row r="883" spans="1:13" x14ac:dyDescent="0.25">
      <c r="A883">
        <v>2021</v>
      </c>
      <c r="B883">
        <v>8</v>
      </c>
      <c r="C883" s="1" t="s">
        <v>29</v>
      </c>
      <c r="D883" s="1" t="s">
        <v>26</v>
      </c>
      <c r="E883" s="1" t="s">
        <v>11</v>
      </c>
      <c r="F883" s="4">
        <v>11.230499999999999</v>
      </c>
      <c r="G883" s="4">
        <v>549.42526699999996</v>
      </c>
      <c r="H883" s="4">
        <v>3.9306000000000001</v>
      </c>
      <c r="I883">
        <v>4277</v>
      </c>
      <c r="J883" s="4" t="str">
        <f>IF(OR(Копия_20206[[#This Row],[Units (in 1000)]]&gt;$R$7,Копия_20206[[#This Row],[Units (in 1000)]]&lt;$R$6),"outlier","not outlier")</f>
        <v>not outlier</v>
      </c>
      <c r="K883" s="4" t="str">
        <f>IF(OR(Копия_20206[[#This Row],[Value (in 1000 rub)]]&gt;$S$7,Копия_20206[[#This Row],[Value (in 1000 rub)]]&lt;$S$6),"outlier","not outlier")</f>
        <v>not outlier</v>
      </c>
      <c r="L883" s="4" t="str">
        <f>IF(OR(Копия_20206[[#This Row],[Volume (in 1000 kg)]]&gt;$T$7,Копия_20206[[#This Row],[Volume (in 1000 kg)]]&lt;$T$6),"outlier","not outlier")</f>
        <v>not outlier</v>
      </c>
      <c r="M883" s="4" t="str">
        <f>IF(OR(Копия_20206[[#This Row],[Number of stores]]&gt;$U$7,Копия_20206[[#This Row],[Number of stores]]&lt;$U$6),"outlier","not outlier")</f>
        <v>outlier</v>
      </c>
    </row>
    <row r="884" spans="1:13" x14ac:dyDescent="0.25">
      <c r="A884">
        <v>2021</v>
      </c>
      <c r="B884">
        <v>9</v>
      </c>
      <c r="C884" s="1" t="s">
        <v>25</v>
      </c>
      <c r="D884" s="1" t="s">
        <v>26</v>
      </c>
      <c r="E884" s="1" t="s">
        <v>11</v>
      </c>
      <c r="F884" s="4">
        <v>3.1998000000000002</v>
      </c>
      <c r="G884" s="4">
        <v>224.59787800000001</v>
      </c>
      <c r="H884" s="4">
        <v>1.1198999999999999</v>
      </c>
      <c r="I884">
        <v>1723</v>
      </c>
      <c r="J884" s="4" t="str">
        <f>IF(OR(Копия_20206[[#This Row],[Units (in 1000)]]&gt;$R$7,Копия_20206[[#This Row],[Units (in 1000)]]&lt;$R$6),"outlier","not outlier")</f>
        <v>not outlier</v>
      </c>
      <c r="K884" s="4" t="str">
        <f>IF(OR(Копия_20206[[#This Row],[Value (in 1000 rub)]]&gt;$S$7,Копия_20206[[#This Row],[Value (in 1000 rub)]]&lt;$S$6),"outlier","not outlier")</f>
        <v>not outlier</v>
      </c>
      <c r="L884" s="4" t="str">
        <f>IF(OR(Копия_20206[[#This Row],[Volume (in 1000 kg)]]&gt;$T$7,Копия_20206[[#This Row],[Volume (in 1000 kg)]]&lt;$T$6),"outlier","not outlier")</f>
        <v>not outlier</v>
      </c>
      <c r="M884" s="4" t="str">
        <f>IF(OR(Копия_20206[[#This Row],[Number of stores]]&gt;$U$7,Копия_20206[[#This Row],[Number of stores]]&lt;$U$6),"outlier","not outlier")</f>
        <v>not outlier</v>
      </c>
    </row>
    <row r="885" spans="1:13" x14ac:dyDescent="0.25">
      <c r="A885">
        <v>2021</v>
      </c>
      <c r="B885">
        <v>9</v>
      </c>
      <c r="C885" s="1" t="s">
        <v>29</v>
      </c>
      <c r="D885" s="1" t="s">
        <v>26</v>
      </c>
      <c r="E885" s="1" t="s">
        <v>11</v>
      </c>
      <c r="F885" s="4">
        <v>4.3609</v>
      </c>
      <c r="G885" s="4">
        <v>277.61780099999999</v>
      </c>
      <c r="H885" s="4">
        <v>1.5263</v>
      </c>
      <c r="I885">
        <v>2679</v>
      </c>
      <c r="J885" s="4" t="str">
        <f>IF(OR(Копия_20206[[#This Row],[Units (in 1000)]]&gt;$R$7,Копия_20206[[#This Row],[Units (in 1000)]]&lt;$R$6),"outlier","not outlier")</f>
        <v>not outlier</v>
      </c>
      <c r="K885" s="4" t="str">
        <f>IF(OR(Копия_20206[[#This Row],[Value (in 1000 rub)]]&gt;$S$7,Копия_20206[[#This Row],[Value (in 1000 rub)]]&lt;$S$6),"outlier","not outlier")</f>
        <v>not outlier</v>
      </c>
      <c r="L885" s="4" t="str">
        <f>IF(OR(Копия_20206[[#This Row],[Volume (in 1000 kg)]]&gt;$T$7,Копия_20206[[#This Row],[Volume (in 1000 kg)]]&lt;$T$6),"outlier","not outlier")</f>
        <v>not outlier</v>
      </c>
      <c r="M885" s="4" t="str">
        <f>IF(OR(Копия_20206[[#This Row],[Number of stores]]&gt;$U$7,Копия_20206[[#This Row],[Number of stores]]&lt;$U$6),"outlier","not outlier")</f>
        <v>not outlier</v>
      </c>
    </row>
    <row r="886" spans="1:13" x14ac:dyDescent="0.25">
      <c r="A886">
        <v>2021</v>
      </c>
      <c r="B886">
        <v>10</v>
      </c>
      <c r="C886" s="1" t="s">
        <v>25</v>
      </c>
      <c r="D886" s="1" t="s">
        <v>26</v>
      </c>
      <c r="E886" s="1" t="s">
        <v>11</v>
      </c>
      <c r="F886" s="4">
        <v>1.8761000000000001</v>
      </c>
      <c r="G886" s="4">
        <v>140.60075599999999</v>
      </c>
      <c r="H886" s="4">
        <v>0.65659999999999996</v>
      </c>
      <c r="I886">
        <v>1215</v>
      </c>
      <c r="J886" s="4" t="str">
        <f>IF(OR(Копия_20206[[#This Row],[Units (in 1000)]]&gt;$R$7,Копия_20206[[#This Row],[Units (in 1000)]]&lt;$R$6),"outlier","not outlier")</f>
        <v>not outlier</v>
      </c>
      <c r="K886" s="4" t="str">
        <f>IF(OR(Копия_20206[[#This Row],[Value (in 1000 rub)]]&gt;$S$7,Копия_20206[[#This Row],[Value (in 1000 rub)]]&lt;$S$6),"outlier","not outlier")</f>
        <v>not outlier</v>
      </c>
      <c r="L886" s="4" t="str">
        <f>IF(OR(Копия_20206[[#This Row],[Volume (in 1000 kg)]]&gt;$T$7,Копия_20206[[#This Row],[Volume (in 1000 kg)]]&lt;$T$6),"outlier","not outlier")</f>
        <v>not outlier</v>
      </c>
      <c r="M886" s="4" t="str">
        <f>IF(OR(Копия_20206[[#This Row],[Number of stores]]&gt;$U$7,Копия_20206[[#This Row],[Number of stores]]&lt;$U$6),"outlier","not outlier")</f>
        <v>not outlier</v>
      </c>
    </row>
    <row r="887" spans="1:13" x14ac:dyDescent="0.25">
      <c r="A887">
        <v>2021</v>
      </c>
      <c r="B887">
        <v>10</v>
      </c>
      <c r="C887" s="1" t="s">
        <v>29</v>
      </c>
      <c r="D887" s="1" t="s">
        <v>26</v>
      </c>
      <c r="E887" s="1" t="s">
        <v>11</v>
      </c>
      <c r="F887" s="4">
        <v>2.6869000000000001</v>
      </c>
      <c r="G887" s="4">
        <v>191.25912099999999</v>
      </c>
      <c r="H887" s="4">
        <v>0.94040000000000001</v>
      </c>
      <c r="I887">
        <v>1641</v>
      </c>
      <c r="J887" s="4" t="str">
        <f>IF(OR(Копия_20206[[#This Row],[Units (in 1000)]]&gt;$R$7,Копия_20206[[#This Row],[Units (in 1000)]]&lt;$R$6),"outlier","not outlier")</f>
        <v>not outlier</v>
      </c>
      <c r="K887" s="4" t="str">
        <f>IF(OR(Копия_20206[[#This Row],[Value (in 1000 rub)]]&gt;$S$7,Копия_20206[[#This Row],[Value (in 1000 rub)]]&lt;$S$6),"outlier","not outlier")</f>
        <v>not outlier</v>
      </c>
      <c r="L887" s="4" t="str">
        <f>IF(OR(Копия_20206[[#This Row],[Volume (in 1000 kg)]]&gt;$T$7,Копия_20206[[#This Row],[Volume (in 1000 kg)]]&lt;$T$6),"outlier","not outlier")</f>
        <v>not outlier</v>
      </c>
      <c r="M887" s="4" t="str">
        <f>IF(OR(Копия_20206[[#This Row],[Number of stores]]&gt;$U$7,Копия_20206[[#This Row],[Number of stores]]&lt;$U$6),"outlier","not outlier")</f>
        <v>not outlier</v>
      </c>
    </row>
    <row r="888" spans="1:13" x14ac:dyDescent="0.25">
      <c r="A888">
        <v>2021</v>
      </c>
      <c r="B888">
        <v>11</v>
      </c>
      <c r="C888" s="1" t="s">
        <v>25</v>
      </c>
      <c r="D888" s="1" t="s">
        <v>26</v>
      </c>
      <c r="E888" s="1" t="s">
        <v>11</v>
      </c>
      <c r="F888" s="4">
        <v>1.6438999999999999</v>
      </c>
      <c r="G888" s="4">
        <v>116.172805</v>
      </c>
      <c r="H888" s="4">
        <v>0.57540000000000002</v>
      </c>
      <c r="I888">
        <v>1077</v>
      </c>
      <c r="J888" s="4" t="str">
        <f>IF(OR(Копия_20206[[#This Row],[Units (in 1000)]]&gt;$R$7,Копия_20206[[#This Row],[Units (in 1000)]]&lt;$R$6),"outlier","not outlier")</f>
        <v>not outlier</v>
      </c>
      <c r="K888" s="4" t="str">
        <f>IF(OR(Копия_20206[[#This Row],[Value (in 1000 rub)]]&gt;$S$7,Копия_20206[[#This Row],[Value (in 1000 rub)]]&lt;$S$6),"outlier","not outlier")</f>
        <v>not outlier</v>
      </c>
      <c r="L888" s="4" t="str">
        <f>IF(OR(Копия_20206[[#This Row],[Volume (in 1000 kg)]]&gt;$T$7,Копия_20206[[#This Row],[Volume (in 1000 kg)]]&lt;$T$6),"outlier","not outlier")</f>
        <v>not outlier</v>
      </c>
      <c r="M888" s="4" t="str">
        <f>IF(OR(Копия_20206[[#This Row],[Number of stores]]&gt;$U$7,Копия_20206[[#This Row],[Number of stores]]&lt;$U$6),"outlier","not outlier")</f>
        <v>not outlier</v>
      </c>
    </row>
    <row r="889" spans="1:13" x14ac:dyDescent="0.25">
      <c r="A889">
        <v>2021</v>
      </c>
      <c r="B889">
        <v>12</v>
      </c>
      <c r="C889" s="1" t="s">
        <v>25</v>
      </c>
      <c r="D889" s="1" t="s">
        <v>26</v>
      </c>
      <c r="E889" s="1" t="s">
        <v>11</v>
      </c>
      <c r="F889" s="4">
        <v>1.6841999999999999</v>
      </c>
      <c r="G889" s="4">
        <v>108.666096</v>
      </c>
      <c r="H889" s="4">
        <v>0.58950000000000002</v>
      </c>
      <c r="I889">
        <v>956</v>
      </c>
      <c r="J889" s="4" t="str">
        <f>IF(OR(Копия_20206[[#This Row],[Units (in 1000)]]&gt;$R$7,Копия_20206[[#This Row],[Units (in 1000)]]&lt;$R$6),"outlier","not outlier")</f>
        <v>not outlier</v>
      </c>
      <c r="K889" s="4" t="str">
        <f>IF(OR(Копия_20206[[#This Row],[Value (in 1000 rub)]]&gt;$S$7,Копия_20206[[#This Row],[Value (in 1000 rub)]]&lt;$S$6),"outlier","not outlier")</f>
        <v>not outlier</v>
      </c>
      <c r="L889" s="4" t="str">
        <f>IF(OR(Копия_20206[[#This Row],[Volume (in 1000 kg)]]&gt;$T$7,Копия_20206[[#This Row],[Volume (in 1000 kg)]]&lt;$T$6),"outlier","not outlier")</f>
        <v>not outlier</v>
      </c>
      <c r="M889" s="4" t="str">
        <f>IF(OR(Копия_20206[[#This Row],[Number of stores]]&gt;$U$7,Копия_20206[[#This Row],[Number of stores]]&lt;$U$6),"outlier","not outlier")</f>
        <v>not outlier</v>
      </c>
    </row>
    <row r="890" spans="1:13" x14ac:dyDescent="0.25">
      <c r="A890">
        <v>2021</v>
      </c>
      <c r="B890">
        <v>1</v>
      </c>
      <c r="C890" s="1" t="s">
        <v>8</v>
      </c>
      <c r="D890" s="1" t="s">
        <v>9</v>
      </c>
      <c r="E890" s="1" t="s">
        <v>10</v>
      </c>
      <c r="F890" s="4">
        <v>12.7583</v>
      </c>
      <c r="G890" s="4">
        <v>817.78912800000001</v>
      </c>
      <c r="H890" s="4">
        <v>2.6791999999999998</v>
      </c>
      <c r="I890">
        <v>545</v>
      </c>
      <c r="J890" s="4" t="str">
        <f>IF(OR(Копия_20206[[#This Row],[Units (in 1000)]]&gt;$R$7,Копия_20206[[#This Row],[Units (in 1000)]]&lt;$R$6),"outlier","not outlier")</f>
        <v>not outlier</v>
      </c>
      <c r="K890" s="4" t="str">
        <f>IF(OR(Копия_20206[[#This Row],[Value (in 1000 rub)]]&gt;$S$7,Копия_20206[[#This Row],[Value (in 1000 rub)]]&lt;$S$6),"outlier","not outlier")</f>
        <v>not outlier</v>
      </c>
      <c r="L890" s="4" t="str">
        <f>IF(OR(Копия_20206[[#This Row],[Volume (in 1000 kg)]]&gt;$T$7,Копия_20206[[#This Row],[Volume (in 1000 kg)]]&lt;$T$6),"outlier","not outlier")</f>
        <v>not outlier</v>
      </c>
      <c r="M890" s="4" t="str">
        <f>IF(OR(Копия_20206[[#This Row],[Number of stores]]&gt;$U$7,Копия_20206[[#This Row],[Number of stores]]&lt;$U$6),"outlier","not outlier")</f>
        <v>not outlier</v>
      </c>
    </row>
    <row r="891" spans="1:13" x14ac:dyDescent="0.25">
      <c r="A891">
        <v>2021</v>
      </c>
      <c r="B891">
        <v>1</v>
      </c>
      <c r="C891" s="1" t="s">
        <v>8</v>
      </c>
      <c r="D891" s="1" t="s">
        <v>9</v>
      </c>
      <c r="E891" s="1" t="s">
        <v>11</v>
      </c>
      <c r="F891" s="4">
        <v>61.603400000000001</v>
      </c>
      <c r="G891" s="4">
        <v>5598.9758140000004</v>
      </c>
      <c r="H891" s="4">
        <v>21.561199999999999</v>
      </c>
      <c r="I891">
        <v>798</v>
      </c>
      <c r="J891" s="4" t="str">
        <f>IF(OR(Копия_20206[[#This Row],[Units (in 1000)]]&gt;$R$7,Копия_20206[[#This Row],[Units (in 1000)]]&lt;$R$6),"outlier","not outlier")</f>
        <v>outlier</v>
      </c>
      <c r="K891" s="4" t="str">
        <f>IF(OR(Копия_20206[[#This Row],[Value (in 1000 rub)]]&gt;$S$7,Копия_20206[[#This Row],[Value (in 1000 rub)]]&lt;$S$6),"outlier","not outlier")</f>
        <v>outlier</v>
      </c>
      <c r="L891" s="4" t="str">
        <f>IF(OR(Копия_20206[[#This Row],[Volume (in 1000 kg)]]&gt;$T$7,Копия_20206[[#This Row],[Volume (in 1000 kg)]]&lt;$T$6),"outlier","not outlier")</f>
        <v>outlier</v>
      </c>
      <c r="M891" s="4" t="str">
        <f>IF(OR(Копия_20206[[#This Row],[Number of stores]]&gt;$U$7,Копия_20206[[#This Row],[Number of stores]]&lt;$U$6),"outlier","not outlier")</f>
        <v>not outlier</v>
      </c>
    </row>
    <row r="892" spans="1:13" x14ac:dyDescent="0.25">
      <c r="A892">
        <v>2021</v>
      </c>
      <c r="B892">
        <v>1</v>
      </c>
      <c r="C892" s="1" t="s">
        <v>8</v>
      </c>
      <c r="D892" s="1" t="s">
        <v>9</v>
      </c>
      <c r="E892" s="1" t="s">
        <v>12</v>
      </c>
      <c r="F892" s="4">
        <v>47.752400000000002</v>
      </c>
      <c r="G892" s="4">
        <v>4638.5372710000001</v>
      </c>
      <c r="H892" s="4">
        <v>23.876300000000001</v>
      </c>
      <c r="I892">
        <v>569</v>
      </c>
      <c r="J892" s="4" t="str">
        <f>IF(OR(Копия_20206[[#This Row],[Units (in 1000)]]&gt;$R$7,Копия_20206[[#This Row],[Units (in 1000)]]&lt;$R$6),"outlier","not outlier")</f>
        <v>outlier</v>
      </c>
      <c r="K892" s="4" t="str">
        <f>IF(OR(Копия_20206[[#This Row],[Value (in 1000 rub)]]&gt;$S$7,Копия_20206[[#This Row],[Value (in 1000 rub)]]&lt;$S$6),"outlier","not outlier")</f>
        <v>outlier</v>
      </c>
      <c r="L892" s="4" t="str">
        <f>IF(OR(Копия_20206[[#This Row],[Volume (in 1000 kg)]]&gt;$T$7,Копия_20206[[#This Row],[Volume (in 1000 kg)]]&lt;$T$6),"outlier","not outlier")</f>
        <v>outlier</v>
      </c>
      <c r="M892" s="4" t="str">
        <f>IF(OR(Копия_20206[[#This Row],[Number of stores]]&gt;$U$7,Копия_20206[[#This Row],[Number of stores]]&lt;$U$6),"outlier","not outlier")</f>
        <v>not outlier</v>
      </c>
    </row>
    <row r="893" spans="1:13" x14ac:dyDescent="0.25">
      <c r="A893">
        <v>2021</v>
      </c>
      <c r="B893">
        <v>1</v>
      </c>
      <c r="C893" s="1" t="s">
        <v>8</v>
      </c>
      <c r="D893" s="1" t="s">
        <v>9</v>
      </c>
      <c r="E893" s="1" t="s">
        <v>13</v>
      </c>
      <c r="F893" s="4">
        <v>1.6999999999999999E-3</v>
      </c>
      <c r="G893" s="4">
        <v>0.123992</v>
      </c>
      <c r="H893" s="4">
        <v>1.2999999999999999E-3</v>
      </c>
      <c r="I893">
        <v>1</v>
      </c>
      <c r="J893" s="4" t="str">
        <f>IF(OR(Копия_20206[[#This Row],[Units (in 1000)]]&gt;$R$7,Копия_20206[[#This Row],[Units (in 1000)]]&lt;$R$6),"outlier","not outlier")</f>
        <v>not outlier</v>
      </c>
      <c r="K893" s="4" t="str">
        <f>IF(OR(Копия_20206[[#This Row],[Value (in 1000 rub)]]&gt;$S$7,Копия_20206[[#This Row],[Value (in 1000 rub)]]&lt;$S$6),"outlier","not outlier")</f>
        <v>not outlier</v>
      </c>
      <c r="L893" s="4" t="str">
        <f>IF(OR(Копия_20206[[#This Row],[Volume (in 1000 kg)]]&gt;$T$7,Копия_20206[[#This Row],[Volume (in 1000 kg)]]&lt;$T$6),"outlier","not outlier")</f>
        <v>not outlier</v>
      </c>
      <c r="M893" s="4" t="str">
        <f>IF(OR(Копия_20206[[#This Row],[Number of stores]]&gt;$U$7,Копия_20206[[#This Row],[Number of stores]]&lt;$U$6),"outlier","not outlier")</f>
        <v>not outlier</v>
      </c>
    </row>
    <row r="894" spans="1:13" x14ac:dyDescent="0.25">
      <c r="A894">
        <v>2021</v>
      </c>
      <c r="B894">
        <v>1</v>
      </c>
      <c r="C894" s="1" t="s">
        <v>25</v>
      </c>
      <c r="D894" s="1" t="s">
        <v>9</v>
      </c>
      <c r="E894" s="1" t="s">
        <v>10</v>
      </c>
      <c r="F894" s="4">
        <v>60.735599999999998</v>
      </c>
      <c r="G894" s="4">
        <v>3633.450875</v>
      </c>
      <c r="H894" s="4">
        <v>12.7544</v>
      </c>
      <c r="I894">
        <v>8174</v>
      </c>
      <c r="J894" s="4" t="str">
        <f>IF(OR(Копия_20206[[#This Row],[Units (in 1000)]]&gt;$R$7,Копия_20206[[#This Row],[Units (in 1000)]]&lt;$R$6),"outlier","not outlier")</f>
        <v>outlier</v>
      </c>
      <c r="K894" s="4" t="str">
        <f>IF(OR(Копия_20206[[#This Row],[Value (in 1000 rub)]]&gt;$S$7,Копия_20206[[#This Row],[Value (in 1000 rub)]]&lt;$S$6),"outlier","not outlier")</f>
        <v>outlier</v>
      </c>
      <c r="L894" s="4" t="str">
        <f>IF(OR(Копия_20206[[#This Row],[Volume (in 1000 kg)]]&gt;$T$7,Копия_20206[[#This Row],[Volume (in 1000 kg)]]&lt;$T$6),"outlier","not outlier")</f>
        <v>outlier</v>
      </c>
      <c r="M894" s="4" t="str">
        <f>IF(OR(Копия_20206[[#This Row],[Number of stores]]&gt;$U$7,Копия_20206[[#This Row],[Number of stores]]&lt;$U$6),"outlier","not outlier")</f>
        <v>outlier</v>
      </c>
    </row>
    <row r="895" spans="1:13" x14ac:dyDescent="0.25">
      <c r="A895">
        <v>2021</v>
      </c>
      <c r="B895">
        <v>1</v>
      </c>
      <c r="C895" s="1" t="s">
        <v>25</v>
      </c>
      <c r="D895" s="1" t="s">
        <v>9</v>
      </c>
      <c r="E895" s="1" t="s">
        <v>11</v>
      </c>
      <c r="F895" s="4">
        <v>53.450200000000002</v>
      </c>
      <c r="G895" s="4">
        <v>5188.0307679999996</v>
      </c>
      <c r="H895" s="4">
        <v>18.7075</v>
      </c>
      <c r="I895">
        <v>8539</v>
      </c>
      <c r="J895" s="4" t="str">
        <f>IF(OR(Копия_20206[[#This Row],[Units (in 1000)]]&gt;$R$7,Копия_20206[[#This Row],[Units (in 1000)]]&lt;$R$6),"outlier","not outlier")</f>
        <v>outlier</v>
      </c>
      <c r="K895" s="4" t="str">
        <f>IF(OR(Копия_20206[[#This Row],[Value (in 1000 rub)]]&gt;$S$7,Копия_20206[[#This Row],[Value (in 1000 rub)]]&lt;$S$6),"outlier","not outlier")</f>
        <v>outlier</v>
      </c>
      <c r="L895" s="4" t="str">
        <f>IF(OR(Копия_20206[[#This Row],[Volume (in 1000 kg)]]&gt;$T$7,Копия_20206[[#This Row],[Volume (in 1000 kg)]]&lt;$T$6),"outlier","not outlier")</f>
        <v>outlier</v>
      </c>
      <c r="M895" s="4" t="str">
        <f>IF(OR(Копия_20206[[#This Row],[Number of stores]]&gt;$U$7,Копия_20206[[#This Row],[Number of stores]]&lt;$U$6),"outlier","not outlier")</f>
        <v>outlier</v>
      </c>
    </row>
    <row r="896" spans="1:13" x14ac:dyDescent="0.25">
      <c r="A896">
        <v>2021</v>
      </c>
      <c r="B896">
        <v>1</v>
      </c>
      <c r="C896" s="1" t="s">
        <v>25</v>
      </c>
      <c r="D896" s="1" t="s">
        <v>9</v>
      </c>
      <c r="E896" s="1" t="s">
        <v>12</v>
      </c>
      <c r="F896" s="4">
        <v>4.7236000000000002</v>
      </c>
      <c r="G896" s="4">
        <v>698.28802399999995</v>
      </c>
      <c r="H896" s="4">
        <v>2.3618000000000001</v>
      </c>
      <c r="I896">
        <v>791</v>
      </c>
      <c r="J896" s="4" t="str">
        <f>IF(OR(Копия_20206[[#This Row],[Units (in 1000)]]&gt;$R$7,Копия_20206[[#This Row],[Units (in 1000)]]&lt;$R$6),"outlier","not outlier")</f>
        <v>not outlier</v>
      </c>
      <c r="K896" s="4" t="str">
        <f>IF(OR(Копия_20206[[#This Row],[Value (in 1000 rub)]]&gt;$S$7,Копия_20206[[#This Row],[Value (in 1000 rub)]]&lt;$S$6),"outlier","not outlier")</f>
        <v>not outlier</v>
      </c>
      <c r="L896" s="4" t="str">
        <f>IF(OR(Копия_20206[[#This Row],[Volume (in 1000 kg)]]&gt;$T$7,Копия_20206[[#This Row],[Volume (in 1000 kg)]]&lt;$T$6),"outlier","not outlier")</f>
        <v>not outlier</v>
      </c>
      <c r="M896" s="4" t="str">
        <f>IF(OR(Копия_20206[[#This Row],[Number of stores]]&gt;$U$7,Копия_20206[[#This Row],[Number of stores]]&lt;$U$6),"outlier","not outlier")</f>
        <v>not outlier</v>
      </c>
    </row>
    <row r="897" spans="1:13" x14ac:dyDescent="0.25">
      <c r="A897">
        <v>2021</v>
      </c>
      <c r="B897">
        <v>1</v>
      </c>
      <c r="C897" s="1" t="s">
        <v>25</v>
      </c>
      <c r="D897" s="1" t="s">
        <v>9</v>
      </c>
      <c r="E897" s="1" t="s">
        <v>13</v>
      </c>
      <c r="F897" s="4">
        <v>0.27610000000000001</v>
      </c>
      <c r="G897" s="4">
        <v>44.558407000000003</v>
      </c>
      <c r="H897" s="4">
        <v>0.20710000000000001</v>
      </c>
      <c r="I897">
        <v>174</v>
      </c>
      <c r="J897" s="4" t="str">
        <f>IF(OR(Копия_20206[[#This Row],[Units (in 1000)]]&gt;$R$7,Копия_20206[[#This Row],[Units (in 1000)]]&lt;$R$6),"outlier","not outlier")</f>
        <v>not outlier</v>
      </c>
      <c r="K897" s="4" t="str">
        <f>IF(OR(Копия_20206[[#This Row],[Value (in 1000 rub)]]&gt;$S$7,Копия_20206[[#This Row],[Value (in 1000 rub)]]&lt;$S$6),"outlier","not outlier")</f>
        <v>not outlier</v>
      </c>
      <c r="L897" s="4" t="str">
        <f>IF(OR(Копия_20206[[#This Row],[Volume (in 1000 kg)]]&gt;$T$7,Копия_20206[[#This Row],[Volume (in 1000 kg)]]&lt;$T$6),"outlier","not outlier")</f>
        <v>not outlier</v>
      </c>
      <c r="M897" s="4" t="str">
        <f>IF(OR(Копия_20206[[#This Row],[Number of stores]]&gt;$U$7,Копия_20206[[#This Row],[Number of stores]]&lt;$U$6),"outlier","not outlier")</f>
        <v>not outlier</v>
      </c>
    </row>
    <row r="898" spans="1:13" x14ac:dyDescent="0.25">
      <c r="A898">
        <v>2021</v>
      </c>
      <c r="B898">
        <v>1</v>
      </c>
      <c r="C898" s="1" t="s">
        <v>29</v>
      </c>
      <c r="D898" s="1" t="s">
        <v>9</v>
      </c>
      <c r="E898" s="1" t="s">
        <v>10</v>
      </c>
      <c r="F898" s="4">
        <v>97.1922</v>
      </c>
      <c r="G898" s="4">
        <v>5815.6747169999999</v>
      </c>
      <c r="H898" s="4">
        <v>20.410399999999999</v>
      </c>
      <c r="I898">
        <v>11628</v>
      </c>
      <c r="J898" s="4" t="str">
        <f>IF(OR(Копия_20206[[#This Row],[Units (in 1000)]]&gt;$R$7,Копия_20206[[#This Row],[Units (in 1000)]]&lt;$R$6),"outlier","not outlier")</f>
        <v>outlier</v>
      </c>
      <c r="K898" s="4" t="str">
        <f>IF(OR(Копия_20206[[#This Row],[Value (in 1000 rub)]]&gt;$S$7,Копия_20206[[#This Row],[Value (in 1000 rub)]]&lt;$S$6),"outlier","not outlier")</f>
        <v>outlier</v>
      </c>
      <c r="L898" s="4" t="str">
        <f>IF(OR(Копия_20206[[#This Row],[Volume (in 1000 kg)]]&gt;$T$7,Копия_20206[[#This Row],[Volume (in 1000 kg)]]&lt;$T$6),"outlier","not outlier")</f>
        <v>outlier</v>
      </c>
      <c r="M898" s="4" t="str">
        <f>IF(OR(Копия_20206[[#This Row],[Number of stores]]&gt;$U$7,Копия_20206[[#This Row],[Number of stores]]&lt;$U$6),"outlier","not outlier")</f>
        <v>outlier</v>
      </c>
    </row>
    <row r="899" spans="1:13" x14ac:dyDescent="0.25">
      <c r="A899">
        <v>2021</v>
      </c>
      <c r="B899">
        <v>1</v>
      </c>
      <c r="C899" s="1" t="s">
        <v>29</v>
      </c>
      <c r="D899" s="1" t="s">
        <v>9</v>
      </c>
      <c r="E899" s="1" t="s">
        <v>11</v>
      </c>
      <c r="F899" s="4">
        <v>147.98070000000001</v>
      </c>
      <c r="G899" s="4">
        <v>13070.828159999999</v>
      </c>
      <c r="H899" s="4">
        <v>51.793100000000003</v>
      </c>
      <c r="I899">
        <v>15787</v>
      </c>
      <c r="J899" s="4" t="str">
        <f>IF(OR(Копия_20206[[#This Row],[Units (in 1000)]]&gt;$R$7,Копия_20206[[#This Row],[Units (in 1000)]]&lt;$R$6),"outlier","not outlier")</f>
        <v>outlier</v>
      </c>
      <c r="K899" s="4" t="str">
        <f>IF(OR(Копия_20206[[#This Row],[Value (in 1000 rub)]]&gt;$S$7,Копия_20206[[#This Row],[Value (in 1000 rub)]]&lt;$S$6),"outlier","not outlier")</f>
        <v>outlier</v>
      </c>
      <c r="L899" s="4" t="str">
        <f>IF(OR(Копия_20206[[#This Row],[Volume (in 1000 kg)]]&gt;$T$7,Копия_20206[[#This Row],[Volume (in 1000 kg)]]&lt;$T$6),"outlier","not outlier")</f>
        <v>outlier</v>
      </c>
      <c r="M899" s="4" t="str">
        <f>IF(OR(Копия_20206[[#This Row],[Number of stores]]&gt;$U$7,Копия_20206[[#This Row],[Number of stores]]&lt;$U$6),"outlier","not outlier")</f>
        <v>outlier</v>
      </c>
    </row>
    <row r="900" spans="1:13" x14ac:dyDescent="0.25">
      <c r="A900">
        <v>2021</v>
      </c>
      <c r="B900">
        <v>1</v>
      </c>
      <c r="C900" s="1" t="s">
        <v>29</v>
      </c>
      <c r="D900" s="1" t="s">
        <v>9</v>
      </c>
      <c r="E900" s="1" t="s">
        <v>12</v>
      </c>
      <c r="F900" s="4">
        <v>9.3524999999999991</v>
      </c>
      <c r="G900" s="4">
        <v>1152.899461</v>
      </c>
      <c r="H900" s="4">
        <v>4.6763000000000003</v>
      </c>
      <c r="I900">
        <v>796</v>
      </c>
      <c r="J900" s="4" t="str">
        <f>IF(OR(Копия_20206[[#This Row],[Units (in 1000)]]&gt;$R$7,Копия_20206[[#This Row],[Units (in 1000)]]&lt;$R$6),"outlier","not outlier")</f>
        <v>not outlier</v>
      </c>
      <c r="K900" s="4" t="str">
        <f>IF(OR(Копия_20206[[#This Row],[Value (in 1000 rub)]]&gt;$S$7,Копия_20206[[#This Row],[Value (in 1000 rub)]]&lt;$S$6),"outlier","not outlier")</f>
        <v>not outlier</v>
      </c>
      <c r="L900" s="4" t="str">
        <f>IF(OR(Копия_20206[[#This Row],[Volume (in 1000 kg)]]&gt;$T$7,Копия_20206[[#This Row],[Volume (in 1000 kg)]]&lt;$T$6),"outlier","not outlier")</f>
        <v>not outlier</v>
      </c>
      <c r="M900" s="4" t="str">
        <f>IF(OR(Копия_20206[[#This Row],[Number of stores]]&gt;$U$7,Копия_20206[[#This Row],[Number of stores]]&lt;$U$6),"outlier","not outlier")</f>
        <v>not outlier</v>
      </c>
    </row>
    <row r="901" spans="1:13" x14ac:dyDescent="0.25">
      <c r="A901">
        <v>2021</v>
      </c>
      <c r="B901">
        <v>1</v>
      </c>
      <c r="C901" s="1" t="s">
        <v>29</v>
      </c>
      <c r="D901" s="1" t="s">
        <v>9</v>
      </c>
      <c r="E901" s="1" t="s">
        <v>13</v>
      </c>
      <c r="F901" s="4">
        <v>6.4600000000000005E-2</v>
      </c>
      <c r="G901" s="4">
        <v>9.0905620000000003</v>
      </c>
      <c r="H901" s="4">
        <v>4.8500000000000001E-2</v>
      </c>
      <c r="I901">
        <v>34</v>
      </c>
      <c r="J901" s="4" t="str">
        <f>IF(OR(Копия_20206[[#This Row],[Units (in 1000)]]&gt;$R$7,Копия_20206[[#This Row],[Units (in 1000)]]&lt;$R$6),"outlier","not outlier")</f>
        <v>not outlier</v>
      </c>
      <c r="K901" s="4" t="str">
        <f>IF(OR(Копия_20206[[#This Row],[Value (in 1000 rub)]]&gt;$S$7,Копия_20206[[#This Row],[Value (in 1000 rub)]]&lt;$S$6),"outlier","not outlier")</f>
        <v>not outlier</v>
      </c>
      <c r="L901" s="4" t="str">
        <f>IF(OR(Копия_20206[[#This Row],[Volume (in 1000 kg)]]&gt;$T$7,Копия_20206[[#This Row],[Volume (in 1000 kg)]]&lt;$T$6),"outlier","not outlier")</f>
        <v>not outlier</v>
      </c>
      <c r="M901" s="4" t="str">
        <f>IF(OR(Копия_20206[[#This Row],[Number of stores]]&gt;$U$7,Копия_20206[[#This Row],[Number of stores]]&lt;$U$6),"outlier","not outlier")</f>
        <v>not outlier</v>
      </c>
    </row>
    <row r="902" spans="1:13" x14ac:dyDescent="0.25">
      <c r="A902">
        <v>2021</v>
      </c>
      <c r="B902">
        <v>2</v>
      </c>
      <c r="C902" s="1" t="s">
        <v>8</v>
      </c>
      <c r="D902" s="1" t="s">
        <v>9</v>
      </c>
      <c r="E902" s="1" t="s">
        <v>10</v>
      </c>
      <c r="F902" s="4">
        <v>11.0802</v>
      </c>
      <c r="G902" s="4">
        <v>740.73100199999999</v>
      </c>
      <c r="H902" s="4">
        <v>2.3268</v>
      </c>
      <c r="I902">
        <v>558</v>
      </c>
      <c r="J902" s="4" t="str">
        <f>IF(OR(Копия_20206[[#This Row],[Units (in 1000)]]&gt;$R$7,Копия_20206[[#This Row],[Units (in 1000)]]&lt;$R$6),"outlier","not outlier")</f>
        <v>not outlier</v>
      </c>
      <c r="K902" s="4" t="str">
        <f>IF(OR(Копия_20206[[#This Row],[Value (in 1000 rub)]]&gt;$S$7,Копия_20206[[#This Row],[Value (in 1000 rub)]]&lt;$S$6),"outlier","not outlier")</f>
        <v>not outlier</v>
      </c>
      <c r="L902" s="4" t="str">
        <f>IF(OR(Копия_20206[[#This Row],[Volume (in 1000 kg)]]&gt;$T$7,Копия_20206[[#This Row],[Volume (in 1000 kg)]]&lt;$T$6),"outlier","not outlier")</f>
        <v>not outlier</v>
      </c>
      <c r="M902" s="4" t="str">
        <f>IF(OR(Копия_20206[[#This Row],[Number of stores]]&gt;$U$7,Копия_20206[[#This Row],[Number of stores]]&lt;$U$6),"outlier","not outlier")</f>
        <v>not outlier</v>
      </c>
    </row>
    <row r="903" spans="1:13" x14ac:dyDescent="0.25">
      <c r="A903">
        <v>2021</v>
      </c>
      <c r="B903">
        <v>2</v>
      </c>
      <c r="C903" s="1" t="s">
        <v>8</v>
      </c>
      <c r="D903" s="1" t="s">
        <v>9</v>
      </c>
      <c r="E903" s="1" t="s">
        <v>11</v>
      </c>
      <c r="F903" s="4">
        <v>71.581800000000001</v>
      </c>
      <c r="G903" s="4">
        <v>6362.6738450000003</v>
      </c>
      <c r="H903" s="4">
        <v>25.0535</v>
      </c>
      <c r="I903">
        <v>810</v>
      </c>
      <c r="J903" s="4" t="str">
        <f>IF(OR(Копия_20206[[#This Row],[Units (in 1000)]]&gt;$R$7,Копия_20206[[#This Row],[Units (in 1000)]]&lt;$R$6),"outlier","not outlier")</f>
        <v>outlier</v>
      </c>
      <c r="K903" s="4" t="str">
        <f>IF(OR(Копия_20206[[#This Row],[Value (in 1000 rub)]]&gt;$S$7,Копия_20206[[#This Row],[Value (in 1000 rub)]]&lt;$S$6),"outlier","not outlier")</f>
        <v>outlier</v>
      </c>
      <c r="L903" s="4" t="str">
        <f>IF(OR(Копия_20206[[#This Row],[Volume (in 1000 kg)]]&gt;$T$7,Копия_20206[[#This Row],[Volume (in 1000 kg)]]&lt;$T$6),"outlier","not outlier")</f>
        <v>outlier</v>
      </c>
      <c r="M903" s="4" t="str">
        <f>IF(OR(Копия_20206[[#This Row],[Number of stores]]&gt;$U$7,Копия_20206[[#This Row],[Number of stores]]&lt;$U$6),"outlier","not outlier")</f>
        <v>not outlier</v>
      </c>
    </row>
    <row r="904" spans="1:13" x14ac:dyDescent="0.25">
      <c r="A904">
        <v>2021</v>
      </c>
      <c r="B904">
        <v>2</v>
      </c>
      <c r="C904" s="1" t="s">
        <v>8</v>
      </c>
      <c r="D904" s="1" t="s">
        <v>9</v>
      </c>
      <c r="E904" s="1" t="s">
        <v>12</v>
      </c>
      <c r="F904" s="4">
        <v>30.163699999999999</v>
      </c>
      <c r="G904" s="4">
        <v>3418.376272</v>
      </c>
      <c r="H904" s="4">
        <v>15.082000000000001</v>
      </c>
      <c r="I904">
        <v>587</v>
      </c>
      <c r="J904" s="4" t="str">
        <f>IF(OR(Копия_20206[[#This Row],[Units (in 1000)]]&gt;$R$7,Копия_20206[[#This Row],[Units (in 1000)]]&lt;$R$6),"outlier","not outlier")</f>
        <v>outlier</v>
      </c>
      <c r="K904" s="4" t="str">
        <f>IF(OR(Копия_20206[[#This Row],[Value (in 1000 rub)]]&gt;$S$7,Копия_20206[[#This Row],[Value (in 1000 rub)]]&lt;$S$6),"outlier","not outlier")</f>
        <v>outlier</v>
      </c>
      <c r="L904" s="4" t="str">
        <f>IF(OR(Копия_20206[[#This Row],[Volume (in 1000 kg)]]&gt;$T$7,Копия_20206[[#This Row],[Volume (in 1000 kg)]]&lt;$T$6),"outlier","not outlier")</f>
        <v>outlier</v>
      </c>
      <c r="M904" s="4" t="str">
        <f>IF(OR(Копия_20206[[#This Row],[Number of stores]]&gt;$U$7,Копия_20206[[#This Row],[Number of stores]]&lt;$U$6),"outlier","not outlier")</f>
        <v>not outlier</v>
      </c>
    </row>
    <row r="905" spans="1:13" x14ac:dyDescent="0.25">
      <c r="A905">
        <v>2021</v>
      </c>
      <c r="B905">
        <v>2</v>
      </c>
      <c r="C905" s="1" t="s">
        <v>25</v>
      </c>
      <c r="D905" s="1" t="s">
        <v>9</v>
      </c>
      <c r="E905" s="1" t="s">
        <v>10</v>
      </c>
      <c r="F905" s="4">
        <v>54.909199999999998</v>
      </c>
      <c r="G905" s="4">
        <v>3357.6095470000005</v>
      </c>
      <c r="H905" s="4">
        <v>11.531000000000001</v>
      </c>
      <c r="I905">
        <v>8226</v>
      </c>
      <c r="J905" s="4" t="str">
        <f>IF(OR(Копия_20206[[#This Row],[Units (in 1000)]]&gt;$R$7,Копия_20206[[#This Row],[Units (in 1000)]]&lt;$R$6),"outlier","not outlier")</f>
        <v>outlier</v>
      </c>
      <c r="K905" s="4" t="str">
        <f>IF(OR(Копия_20206[[#This Row],[Value (in 1000 rub)]]&gt;$S$7,Копия_20206[[#This Row],[Value (in 1000 rub)]]&lt;$S$6),"outlier","not outlier")</f>
        <v>outlier</v>
      </c>
      <c r="L905" s="4" t="str">
        <f>IF(OR(Копия_20206[[#This Row],[Volume (in 1000 kg)]]&gt;$T$7,Копия_20206[[#This Row],[Volume (in 1000 kg)]]&lt;$T$6),"outlier","not outlier")</f>
        <v>outlier</v>
      </c>
      <c r="M905" s="4" t="str">
        <f>IF(OR(Копия_20206[[#This Row],[Number of stores]]&gt;$U$7,Копия_20206[[#This Row],[Number of stores]]&lt;$U$6),"outlier","not outlier")</f>
        <v>outlier</v>
      </c>
    </row>
    <row r="906" spans="1:13" x14ac:dyDescent="0.25">
      <c r="A906">
        <v>2021</v>
      </c>
      <c r="B906">
        <v>2</v>
      </c>
      <c r="C906" s="1" t="s">
        <v>25</v>
      </c>
      <c r="D906" s="1" t="s">
        <v>9</v>
      </c>
      <c r="E906" s="1" t="s">
        <v>11</v>
      </c>
      <c r="F906" s="4">
        <v>39.380899999999997</v>
      </c>
      <c r="G906" s="4">
        <v>4194.076763</v>
      </c>
      <c r="H906" s="4">
        <v>13.7834</v>
      </c>
      <c r="I906">
        <v>8143</v>
      </c>
      <c r="J906" s="4" t="str">
        <f>IF(OR(Копия_20206[[#This Row],[Units (in 1000)]]&gt;$R$7,Копия_20206[[#This Row],[Units (in 1000)]]&lt;$R$6),"outlier","not outlier")</f>
        <v>outlier</v>
      </c>
      <c r="K906" s="4" t="str">
        <f>IF(OR(Копия_20206[[#This Row],[Value (in 1000 rub)]]&gt;$S$7,Копия_20206[[#This Row],[Value (in 1000 rub)]]&lt;$S$6),"outlier","not outlier")</f>
        <v>outlier</v>
      </c>
      <c r="L906" s="4" t="str">
        <f>IF(OR(Копия_20206[[#This Row],[Volume (in 1000 kg)]]&gt;$T$7,Копия_20206[[#This Row],[Volume (in 1000 kg)]]&lt;$T$6),"outlier","not outlier")</f>
        <v>outlier</v>
      </c>
      <c r="M906" s="4" t="str">
        <f>IF(OR(Копия_20206[[#This Row],[Number of stores]]&gt;$U$7,Копия_20206[[#This Row],[Number of stores]]&lt;$U$6),"outlier","not outlier")</f>
        <v>outlier</v>
      </c>
    </row>
    <row r="907" spans="1:13" x14ac:dyDescent="0.25">
      <c r="A907">
        <v>2021</v>
      </c>
      <c r="B907">
        <v>2</v>
      </c>
      <c r="C907" s="1" t="s">
        <v>25</v>
      </c>
      <c r="D907" s="1" t="s">
        <v>9</v>
      </c>
      <c r="E907" s="1" t="s">
        <v>12</v>
      </c>
      <c r="F907" s="4">
        <v>4.9295</v>
      </c>
      <c r="G907" s="4">
        <v>735.41033800000002</v>
      </c>
      <c r="H907" s="4">
        <v>2.4647000000000001</v>
      </c>
      <c r="I907">
        <v>777</v>
      </c>
      <c r="J907" s="4" t="str">
        <f>IF(OR(Копия_20206[[#This Row],[Units (in 1000)]]&gt;$R$7,Копия_20206[[#This Row],[Units (in 1000)]]&lt;$R$6),"outlier","not outlier")</f>
        <v>not outlier</v>
      </c>
      <c r="K907" s="4" t="str">
        <f>IF(OR(Копия_20206[[#This Row],[Value (in 1000 rub)]]&gt;$S$7,Копия_20206[[#This Row],[Value (in 1000 rub)]]&lt;$S$6),"outlier","not outlier")</f>
        <v>not outlier</v>
      </c>
      <c r="L907" s="4" t="str">
        <f>IF(OR(Копия_20206[[#This Row],[Volume (in 1000 kg)]]&gt;$T$7,Копия_20206[[#This Row],[Volume (in 1000 kg)]]&lt;$T$6),"outlier","not outlier")</f>
        <v>not outlier</v>
      </c>
      <c r="M907" s="4" t="str">
        <f>IF(OR(Копия_20206[[#This Row],[Number of stores]]&gt;$U$7,Копия_20206[[#This Row],[Number of stores]]&lt;$U$6),"outlier","not outlier")</f>
        <v>not outlier</v>
      </c>
    </row>
    <row r="908" spans="1:13" x14ac:dyDescent="0.25">
      <c r="A908">
        <v>2021</v>
      </c>
      <c r="B908">
        <v>2</v>
      </c>
      <c r="C908" s="1" t="s">
        <v>25</v>
      </c>
      <c r="D908" s="1" t="s">
        <v>9</v>
      </c>
      <c r="E908" s="1" t="s">
        <v>13</v>
      </c>
      <c r="F908" s="4">
        <v>0.39589999999999997</v>
      </c>
      <c r="G908" s="4">
        <v>66.646879999999996</v>
      </c>
      <c r="H908" s="4">
        <v>0.2969</v>
      </c>
      <c r="I908">
        <v>273</v>
      </c>
      <c r="J908" s="4" t="str">
        <f>IF(OR(Копия_20206[[#This Row],[Units (in 1000)]]&gt;$R$7,Копия_20206[[#This Row],[Units (in 1000)]]&lt;$R$6),"outlier","not outlier")</f>
        <v>not outlier</v>
      </c>
      <c r="K908" s="4" t="str">
        <f>IF(OR(Копия_20206[[#This Row],[Value (in 1000 rub)]]&gt;$S$7,Копия_20206[[#This Row],[Value (in 1000 rub)]]&lt;$S$6),"outlier","not outlier")</f>
        <v>not outlier</v>
      </c>
      <c r="L908" s="4" t="str">
        <f>IF(OR(Копия_20206[[#This Row],[Volume (in 1000 kg)]]&gt;$T$7,Копия_20206[[#This Row],[Volume (in 1000 kg)]]&lt;$T$6),"outlier","not outlier")</f>
        <v>not outlier</v>
      </c>
      <c r="M908" s="4" t="str">
        <f>IF(OR(Копия_20206[[#This Row],[Number of stores]]&gt;$U$7,Копия_20206[[#This Row],[Number of stores]]&lt;$U$6),"outlier","not outlier")</f>
        <v>not outlier</v>
      </c>
    </row>
    <row r="909" spans="1:13" x14ac:dyDescent="0.25">
      <c r="A909">
        <v>2021</v>
      </c>
      <c r="B909">
        <v>2</v>
      </c>
      <c r="C909" s="1" t="s">
        <v>29</v>
      </c>
      <c r="D909" s="1" t="s">
        <v>9</v>
      </c>
      <c r="E909" s="1" t="s">
        <v>10</v>
      </c>
      <c r="F909" s="4">
        <v>158.11969999999999</v>
      </c>
      <c r="G909" s="4">
        <v>8438.5270400000009</v>
      </c>
      <c r="H909" s="4">
        <v>33.205100000000002</v>
      </c>
      <c r="I909">
        <v>11647</v>
      </c>
      <c r="J909" s="4" t="str">
        <f>IF(OR(Копия_20206[[#This Row],[Units (in 1000)]]&gt;$R$7,Копия_20206[[#This Row],[Units (in 1000)]]&lt;$R$6),"outlier","not outlier")</f>
        <v>outlier</v>
      </c>
      <c r="K909" s="4" t="str">
        <f>IF(OR(Копия_20206[[#This Row],[Value (in 1000 rub)]]&gt;$S$7,Копия_20206[[#This Row],[Value (in 1000 rub)]]&lt;$S$6),"outlier","not outlier")</f>
        <v>outlier</v>
      </c>
      <c r="L909" s="4" t="str">
        <f>IF(OR(Копия_20206[[#This Row],[Volume (in 1000 kg)]]&gt;$T$7,Копия_20206[[#This Row],[Volume (in 1000 kg)]]&lt;$T$6),"outlier","not outlier")</f>
        <v>outlier</v>
      </c>
      <c r="M909" s="4" t="str">
        <f>IF(OR(Копия_20206[[#This Row],[Number of stores]]&gt;$U$7,Копия_20206[[#This Row],[Number of stores]]&lt;$U$6),"outlier","not outlier")</f>
        <v>outlier</v>
      </c>
    </row>
    <row r="910" spans="1:13" x14ac:dyDescent="0.25">
      <c r="A910">
        <v>2021</v>
      </c>
      <c r="B910">
        <v>2</v>
      </c>
      <c r="C910" s="1" t="s">
        <v>29</v>
      </c>
      <c r="D910" s="1" t="s">
        <v>9</v>
      </c>
      <c r="E910" s="1" t="s">
        <v>11</v>
      </c>
      <c r="F910" s="4">
        <v>110.5001</v>
      </c>
      <c r="G910" s="4">
        <v>10562.128693000001</v>
      </c>
      <c r="H910" s="4">
        <v>38.6751</v>
      </c>
      <c r="I910">
        <v>15152</v>
      </c>
      <c r="J910" s="4" t="str">
        <f>IF(OR(Копия_20206[[#This Row],[Units (in 1000)]]&gt;$R$7,Копия_20206[[#This Row],[Units (in 1000)]]&lt;$R$6),"outlier","not outlier")</f>
        <v>outlier</v>
      </c>
      <c r="K910" s="4" t="str">
        <f>IF(OR(Копия_20206[[#This Row],[Value (in 1000 rub)]]&gt;$S$7,Копия_20206[[#This Row],[Value (in 1000 rub)]]&lt;$S$6),"outlier","not outlier")</f>
        <v>outlier</v>
      </c>
      <c r="L910" s="4" t="str">
        <f>IF(OR(Копия_20206[[#This Row],[Volume (in 1000 kg)]]&gt;$T$7,Копия_20206[[#This Row],[Volume (in 1000 kg)]]&lt;$T$6),"outlier","not outlier")</f>
        <v>outlier</v>
      </c>
      <c r="M910" s="4" t="str">
        <f>IF(OR(Копия_20206[[#This Row],[Number of stores]]&gt;$U$7,Копия_20206[[#This Row],[Number of stores]]&lt;$U$6),"outlier","not outlier")</f>
        <v>outlier</v>
      </c>
    </row>
    <row r="911" spans="1:13" x14ac:dyDescent="0.25">
      <c r="A911">
        <v>2021</v>
      </c>
      <c r="B911">
        <v>2</v>
      </c>
      <c r="C911" s="1" t="s">
        <v>29</v>
      </c>
      <c r="D911" s="1" t="s">
        <v>9</v>
      </c>
      <c r="E911" s="1" t="s">
        <v>12</v>
      </c>
      <c r="F911" s="4">
        <v>6.4025999999999996</v>
      </c>
      <c r="G911" s="4">
        <v>912.74120700000003</v>
      </c>
      <c r="H911" s="4">
        <v>3.2012999999999998</v>
      </c>
      <c r="I911">
        <v>780</v>
      </c>
      <c r="J911" s="4" t="str">
        <f>IF(OR(Копия_20206[[#This Row],[Units (in 1000)]]&gt;$R$7,Копия_20206[[#This Row],[Units (in 1000)]]&lt;$R$6),"outlier","not outlier")</f>
        <v>not outlier</v>
      </c>
      <c r="K911" s="4" t="str">
        <f>IF(OR(Копия_20206[[#This Row],[Value (in 1000 rub)]]&gt;$S$7,Копия_20206[[#This Row],[Value (in 1000 rub)]]&lt;$S$6),"outlier","not outlier")</f>
        <v>not outlier</v>
      </c>
      <c r="L911" s="4" t="str">
        <f>IF(OR(Копия_20206[[#This Row],[Volume (in 1000 kg)]]&gt;$T$7,Копия_20206[[#This Row],[Volume (in 1000 kg)]]&lt;$T$6),"outlier","not outlier")</f>
        <v>not outlier</v>
      </c>
      <c r="M911" s="4" t="str">
        <f>IF(OR(Копия_20206[[#This Row],[Number of stores]]&gt;$U$7,Копия_20206[[#This Row],[Number of stores]]&lt;$U$6),"outlier","not outlier")</f>
        <v>not outlier</v>
      </c>
    </row>
    <row r="912" spans="1:13" x14ac:dyDescent="0.25">
      <c r="A912">
        <v>2021</v>
      </c>
      <c r="B912">
        <v>2</v>
      </c>
      <c r="C912" s="1" t="s">
        <v>29</v>
      </c>
      <c r="D912" s="1" t="s">
        <v>9</v>
      </c>
      <c r="E912" s="1" t="s">
        <v>13</v>
      </c>
      <c r="F912" s="4">
        <v>4.0800000000000003E-2</v>
      </c>
      <c r="G912" s="4">
        <v>5.5094370000000001</v>
      </c>
      <c r="H912" s="4">
        <v>3.0599999999999999E-2</v>
      </c>
      <c r="I912">
        <v>30</v>
      </c>
      <c r="J912" s="4" t="str">
        <f>IF(OR(Копия_20206[[#This Row],[Units (in 1000)]]&gt;$R$7,Копия_20206[[#This Row],[Units (in 1000)]]&lt;$R$6),"outlier","not outlier")</f>
        <v>not outlier</v>
      </c>
      <c r="K912" s="4" t="str">
        <f>IF(OR(Копия_20206[[#This Row],[Value (in 1000 rub)]]&gt;$S$7,Копия_20206[[#This Row],[Value (in 1000 rub)]]&lt;$S$6),"outlier","not outlier")</f>
        <v>not outlier</v>
      </c>
      <c r="L912" s="4" t="str">
        <f>IF(OR(Копия_20206[[#This Row],[Volume (in 1000 kg)]]&gt;$T$7,Копия_20206[[#This Row],[Volume (in 1000 kg)]]&lt;$T$6),"outlier","not outlier")</f>
        <v>not outlier</v>
      </c>
      <c r="M912" s="4" t="str">
        <f>IF(OR(Копия_20206[[#This Row],[Number of stores]]&gt;$U$7,Копия_20206[[#This Row],[Number of stores]]&lt;$U$6),"outlier","not outlier")</f>
        <v>not outlier</v>
      </c>
    </row>
    <row r="913" spans="1:13" x14ac:dyDescent="0.25">
      <c r="A913">
        <v>2021</v>
      </c>
      <c r="B913">
        <v>3</v>
      </c>
      <c r="C913" s="1" t="s">
        <v>8</v>
      </c>
      <c r="D913" s="1" t="s">
        <v>9</v>
      </c>
      <c r="E913" s="1" t="s">
        <v>10</v>
      </c>
      <c r="F913" s="4">
        <v>12.728400000000001</v>
      </c>
      <c r="G913" s="4">
        <v>883.86949000000004</v>
      </c>
      <c r="H913" s="4">
        <v>2.673</v>
      </c>
      <c r="I913">
        <v>565</v>
      </c>
      <c r="J913" s="4" t="str">
        <f>IF(OR(Копия_20206[[#This Row],[Units (in 1000)]]&gt;$R$7,Копия_20206[[#This Row],[Units (in 1000)]]&lt;$R$6),"outlier","not outlier")</f>
        <v>not outlier</v>
      </c>
      <c r="K913" s="4" t="str">
        <f>IF(OR(Копия_20206[[#This Row],[Value (in 1000 rub)]]&gt;$S$7,Копия_20206[[#This Row],[Value (in 1000 rub)]]&lt;$S$6),"outlier","not outlier")</f>
        <v>not outlier</v>
      </c>
      <c r="L913" s="4" t="str">
        <f>IF(OR(Копия_20206[[#This Row],[Volume (in 1000 kg)]]&gt;$T$7,Копия_20206[[#This Row],[Volume (in 1000 kg)]]&lt;$T$6),"outlier","not outlier")</f>
        <v>not outlier</v>
      </c>
      <c r="M913" s="4" t="str">
        <f>IF(OR(Копия_20206[[#This Row],[Number of stores]]&gt;$U$7,Копия_20206[[#This Row],[Number of stores]]&lt;$U$6),"outlier","not outlier")</f>
        <v>not outlier</v>
      </c>
    </row>
    <row r="914" spans="1:13" x14ac:dyDescent="0.25">
      <c r="A914">
        <v>2021</v>
      </c>
      <c r="B914">
        <v>3</v>
      </c>
      <c r="C914" s="1" t="s">
        <v>8</v>
      </c>
      <c r="D914" s="1" t="s">
        <v>9</v>
      </c>
      <c r="E914" s="1" t="s">
        <v>11</v>
      </c>
      <c r="F914" s="4">
        <v>71.555300000000003</v>
      </c>
      <c r="G914" s="4">
        <v>6611.2779010000004</v>
      </c>
      <c r="H914" s="4">
        <v>25.0443</v>
      </c>
      <c r="I914">
        <v>794</v>
      </c>
      <c r="J914" s="4" t="str">
        <f>IF(OR(Копия_20206[[#This Row],[Units (in 1000)]]&gt;$R$7,Копия_20206[[#This Row],[Units (in 1000)]]&lt;$R$6),"outlier","not outlier")</f>
        <v>outlier</v>
      </c>
      <c r="K914" s="4" t="str">
        <f>IF(OR(Копия_20206[[#This Row],[Value (in 1000 rub)]]&gt;$S$7,Копия_20206[[#This Row],[Value (in 1000 rub)]]&lt;$S$6),"outlier","not outlier")</f>
        <v>outlier</v>
      </c>
      <c r="L914" s="4" t="str">
        <f>IF(OR(Копия_20206[[#This Row],[Volume (in 1000 kg)]]&gt;$T$7,Копия_20206[[#This Row],[Volume (in 1000 kg)]]&lt;$T$6),"outlier","not outlier")</f>
        <v>outlier</v>
      </c>
      <c r="M914" s="4" t="str">
        <f>IF(OR(Копия_20206[[#This Row],[Number of stores]]&gt;$U$7,Копия_20206[[#This Row],[Number of stores]]&lt;$U$6),"outlier","not outlier")</f>
        <v>not outlier</v>
      </c>
    </row>
    <row r="915" spans="1:13" x14ac:dyDescent="0.25">
      <c r="A915">
        <v>2021</v>
      </c>
      <c r="B915">
        <v>3</v>
      </c>
      <c r="C915" s="1" t="s">
        <v>8</v>
      </c>
      <c r="D915" s="1" t="s">
        <v>9</v>
      </c>
      <c r="E915" s="1" t="s">
        <v>12</v>
      </c>
      <c r="F915" s="4">
        <v>36.161000000000001</v>
      </c>
      <c r="G915" s="4">
        <v>4368.4028399999997</v>
      </c>
      <c r="H915" s="4">
        <v>18.080300000000001</v>
      </c>
      <c r="I915">
        <v>580</v>
      </c>
      <c r="J915" s="4" t="str">
        <f>IF(OR(Копия_20206[[#This Row],[Units (in 1000)]]&gt;$R$7,Копия_20206[[#This Row],[Units (in 1000)]]&lt;$R$6),"outlier","not outlier")</f>
        <v>outlier</v>
      </c>
      <c r="K915" s="4" t="str">
        <f>IF(OR(Копия_20206[[#This Row],[Value (in 1000 rub)]]&gt;$S$7,Копия_20206[[#This Row],[Value (in 1000 rub)]]&lt;$S$6),"outlier","not outlier")</f>
        <v>outlier</v>
      </c>
      <c r="L915" s="4" t="str">
        <f>IF(OR(Копия_20206[[#This Row],[Volume (in 1000 kg)]]&gt;$T$7,Копия_20206[[#This Row],[Volume (in 1000 kg)]]&lt;$T$6),"outlier","not outlier")</f>
        <v>outlier</v>
      </c>
      <c r="M915" s="4" t="str">
        <f>IF(OR(Копия_20206[[#This Row],[Number of stores]]&gt;$U$7,Копия_20206[[#This Row],[Number of stores]]&lt;$U$6),"outlier","not outlier")</f>
        <v>not outlier</v>
      </c>
    </row>
    <row r="916" spans="1:13" x14ac:dyDescent="0.25">
      <c r="A916">
        <v>2021</v>
      </c>
      <c r="B916">
        <v>3</v>
      </c>
      <c r="C916" s="1" t="s">
        <v>25</v>
      </c>
      <c r="D916" s="1" t="s">
        <v>9</v>
      </c>
      <c r="E916" s="1" t="s">
        <v>10</v>
      </c>
      <c r="F916" s="4">
        <v>58.9925</v>
      </c>
      <c r="G916" s="4">
        <v>3420.0098549999998</v>
      </c>
      <c r="H916" s="4">
        <v>12.388400000000001</v>
      </c>
      <c r="I916">
        <v>7304</v>
      </c>
      <c r="J916" s="4" t="str">
        <f>IF(OR(Копия_20206[[#This Row],[Units (in 1000)]]&gt;$R$7,Копия_20206[[#This Row],[Units (in 1000)]]&lt;$R$6),"outlier","not outlier")</f>
        <v>outlier</v>
      </c>
      <c r="K916" s="4" t="str">
        <f>IF(OR(Копия_20206[[#This Row],[Value (in 1000 rub)]]&gt;$S$7,Копия_20206[[#This Row],[Value (in 1000 rub)]]&lt;$S$6),"outlier","not outlier")</f>
        <v>outlier</v>
      </c>
      <c r="L916" s="4" t="str">
        <f>IF(OR(Копия_20206[[#This Row],[Volume (in 1000 kg)]]&gt;$T$7,Копия_20206[[#This Row],[Volume (in 1000 kg)]]&lt;$T$6),"outlier","not outlier")</f>
        <v>outlier</v>
      </c>
      <c r="M916" s="4" t="str">
        <f>IF(OR(Копия_20206[[#This Row],[Number of stores]]&gt;$U$7,Копия_20206[[#This Row],[Number of stores]]&lt;$U$6),"outlier","not outlier")</f>
        <v>outlier</v>
      </c>
    </row>
    <row r="917" spans="1:13" x14ac:dyDescent="0.25">
      <c r="A917">
        <v>2021</v>
      </c>
      <c r="B917">
        <v>3</v>
      </c>
      <c r="C917" s="1" t="s">
        <v>25</v>
      </c>
      <c r="D917" s="1" t="s">
        <v>9</v>
      </c>
      <c r="E917" s="1" t="s">
        <v>11</v>
      </c>
      <c r="F917" s="4">
        <v>55.116700000000002</v>
      </c>
      <c r="G917" s="4">
        <v>5533.0459680000004</v>
      </c>
      <c r="H917" s="4">
        <v>19.290900000000001</v>
      </c>
      <c r="I917">
        <v>8857</v>
      </c>
      <c r="J917" s="4" t="str">
        <f>IF(OR(Копия_20206[[#This Row],[Units (in 1000)]]&gt;$R$7,Копия_20206[[#This Row],[Units (in 1000)]]&lt;$R$6),"outlier","not outlier")</f>
        <v>outlier</v>
      </c>
      <c r="K917" s="4" t="str">
        <f>IF(OR(Копия_20206[[#This Row],[Value (in 1000 rub)]]&gt;$S$7,Копия_20206[[#This Row],[Value (in 1000 rub)]]&lt;$S$6),"outlier","not outlier")</f>
        <v>outlier</v>
      </c>
      <c r="L917" s="4" t="str">
        <f>IF(OR(Копия_20206[[#This Row],[Volume (in 1000 kg)]]&gt;$T$7,Копия_20206[[#This Row],[Volume (in 1000 kg)]]&lt;$T$6),"outlier","not outlier")</f>
        <v>outlier</v>
      </c>
      <c r="M917" s="4" t="str">
        <f>IF(OR(Копия_20206[[#This Row],[Number of stores]]&gt;$U$7,Копия_20206[[#This Row],[Number of stores]]&lt;$U$6),"outlier","not outlier")</f>
        <v>outlier</v>
      </c>
    </row>
    <row r="918" spans="1:13" x14ac:dyDescent="0.25">
      <c r="A918">
        <v>2021</v>
      </c>
      <c r="B918">
        <v>3</v>
      </c>
      <c r="C918" s="1" t="s">
        <v>25</v>
      </c>
      <c r="D918" s="1" t="s">
        <v>9</v>
      </c>
      <c r="E918" s="1" t="s">
        <v>12</v>
      </c>
      <c r="F918" s="4">
        <v>5.0972999999999997</v>
      </c>
      <c r="G918" s="4">
        <v>751.42935299999999</v>
      </c>
      <c r="H918" s="4">
        <v>2.5487000000000002</v>
      </c>
      <c r="I918">
        <v>568</v>
      </c>
      <c r="J918" s="4" t="str">
        <f>IF(OR(Копия_20206[[#This Row],[Units (in 1000)]]&gt;$R$7,Копия_20206[[#This Row],[Units (in 1000)]]&lt;$R$6),"outlier","not outlier")</f>
        <v>not outlier</v>
      </c>
      <c r="K918" s="4" t="str">
        <f>IF(OR(Копия_20206[[#This Row],[Value (in 1000 rub)]]&gt;$S$7,Копия_20206[[#This Row],[Value (in 1000 rub)]]&lt;$S$6),"outlier","not outlier")</f>
        <v>not outlier</v>
      </c>
      <c r="L918" s="4" t="str">
        <f>IF(OR(Копия_20206[[#This Row],[Volume (in 1000 kg)]]&gt;$T$7,Копия_20206[[#This Row],[Volume (in 1000 kg)]]&lt;$T$6),"outlier","not outlier")</f>
        <v>not outlier</v>
      </c>
      <c r="M918" s="4" t="str">
        <f>IF(OR(Копия_20206[[#This Row],[Number of stores]]&gt;$U$7,Копия_20206[[#This Row],[Number of stores]]&lt;$U$6),"outlier","not outlier")</f>
        <v>not outlier</v>
      </c>
    </row>
    <row r="919" spans="1:13" x14ac:dyDescent="0.25">
      <c r="A919">
        <v>2021</v>
      </c>
      <c r="B919">
        <v>3</v>
      </c>
      <c r="C919" s="1" t="s">
        <v>25</v>
      </c>
      <c r="D919" s="1" t="s">
        <v>9</v>
      </c>
      <c r="E919" s="1" t="s">
        <v>13</v>
      </c>
      <c r="F919" s="4">
        <v>0.3926</v>
      </c>
      <c r="G919" s="4">
        <v>67.253647000000001</v>
      </c>
      <c r="H919" s="4">
        <v>0.29449999999999998</v>
      </c>
      <c r="I919">
        <v>203</v>
      </c>
      <c r="J919" s="4" t="str">
        <f>IF(OR(Копия_20206[[#This Row],[Units (in 1000)]]&gt;$R$7,Копия_20206[[#This Row],[Units (in 1000)]]&lt;$R$6),"outlier","not outlier")</f>
        <v>not outlier</v>
      </c>
      <c r="K919" s="4" t="str">
        <f>IF(OR(Копия_20206[[#This Row],[Value (in 1000 rub)]]&gt;$S$7,Копия_20206[[#This Row],[Value (in 1000 rub)]]&lt;$S$6),"outlier","not outlier")</f>
        <v>not outlier</v>
      </c>
      <c r="L919" s="4" t="str">
        <f>IF(OR(Копия_20206[[#This Row],[Volume (in 1000 kg)]]&gt;$T$7,Копия_20206[[#This Row],[Volume (in 1000 kg)]]&lt;$T$6),"outlier","not outlier")</f>
        <v>not outlier</v>
      </c>
      <c r="M919" s="4" t="str">
        <f>IF(OR(Копия_20206[[#This Row],[Number of stores]]&gt;$U$7,Копия_20206[[#This Row],[Number of stores]]&lt;$U$6),"outlier","not outlier")</f>
        <v>not outlier</v>
      </c>
    </row>
    <row r="920" spans="1:13" x14ac:dyDescent="0.25">
      <c r="A920">
        <v>2021</v>
      </c>
      <c r="B920">
        <v>3</v>
      </c>
      <c r="C920" s="1" t="s">
        <v>29</v>
      </c>
      <c r="D920" s="1" t="s">
        <v>9</v>
      </c>
      <c r="E920" s="1" t="s">
        <v>10</v>
      </c>
      <c r="F920" s="4">
        <v>160.75989999999999</v>
      </c>
      <c r="G920" s="4">
        <v>8375.8744380000007</v>
      </c>
      <c r="H920" s="4">
        <v>33.759500000000003</v>
      </c>
      <c r="I920">
        <v>11876</v>
      </c>
      <c r="J920" s="4" t="str">
        <f>IF(OR(Копия_20206[[#This Row],[Units (in 1000)]]&gt;$R$7,Копия_20206[[#This Row],[Units (in 1000)]]&lt;$R$6),"outlier","not outlier")</f>
        <v>outlier</v>
      </c>
      <c r="K920" s="4" t="str">
        <f>IF(OR(Копия_20206[[#This Row],[Value (in 1000 rub)]]&gt;$S$7,Копия_20206[[#This Row],[Value (in 1000 rub)]]&lt;$S$6),"outlier","not outlier")</f>
        <v>outlier</v>
      </c>
      <c r="L920" s="4" t="str">
        <f>IF(OR(Копия_20206[[#This Row],[Volume (in 1000 kg)]]&gt;$T$7,Копия_20206[[#This Row],[Volume (in 1000 kg)]]&lt;$T$6),"outlier","not outlier")</f>
        <v>outlier</v>
      </c>
      <c r="M920" s="4" t="str">
        <f>IF(OR(Копия_20206[[#This Row],[Number of stores]]&gt;$U$7,Копия_20206[[#This Row],[Number of stores]]&lt;$U$6),"outlier","not outlier")</f>
        <v>outlier</v>
      </c>
    </row>
    <row r="921" spans="1:13" x14ac:dyDescent="0.25">
      <c r="A921">
        <v>2021</v>
      </c>
      <c r="B921">
        <v>3</v>
      </c>
      <c r="C921" s="1" t="s">
        <v>29</v>
      </c>
      <c r="D921" s="1" t="s">
        <v>9</v>
      </c>
      <c r="E921" s="1" t="s">
        <v>11</v>
      </c>
      <c r="F921" s="4">
        <v>128.3013</v>
      </c>
      <c r="G921" s="4">
        <v>12122.702853000001</v>
      </c>
      <c r="H921" s="4">
        <v>44.9054</v>
      </c>
      <c r="I921">
        <v>15756</v>
      </c>
      <c r="J921" s="4" t="str">
        <f>IF(OR(Копия_20206[[#This Row],[Units (in 1000)]]&gt;$R$7,Копия_20206[[#This Row],[Units (in 1000)]]&lt;$R$6),"outlier","not outlier")</f>
        <v>outlier</v>
      </c>
      <c r="K921" s="4" t="str">
        <f>IF(OR(Копия_20206[[#This Row],[Value (in 1000 rub)]]&gt;$S$7,Копия_20206[[#This Row],[Value (in 1000 rub)]]&lt;$S$6),"outlier","not outlier")</f>
        <v>outlier</v>
      </c>
      <c r="L921" s="4" t="str">
        <f>IF(OR(Копия_20206[[#This Row],[Volume (in 1000 kg)]]&gt;$T$7,Копия_20206[[#This Row],[Volume (in 1000 kg)]]&lt;$T$6),"outlier","not outlier")</f>
        <v>outlier</v>
      </c>
      <c r="M921" s="4" t="str">
        <f>IF(OR(Копия_20206[[#This Row],[Number of stores]]&gt;$U$7,Копия_20206[[#This Row],[Number of stores]]&lt;$U$6),"outlier","not outlier")</f>
        <v>outlier</v>
      </c>
    </row>
    <row r="922" spans="1:13" x14ac:dyDescent="0.25">
      <c r="A922">
        <v>2021</v>
      </c>
      <c r="B922">
        <v>3</v>
      </c>
      <c r="C922" s="1" t="s">
        <v>29</v>
      </c>
      <c r="D922" s="1" t="s">
        <v>9</v>
      </c>
      <c r="E922" s="1" t="s">
        <v>12</v>
      </c>
      <c r="F922" s="4">
        <v>10.489800000000001</v>
      </c>
      <c r="G922" s="4">
        <v>1390.0422490000001</v>
      </c>
      <c r="H922" s="4">
        <v>5.2449000000000003</v>
      </c>
      <c r="I922">
        <v>762</v>
      </c>
      <c r="J922" s="4" t="str">
        <f>IF(OR(Копия_20206[[#This Row],[Units (in 1000)]]&gt;$R$7,Копия_20206[[#This Row],[Units (in 1000)]]&lt;$R$6),"outlier","not outlier")</f>
        <v>not outlier</v>
      </c>
      <c r="K922" s="4" t="str">
        <f>IF(OR(Копия_20206[[#This Row],[Value (in 1000 rub)]]&gt;$S$7,Копия_20206[[#This Row],[Value (in 1000 rub)]]&lt;$S$6),"outlier","not outlier")</f>
        <v>not outlier</v>
      </c>
      <c r="L922" s="4" t="str">
        <f>IF(OR(Копия_20206[[#This Row],[Volume (in 1000 kg)]]&gt;$T$7,Копия_20206[[#This Row],[Volume (in 1000 kg)]]&lt;$T$6),"outlier","not outlier")</f>
        <v>not outlier</v>
      </c>
      <c r="M922" s="4" t="str">
        <f>IF(OR(Копия_20206[[#This Row],[Number of stores]]&gt;$U$7,Копия_20206[[#This Row],[Number of stores]]&lt;$U$6),"outlier","not outlier")</f>
        <v>not outlier</v>
      </c>
    </row>
    <row r="923" spans="1:13" x14ac:dyDescent="0.25">
      <c r="A923">
        <v>2021</v>
      </c>
      <c r="B923">
        <v>3</v>
      </c>
      <c r="C923" s="1" t="s">
        <v>29</v>
      </c>
      <c r="D923" s="1" t="s">
        <v>9</v>
      </c>
      <c r="E923" s="1" t="s">
        <v>13</v>
      </c>
      <c r="F923" s="4">
        <v>8.0000000000000002E-3</v>
      </c>
      <c r="G923" s="4">
        <v>1.2848790000000001</v>
      </c>
      <c r="H923" s="4">
        <v>6.0000000000000001E-3</v>
      </c>
      <c r="I923">
        <v>3</v>
      </c>
      <c r="J923" s="4" t="str">
        <f>IF(OR(Копия_20206[[#This Row],[Units (in 1000)]]&gt;$R$7,Копия_20206[[#This Row],[Units (in 1000)]]&lt;$R$6),"outlier","not outlier")</f>
        <v>not outlier</v>
      </c>
      <c r="K923" s="4" t="str">
        <f>IF(OR(Копия_20206[[#This Row],[Value (in 1000 rub)]]&gt;$S$7,Копия_20206[[#This Row],[Value (in 1000 rub)]]&lt;$S$6),"outlier","not outlier")</f>
        <v>not outlier</v>
      </c>
      <c r="L923" s="4" t="str">
        <f>IF(OR(Копия_20206[[#This Row],[Volume (in 1000 kg)]]&gt;$T$7,Копия_20206[[#This Row],[Volume (in 1000 kg)]]&lt;$T$6),"outlier","not outlier")</f>
        <v>not outlier</v>
      </c>
      <c r="M923" s="4" t="str">
        <f>IF(OR(Копия_20206[[#This Row],[Number of stores]]&gt;$U$7,Копия_20206[[#This Row],[Number of stores]]&lt;$U$6),"outlier","not outlier")</f>
        <v>not outlier</v>
      </c>
    </row>
    <row r="924" spans="1:13" x14ac:dyDescent="0.25">
      <c r="A924">
        <v>2021</v>
      </c>
      <c r="B924">
        <v>4</v>
      </c>
      <c r="C924" s="1" t="s">
        <v>8</v>
      </c>
      <c r="D924" s="1" t="s">
        <v>9</v>
      </c>
      <c r="E924" s="1" t="s">
        <v>10</v>
      </c>
      <c r="F924" s="4">
        <v>14.3286</v>
      </c>
      <c r="G924" s="4">
        <v>961.05963199999997</v>
      </c>
      <c r="H924" s="4">
        <v>3.0089999999999999</v>
      </c>
      <c r="I924">
        <v>565</v>
      </c>
      <c r="J924" s="4" t="str">
        <f>IF(OR(Копия_20206[[#This Row],[Units (in 1000)]]&gt;$R$7,Копия_20206[[#This Row],[Units (in 1000)]]&lt;$R$6),"outlier","not outlier")</f>
        <v>not outlier</v>
      </c>
      <c r="K924" s="4" t="str">
        <f>IF(OR(Копия_20206[[#This Row],[Value (in 1000 rub)]]&gt;$S$7,Копия_20206[[#This Row],[Value (in 1000 rub)]]&lt;$S$6),"outlier","not outlier")</f>
        <v>not outlier</v>
      </c>
      <c r="L924" s="4" t="str">
        <f>IF(OR(Копия_20206[[#This Row],[Volume (in 1000 kg)]]&gt;$T$7,Копия_20206[[#This Row],[Volume (in 1000 kg)]]&lt;$T$6),"outlier","not outlier")</f>
        <v>not outlier</v>
      </c>
      <c r="M924" s="4" t="str">
        <f>IF(OR(Копия_20206[[#This Row],[Number of stores]]&gt;$U$7,Копия_20206[[#This Row],[Number of stores]]&lt;$U$6),"outlier","not outlier")</f>
        <v>not outlier</v>
      </c>
    </row>
    <row r="925" spans="1:13" x14ac:dyDescent="0.25">
      <c r="A925">
        <v>2021</v>
      </c>
      <c r="B925">
        <v>4</v>
      </c>
      <c r="C925" s="1" t="s">
        <v>8</v>
      </c>
      <c r="D925" s="1" t="s">
        <v>9</v>
      </c>
      <c r="E925" s="1" t="s">
        <v>11</v>
      </c>
      <c r="F925" s="4">
        <v>58.089399999999998</v>
      </c>
      <c r="G925" s="4">
        <v>5859.277454</v>
      </c>
      <c r="H925" s="4">
        <v>20.331199999999999</v>
      </c>
      <c r="I925">
        <v>796</v>
      </c>
      <c r="J925" s="4" t="str">
        <f>IF(OR(Копия_20206[[#This Row],[Units (in 1000)]]&gt;$R$7,Копия_20206[[#This Row],[Units (in 1000)]]&lt;$R$6),"outlier","not outlier")</f>
        <v>outlier</v>
      </c>
      <c r="K925" s="4" t="str">
        <f>IF(OR(Копия_20206[[#This Row],[Value (in 1000 rub)]]&gt;$S$7,Копия_20206[[#This Row],[Value (in 1000 rub)]]&lt;$S$6),"outlier","not outlier")</f>
        <v>outlier</v>
      </c>
      <c r="L925" s="4" t="str">
        <f>IF(OR(Копия_20206[[#This Row],[Volume (in 1000 kg)]]&gt;$T$7,Копия_20206[[#This Row],[Volume (in 1000 kg)]]&lt;$T$6),"outlier","not outlier")</f>
        <v>outlier</v>
      </c>
      <c r="M925" s="4" t="str">
        <f>IF(OR(Копия_20206[[#This Row],[Number of stores]]&gt;$U$7,Копия_20206[[#This Row],[Number of stores]]&lt;$U$6),"outlier","not outlier")</f>
        <v>not outlier</v>
      </c>
    </row>
    <row r="926" spans="1:13" x14ac:dyDescent="0.25">
      <c r="A926">
        <v>2021</v>
      </c>
      <c r="B926">
        <v>4</v>
      </c>
      <c r="C926" s="1" t="s">
        <v>8</v>
      </c>
      <c r="D926" s="1" t="s">
        <v>9</v>
      </c>
      <c r="E926" s="1" t="s">
        <v>12</v>
      </c>
      <c r="F926" s="4">
        <v>21.5185</v>
      </c>
      <c r="G926" s="4">
        <v>2930.8649580000001</v>
      </c>
      <c r="H926" s="4">
        <v>10.7593</v>
      </c>
      <c r="I926">
        <v>570</v>
      </c>
      <c r="J926" s="4" t="str">
        <f>IF(OR(Копия_20206[[#This Row],[Units (in 1000)]]&gt;$R$7,Копия_20206[[#This Row],[Units (in 1000)]]&lt;$R$6),"outlier","not outlier")</f>
        <v>not outlier</v>
      </c>
      <c r="K926" s="4" t="str">
        <f>IF(OR(Копия_20206[[#This Row],[Value (in 1000 rub)]]&gt;$S$7,Копия_20206[[#This Row],[Value (in 1000 rub)]]&lt;$S$6),"outlier","not outlier")</f>
        <v>outlier</v>
      </c>
      <c r="L926" s="4" t="str">
        <f>IF(OR(Копия_20206[[#This Row],[Volume (in 1000 kg)]]&gt;$T$7,Копия_20206[[#This Row],[Volume (in 1000 kg)]]&lt;$T$6),"outlier","not outlier")</f>
        <v>outlier</v>
      </c>
      <c r="M926" s="4" t="str">
        <f>IF(OR(Копия_20206[[#This Row],[Number of stores]]&gt;$U$7,Копия_20206[[#This Row],[Number of stores]]&lt;$U$6),"outlier","not outlier")</f>
        <v>not outlier</v>
      </c>
    </row>
    <row r="927" spans="1:13" x14ac:dyDescent="0.25">
      <c r="A927">
        <v>2021</v>
      </c>
      <c r="B927">
        <v>4</v>
      </c>
      <c r="C927" s="1" t="s">
        <v>25</v>
      </c>
      <c r="D927" s="1" t="s">
        <v>9</v>
      </c>
      <c r="E927" s="1" t="s">
        <v>10</v>
      </c>
      <c r="F927" s="4">
        <v>37.369300000000003</v>
      </c>
      <c r="G927" s="4">
        <v>2655.2929650000001</v>
      </c>
      <c r="H927" s="4">
        <v>7.8475999999999999</v>
      </c>
      <c r="I927">
        <v>6542</v>
      </c>
      <c r="J927" s="4" t="str">
        <f>IF(OR(Копия_20206[[#This Row],[Units (in 1000)]]&gt;$R$7,Копия_20206[[#This Row],[Units (in 1000)]]&lt;$R$6),"outlier","not outlier")</f>
        <v>outlier</v>
      </c>
      <c r="K927" s="4" t="str">
        <f>IF(OR(Копия_20206[[#This Row],[Value (in 1000 rub)]]&gt;$S$7,Копия_20206[[#This Row],[Value (in 1000 rub)]]&lt;$S$6),"outlier","not outlier")</f>
        <v>outlier</v>
      </c>
      <c r="L927" s="4" t="str">
        <f>IF(OR(Копия_20206[[#This Row],[Volume (in 1000 kg)]]&gt;$T$7,Копия_20206[[#This Row],[Volume (in 1000 kg)]]&lt;$T$6),"outlier","not outlier")</f>
        <v>outlier</v>
      </c>
      <c r="M927" s="4" t="str">
        <f>IF(OR(Копия_20206[[#This Row],[Number of stores]]&gt;$U$7,Копия_20206[[#This Row],[Number of stores]]&lt;$U$6),"outlier","not outlier")</f>
        <v>outlier</v>
      </c>
    </row>
    <row r="928" spans="1:13" x14ac:dyDescent="0.25">
      <c r="A928">
        <v>2021</v>
      </c>
      <c r="B928">
        <v>4</v>
      </c>
      <c r="C928" s="1" t="s">
        <v>25</v>
      </c>
      <c r="D928" s="1" t="s">
        <v>9</v>
      </c>
      <c r="E928" s="1" t="s">
        <v>11</v>
      </c>
      <c r="F928" s="4">
        <v>56.981400000000001</v>
      </c>
      <c r="G928" s="4">
        <v>5564.2522550000003</v>
      </c>
      <c r="H928" s="4">
        <v>19.9434</v>
      </c>
      <c r="I928">
        <v>9222</v>
      </c>
      <c r="J928" s="4" t="str">
        <f>IF(OR(Копия_20206[[#This Row],[Units (in 1000)]]&gt;$R$7,Копия_20206[[#This Row],[Units (in 1000)]]&lt;$R$6),"outlier","not outlier")</f>
        <v>outlier</v>
      </c>
      <c r="K928" s="4" t="str">
        <f>IF(OR(Копия_20206[[#This Row],[Value (in 1000 rub)]]&gt;$S$7,Копия_20206[[#This Row],[Value (in 1000 rub)]]&lt;$S$6),"outlier","not outlier")</f>
        <v>outlier</v>
      </c>
      <c r="L928" s="4" t="str">
        <f>IF(OR(Копия_20206[[#This Row],[Volume (in 1000 kg)]]&gt;$T$7,Копия_20206[[#This Row],[Volume (in 1000 kg)]]&lt;$T$6),"outlier","not outlier")</f>
        <v>outlier</v>
      </c>
      <c r="M928" s="4" t="str">
        <f>IF(OR(Копия_20206[[#This Row],[Number of stores]]&gt;$U$7,Копия_20206[[#This Row],[Number of stores]]&lt;$U$6),"outlier","not outlier")</f>
        <v>outlier</v>
      </c>
    </row>
    <row r="929" spans="1:13" x14ac:dyDescent="0.25">
      <c r="A929">
        <v>2021</v>
      </c>
      <c r="B929">
        <v>4</v>
      </c>
      <c r="C929" s="1" t="s">
        <v>25</v>
      </c>
      <c r="D929" s="1" t="s">
        <v>9</v>
      </c>
      <c r="E929" s="1" t="s">
        <v>12</v>
      </c>
      <c r="F929" s="4">
        <v>4.0119999999999996</v>
      </c>
      <c r="G929" s="4">
        <v>594.28795300000002</v>
      </c>
      <c r="H929" s="4">
        <v>2.0057999999999998</v>
      </c>
      <c r="I929">
        <v>625</v>
      </c>
      <c r="J929" s="4" t="str">
        <f>IF(OR(Копия_20206[[#This Row],[Units (in 1000)]]&gt;$R$7,Копия_20206[[#This Row],[Units (in 1000)]]&lt;$R$6),"outlier","not outlier")</f>
        <v>not outlier</v>
      </c>
      <c r="K929" s="4" t="str">
        <f>IF(OR(Копия_20206[[#This Row],[Value (in 1000 rub)]]&gt;$S$7,Копия_20206[[#This Row],[Value (in 1000 rub)]]&lt;$S$6),"outlier","not outlier")</f>
        <v>not outlier</v>
      </c>
      <c r="L929" s="4" t="str">
        <f>IF(OR(Копия_20206[[#This Row],[Volume (in 1000 kg)]]&gt;$T$7,Копия_20206[[#This Row],[Volume (in 1000 kg)]]&lt;$T$6),"outlier","not outlier")</f>
        <v>not outlier</v>
      </c>
      <c r="M929" s="4" t="str">
        <f>IF(OR(Копия_20206[[#This Row],[Number of stores]]&gt;$U$7,Копия_20206[[#This Row],[Number of stores]]&lt;$U$6),"outlier","not outlier")</f>
        <v>not outlier</v>
      </c>
    </row>
    <row r="930" spans="1:13" x14ac:dyDescent="0.25">
      <c r="A930">
        <v>2021</v>
      </c>
      <c r="B930">
        <v>4</v>
      </c>
      <c r="C930" s="1" t="s">
        <v>25</v>
      </c>
      <c r="D930" s="1" t="s">
        <v>9</v>
      </c>
      <c r="E930" s="1" t="s">
        <v>13</v>
      </c>
      <c r="F930" s="4">
        <v>0.38819999999999999</v>
      </c>
      <c r="G930" s="4">
        <v>65.343700999999996</v>
      </c>
      <c r="H930" s="4">
        <v>0.29120000000000001</v>
      </c>
      <c r="I930">
        <v>203</v>
      </c>
      <c r="J930" s="4" t="str">
        <f>IF(OR(Копия_20206[[#This Row],[Units (in 1000)]]&gt;$R$7,Копия_20206[[#This Row],[Units (in 1000)]]&lt;$R$6),"outlier","not outlier")</f>
        <v>not outlier</v>
      </c>
      <c r="K930" s="4" t="str">
        <f>IF(OR(Копия_20206[[#This Row],[Value (in 1000 rub)]]&gt;$S$7,Копия_20206[[#This Row],[Value (in 1000 rub)]]&lt;$S$6),"outlier","not outlier")</f>
        <v>not outlier</v>
      </c>
      <c r="L930" s="4" t="str">
        <f>IF(OR(Копия_20206[[#This Row],[Volume (in 1000 kg)]]&gt;$T$7,Копия_20206[[#This Row],[Volume (in 1000 kg)]]&lt;$T$6),"outlier","not outlier")</f>
        <v>not outlier</v>
      </c>
      <c r="M930" s="4" t="str">
        <f>IF(OR(Копия_20206[[#This Row],[Number of stores]]&gt;$U$7,Копия_20206[[#This Row],[Number of stores]]&lt;$U$6),"outlier","not outlier")</f>
        <v>not outlier</v>
      </c>
    </row>
    <row r="931" spans="1:13" x14ac:dyDescent="0.25">
      <c r="A931">
        <v>2021</v>
      </c>
      <c r="B931">
        <v>4</v>
      </c>
      <c r="C931" s="1" t="s">
        <v>29</v>
      </c>
      <c r="D931" s="1" t="s">
        <v>9</v>
      </c>
      <c r="E931" s="1" t="s">
        <v>10</v>
      </c>
      <c r="F931" s="4">
        <v>85.810699999999997</v>
      </c>
      <c r="G931" s="4">
        <v>5634.5941069999999</v>
      </c>
      <c r="H931" s="4">
        <v>18.020299999999999</v>
      </c>
      <c r="I931">
        <v>10675</v>
      </c>
      <c r="J931" s="4" t="str">
        <f>IF(OR(Копия_20206[[#This Row],[Units (in 1000)]]&gt;$R$7,Копия_20206[[#This Row],[Units (in 1000)]]&lt;$R$6),"outlier","not outlier")</f>
        <v>outlier</v>
      </c>
      <c r="K931" s="4" t="str">
        <f>IF(OR(Копия_20206[[#This Row],[Value (in 1000 rub)]]&gt;$S$7,Копия_20206[[#This Row],[Value (in 1000 rub)]]&lt;$S$6),"outlier","not outlier")</f>
        <v>outlier</v>
      </c>
      <c r="L931" s="4" t="str">
        <f>IF(OR(Копия_20206[[#This Row],[Volume (in 1000 kg)]]&gt;$T$7,Копия_20206[[#This Row],[Volume (in 1000 kg)]]&lt;$T$6),"outlier","not outlier")</f>
        <v>outlier</v>
      </c>
      <c r="M931" s="4" t="str">
        <f>IF(OR(Копия_20206[[#This Row],[Number of stores]]&gt;$U$7,Копия_20206[[#This Row],[Number of stores]]&lt;$U$6),"outlier","not outlier")</f>
        <v>outlier</v>
      </c>
    </row>
    <row r="932" spans="1:13" x14ac:dyDescent="0.25">
      <c r="A932">
        <v>2021</v>
      </c>
      <c r="B932">
        <v>4</v>
      </c>
      <c r="C932" s="1" t="s">
        <v>29</v>
      </c>
      <c r="D932" s="1" t="s">
        <v>9</v>
      </c>
      <c r="E932" s="1" t="s">
        <v>11</v>
      </c>
      <c r="F932" s="4">
        <v>143.6183</v>
      </c>
      <c r="G932" s="4">
        <v>13515.363595000001</v>
      </c>
      <c r="H932" s="4">
        <v>50.266399999999997</v>
      </c>
      <c r="I932">
        <v>15822</v>
      </c>
      <c r="J932" s="4" t="str">
        <f>IF(OR(Копия_20206[[#This Row],[Units (in 1000)]]&gt;$R$7,Копия_20206[[#This Row],[Units (in 1000)]]&lt;$R$6),"outlier","not outlier")</f>
        <v>outlier</v>
      </c>
      <c r="K932" s="4" t="str">
        <f>IF(OR(Копия_20206[[#This Row],[Value (in 1000 rub)]]&gt;$S$7,Копия_20206[[#This Row],[Value (in 1000 rub)]]&lt;$S$6),"outlier","not outlier")</f>
        <v>outlier</v>
      </c>
      <c r="L932" s="4" t="str">
        <f>IF(OR(Копия_20206[[#This Row],[Volume (in 1000 kg)]]&gt;$T$7,Копия_20206[[#This Row],[Volume (in 1000 kg)]]&lt;$T$6),"outlier","not outlier")</f>
        <v>outlier</v>
      </c>
      <c r="M932" s="4" t="str">
        <f>IF(OR(Копия_20206[[#This Row],[Number of stores]]&gt;$U$7,Копия_20206[[#This Row],[Number of stores]]&lt;$U$6),"outlier","not outlier")</f>
        <v>outlier</v>
      </c>
    </row>
    <row r="933" spans="1:13" x14ac:dyDescent="0.25">
      <c r="A933">
        <v>2021</v>
      </c>
      <c r="B933">
        <v>4</v>
      </c>
      <c r="C933" s="1" t="s">
        <v>29</v>
      </c>
      <c r="D933" s="1" t="s">
        <v>9</v>
      </c>
      <c r="E933" s="1" t="s">
        <v>12</v>
      </c>
      <c r="F933" s="4">
        <v>6.1444999999999999</v>
      </c>
      <c r="G933" s="4">
        <v>921.74749399999996</v>
      </c>
      <c r="H933" s="4">
        <v>3.0722</v>
      </c>
      <c r="I933">
        <v>644</v>
      </c>
      <c r="J933" s="4" t="str">
        <f>IF(OR(Копия_20206[[#This Row],[Units (in 1000)]]&gt;$R$7,Копия_20206[[#This Row],[Units (in 1000)]]&lt;$R$6),"outlier","not outlier")</f>
        <v>not outlier</v>
      </c>
      <c r="K933" s="4" t="str">
        <f>IF(OR(Копия_20206[[#This Row],[Value (in 1000 rub)]]&gt;$S$7,Копия_20206[[#This Row],[Value (in 1000 rub)]]&lt;$S$6),"outlier","not outlier")</f>
        <v>not outlier</v>
      </c>
      <c r="L933" s="4" t="str">
        <f>IF(OR(Копия_20206[[#This Row],[Volume (in 1000 kg)]]&gt;$T$7,Копия_20206[[#This Row],[Volume (in 1000 kg)]]&lt;$T$6),"outlier","not outlier")</f>
        <v>not outlier</v>
      </c>
      <c r="M933" s="4" t="str">
        <f>IF(OR(Копия_20206[[#This Row],[Number of stores]]&gt;$U$7,Копия_20206[[#This Row],[Number of stores]]&lt;$U$6),"outlier","not outlier")</f>
        <v>not outlier</v>
      </c>
    </row>
    <row r="934" spans="1:13" x14ac:dyDescent="0.25">
      <c r="A934">
        <v>2021</v>
      </c>
      <c r="B934">
        <v>4</v>
      </c>
      <c r="C934" s="1" t="s">
        <v>29</v>
      </c>
      <c r="D934" s="1" t="s">
        <v>9</v>
      </c>
      <c r="E934" s="1" t="s">
        <v>13</v>
      </c>
      <c r="F934" s="4">
        <v>3.7000000000000002E-3</v>
      </c>
      <c r="G934" s="4">
        <v>0.76968099999999995</v>
      </c>
      <c r="H934" s="4">
        <v>2.8E-3</v>
      </c>
      <c r="I934">
        <v>2</v>
      </c>
      <c r="J934" s="4" t="str">
        <f>IF(OR(Копия_20206[[#This Row],[Units (in 1000)]]&gt;$R$7,Копия_20206[[#This Row],[Units (in 1000)]]&lt;$R$6),"outlier","not outlier")</f>
        <v>not outlier</v>
      </c>
      <c r="K934" s="4" t="str">
        <f>IF(OR(Копия_20206[[#This Row],[Value (in 1000 rub)]]&gt;$S$7,Копия_20206[[#This Row],[Value (in 1000 rub)]]&lt;$S$6),"outlier","not outlier")</f>
        <v>not outlier</v>
      </c>
      <c r="L934" s="4" t="str">
        <f>IF(OR(Копия_20206[[#This Row],[Volume (in 1000 kg)]]&gt;$T$7,Копия_20206[[#This Row],[Volume (in 1000 kg)]]&lt;$T$6),"outlier","not outlier")</f>
        <v>not outlier</v>
      </c>
      <c r="M934" s="4" t="str">
        <f>IF(OR(Копия_20206[[#This Row],[Number of stores]]&gt;$U$7,Копия_20206[[#This Row],[Number of stores]]&lt;$U$6),"outlier","not outlier")</f>
        <v>not outlier</v>
      </c>
    </row>
    <row r="935" spans="1:13" x14ac:dyDescent="0.25">
      <c r="A935">
        <v>2021</v>
      </c>
      <c r="B935">
        <v>5</v>
      </c>
      <c r="C935" s="1" t="s">
        <v>8</v>
      </c>
      <c r="D935" s="1" t="s">
        <v>9</v>
      </c>
      <c r="E935" s="1" t="s">
        <v>10</v>
      </c>
      <c r="F935" s="4">
        <v>13.557600000000001</v>
      </c>
      <c r="G935" s="4">
        <v>911.40984700000001</v>
      </c>
      <c r="H935" s="4">
        <v>2.8471000000000002</v>
      </c>
      <c r="I935">
        <v>558</v>
      </c>
      <c r="J935" s="4" t="str">
        <f>IF(OR(Копия_20206[[#This Row],[Units (in 1000)]]&gt;$R$7,Копия_20206[[#This Row],[Units (in 1000)]]&lt;$R$6),"outlier","not outlier")</f>
        <v>not outlier</v>
      </c>
      <c r="K935" s="4" t="str">
        <f>IF(OR(Копия_20206[[#This Row],[Value (in 1000 rub)]]&gt;$S$7,Копия_20206[[#This Row],[Value (in 1000 rub)]]&lt;$S$6),"outlier","not outlier")</f>
        <v>not outlier</v>
      </c>
      <c r="L935" s="4" t="str">
        <f>IF(OR(Копия_20206[[#This Row],[Volume (in 1000 kg)]]&gt;$T$7,Копия_20206[[#This Row],[Volume (in 1000 kg)]]&lt;$T$6),"outlier","not outlier")</f>
        <v>not outlier</v>
      </c>
      <c r="M935" s="4" t="str">
        <f>IF(OR(Копия_20206[[#This Row],[Number of stores]]&gt;$U$7,Копия_20206[[#This Row],[Number of stores]]&lt;$U$6),"outlier","not outlier")</f>
        <v>not outlier</v>
      </c>
    </row>
    <row r="936" spans="1:13" x14ac:dyDescent="0.25">
      <c r="A936">
        <v>2021</v>
      </c>
      <c r="B936">
        <v>5</v>
      </c>
      <c r="C936" s="1" t="s">
        <v>8</v>
      </c>
      <c r="D936" s="1" t="s">
        <v>9</v>
      </c>
      <c r="E936" s="1" t="s">
        <v>11</v>
      </c>
      <c r="F936" s="4">
        <v>47.718600000000002</v>
      </c>
      <c r="G936" s="4">
        <v>4885.2228940000005</v>
      </c>
      <c r="H936" s="4">
        <v>16.7014</v>
      </c>
      <c r="I936">
        <v>788</v>
      </c>
      <c r="J936" s="4" t="str">
        <f>IF(OR(Копия_20206[[#This Row],[Units (in 1000)]]&gt;$R$7,Копия_20206[[#This Row],[Units (in 1000)]]&lt;$R$6),"outlier","not outlier")</f>
        <v>outlier</v>
      </c>
      <c r="K936" s="4" t="str">
        <f>IF(OR(Копия_20206[[#This Row],[Value (in 1000 rub)]]&gt;$S$7,Копия_20206[[#This Row],[Value (in 1000 rub)]]&lt;$S$6),"outlier","not outlier")</f>
        <v>outlier</v>
      </c>
      <c r="L936" s="4" t="str">
        <f>IF(OR(Копия_20206[[#This Row],[Volume (in 1000 kg)]]&gt;$T$7,Копия_20206[[#This Row],[Volume (in 1000 kg)]]&lt;$T$6),"outlier","not outlier")</f>
        <v>outlier</v>
      </c>
      <c r="M936" s="4" t="str">
        <f>IF(OR(Копия_20206[[#This Row],[Number of stores]]&gt;$U$7,Копия_20206[[#This Row],[Number of stores]]&lt;$U$6),"outlier","not outlier")</f>
        <v>not outlier</v>
      </c>
    </row>
    <row r="937" spans="1:13" x14ac:dyDescent="0.25">
      <c r="A937">
        <v>2021</v>
      </c>
      <c r="B937">
        <v>5</v>
      </c>
      <c r="C937" s="1" t="s">
        <v>8</v>
      </c>
      <c r="D937" s="1" t="s">
        <v>9</v>
      </c>
      <c r="E937" s="1" t="s">
        <v>12</v>
      </c>
      <c r="F937" s="4">
        <v>44.884999999999998</v>
      </c>
      <c r="G937" s="4">
        <v>4601.9253820000004</v>
      </c>
      <c r="H937" s="4">
        <v>22.442499999999999</v>
      </c>
      <c r="I937">
        <v>573</v>
      </c>
      <c r="J937" s="4" t="str">
        <f>IF(OR(Копия_20206[[#This Row],[Units (in 1000)]]&gt;$R$7,Копия_20206[[#This Row],[Units (in 1000)]]&lt;$R$6),"outlier","not outlier")</f>
        <v>outlier</v>
      </c>
      <c r="K937" s="4" t="str">
        <f>IF(OR(Копия_20206[[#This Row],[Value (in 1000 rub)]]&gt;$S$7,Копия_20206[[#This Row],[Value (in 1000 rub)]]&lt;$S$6),"outlier","not outlier")</f>
        <v>outlier</v>
      </c>
      <c r="L937" s="4" t="str">
        <f>IF(OR(Копия_20206[[#This Row],[Volume (in 1000 kg)]]&gt;$T$7,Копия_20206[[#This Row],[Volume (in 1000 kg)]]&lt;$T$6),"outlier","not outlier")</f>
        <v>outlier</v>
      </c>
      <c r="M937" s="4" t="str">
        <f>IF(OR(Копия_20206[[#This Row],[Number of stores]]&gt;$U$7,Копия_20206[[#This Row],[Number of stores]]&lt;$U$6),"outlier","not outlier")</f>
        <v>not outlier</v>
      </c>
    </row>
    <row r="938" spans="1:13" x14ac:dyDescent="0.25">
      <c r="A938">
        <v>2021</v>
      </c>
      <c r="B938">
        <v>5</v>
      </c>
      <c r="C938" s="1" t="s">
        <v>25</v>
      </c>
      <c r="D938" s="1" t="s">
        <v>9</v>
      </c>
      <c r="E938" s="1" t="s">
        <v>10</v>
      </c>
      <c r="F938" s="4">
        <v>50.335700000000003</v>
      </c>
      <c r="G938" s="4">
        <v>3091.481526</v>
      </c>
      <c r="H938" s="4">
        <v>10.570499999999999</v>
      </c>
      <c r="I938">
        <v>7285</v>
      </c>
      <c r="J938" s="4" t="str">
        <f>IF(OR(Копия_20206[[#This Row],[Units (in 1000)]]&gt;$R$7,Копия_20206[[#This Row],[Units (in 1000)]]&lt;$R$6),"outlier","not outlier")</f>
        <v>outlier</v>
      </c>
      <c r="K938" s="4" t="str">
        <f>IF(OR(Копия_20206[[#This Row],[Value (in 1000 rub)]]&gt;$S$7,Копия_20206[[#This Row],[Value (in 1000 rub)]]&lt;$S$6),"outlier","not outlier")</f>
        <v>outlier</v>
      </c>
      <c r="L938" s="4" t="str">
        <f>IF(OR(Копия_20206[[#This Row],[Volume (in 1000 kg)]]&gt;$T$7,Копия_20206[[#This Row],[Volume (in 1000 kg)]]&lt;$T$6),"outlier","not outlier")</f>
        <v>outlier</v>
      </c>
      <c r="M938" s="4" t="str">
        <f>IF(OR(Копия_20206[[#This Row],[Number of stores]]&gt;$U$7,Копия_20206[[#This Row],[Number of stores]]&lt;$U$6),"outlier","not outlier")</f>
        <v>outlier</v>
      </c>
    </row>
    <row r="939" spans="1:13" x14ac:dyDescent="0.25">
      <c r="A939">
        <v>2021</v>
      </c>
      <c r="B939">
        <v>5</v>
      </c>
      <c r="C939" s="1" t="s">
        <v>25</v>
      </c>
      <c r="D939" s="1" t="s">
        <v>9</v>
      </c>
      <c r="E939" s="1" t="s">
        <v>11</v>
      </c>
      <c r="F939" s="4">
        <v>47.702100000000002</v>
      </c>
      <c r="G939" s="4">
        <v>4930.1995589999997</v>
      </c>
      <c r="H939" s="4">
        <v>16.695699999999999</v>
      </c>
      <c r="I939">
        <v>8658</v>
      </c>
      <c r="J939" s="4" t="str">
        <f>IF(OR(Копия_20206[[#This Row],[Units (in 1000)]]&gt;$R$7,Копия_20206[[#This Row],[Units (in 1000)]]&lt;$R$6),"outlier","not outlier")</f>
        <v>outlier</v>
      </c>
      <c r="K939" s="4" t="str">
        <f>IF(OR(Копия_20206[[#This Row],[Value (in 1000 rub)]]&gt;$S$7,Копия_20206[[#This Row],[Value (in 1000 rub)]]&lt;$S$6),"outlier","not outlier")</f>
        <v>outlier</v>
      </c>
      <c r="L939" s="4" t="str">
        <f>IF(OR(Копия_20206[[#This Row],[Volume (in 1000 kg)]]&gt;$T$7,Копия_20206[[#This Row],[Volume (in 1000 kg)]]&lt;$T$6),"outlier","not outlier")</f>
        <v>outlier</v>
      </c>
      <c r="M939" s="4" t="str">
        <f>IF(OR(Копия_20206[[#This Row],[Number of stores]]&gt;$U$7,Копия_20206[[#This Row],[Number of stores]]&lt;$U$6),"outlier","not outlier")</f>
        <v>outlier</v>
      </c>
    </row>
    <row r="940" spans="1:13" x14ac:dyDescent="0.25">
      <c r="A940">
        <v>2021</v>
      </c>
      <c r="B940">
        <v>5</v>
      </c>
      <c r="C940" s="1" t="s">
        <v>25</v>
      </c>
      <c r="D940" s="1" t="s">
        <v>9</v>
      </c>
      <c r="E940" s="1" t="s">
        <v>12</v>
      </c>
      <c r="F940" s="4">
        <v>4.3446999999999996</v>
      </c>
      <c r="G940" s="4">
        <v>627.31473900000003</v>
      </c>
      <c r="H940" s="4">
        <v>2.1724000000000001</v>
      </c>
      <c r="I940">
        <v>566</v>
      </c>
      <c r="J940" s="4" t="str">
        <f>IF(OR(Копия_20206[[#This Row],[Units (in 1000)]]&gt;$R$7,Копия_20206[[#This Row],[Units (in 1000)]]&lt;$R$6),"outlier","not outlier")</f>
        <v>not outlier</v>
      </c>
      <c r="K940" s="4" t="str">
        <f>IF(OR(Копия_20206[[#This Row],[Value (in 1000 rub)]]&gt;$S$7,Копия_20206[[#This Row],[Value (in 1000 rub)]]&lt;$S$6),"outlier","not outlier")</f>
        <v>not outlier</v>
      </c>
      <c r="L940" s="4" t="str">
        <f>IF(OR(Копия_20206[[#This Row],[Volume (in 1000 kg)]]&gt;$T$7,Копия_20206[[#This Row],[Volume (in 1000 kg)]]&lt;$T$6),"outlier","not outlier")</f>
        <v>not outlier</v>
      </c>
      <c r="M940" s="4" t="str">
        <f>IF(OR(Копия_20206[[#This Row],[Number of stores]]&gt;$U$7,Копия_20206[[#This Row],[Number of stores]]&lt;$U$6),"outlier","not outlier")</f>
        <v>not outlier</v>
      </c>
    </row>
    <row r="941" spans="1:13" x14ac:dyDescent="0.25">
      <c r="A941">
        <v>2021</v>
      </c>
      <c r="B941">
        <v>5</v>
      </c>
      <c r="C941" s="1" t="s">
        <v>25</v>
      </c>
      <c r="D941" s="1" t="s">
        <v>9</v>
      </c>
      <c r="E941" s="1" t="s">
        <v>13</v>
      </c>
      <c r="F941" s="4">
        <v>0.38340000000000002</v>
      </c>
      <c r="G941" s="4">
        <v>61.923169999999999</v>
      </c>
      <c r="H941" s="4">
        <v>0.28760000000000002</v>
      </c>
      <c r="I941">
        <v>173</v>
      </c>
      <c r="J941" s="4" t="str">
        <f>IF(OR(Копия_20206[[#This Row],[Units (in 1000)]]&gt;$R$7,Копия_20206[[#This Row],[Units (in 1000)]]&lt;$R$6),"outlier","not outlier")</f>
        <v>not outlier</v>
      </c>
      <c r="K941" s="4" t="str">
        <f>IF(OR(Копия_20206[[#This Row],[Value (in 1000 rub)]]&gt;$S$7,Копия_20206[[#This Row],[Value (in 1000 rub)]]&lt;$S$6),"outlier","not outlier")</f>
        <v>not outlier</v>
      </c>
      <c r="L941" s="4" t="str">
        <f>IF(OR(Копия_20206[[#This Row],[Volume (in 1000 kg)]]&gt;$T$7,Копия_20206[[#This Row],[Volume (in 1000 kg)]]&lt;$T$6),"outlier","not outlier")</f>
        <v>not outlier</v>
      </c>
      <c r="M941" s="4" t="str">
        <f>IF(OR(Копия_20206[[#This Row],[Number of stores]]&gt;$U$7,Копия_20206[[#This Row],[Number of stores]]&lt;$U$6),"outlier","not outlier")</f>
        <v>not outlier</v>
      </c>
    </row>
    <row r="942" spans="1:13" x14ac:dyDescent="0.25">
      <c r="A942">
        <v>2021</v>
      </c>
      <c r="B942">
        <v>5</v>
      </c>
      <c r="C942" s="1" t="s">
        <v>29</v>
      </c>
      <c r="D942" s="1" t="s">
        <v>9</v>
      </c>
      <c r="E942" s="1" t="s">
        <v>10</v>
      </c>
      <c r="F942" s="4">
        <v>135.3355</v>
      </c>
      <c r="G942" s="4">
        <v>7220.074814999999</v>
      </c>
      <c r="H942" s="4">
        <v>28.420400000000001</v>
      </c>
      <c r="I942">
        <v>11852</v>
      </c>
      <c r="J942" s="4" t="str">
        <f>IF(OR(Копия_20206[[#This Row],[Units (in 1000)]]&gt;$R$7,Копия_20206[[#This Row],[Units (in 1000)]]&lt;$R$6),"outlier","not outlier")</f>
        <v>outlier</v>
      </c>
      <c r="K942" s="4" t="str">
        <f>IF(OR(Копия_20206[[#This Row],[Value (in 1000 rub)]]&gt;$S$7,Копия_20206[[#This Row],[Value (in 1000 rub)]]&lt;$S$6),"outlier","not outlier")</f>
        <v>outlier</v>
      </c>
      <c r="L942" s="4" t="str">
        <f>IF(OR(Копия_20206[[#This Row],[Volume (in 1000 kg)]]&gt;$T$7,Копия_20206[[#This Row],[Volume (in 1000 kg)]]&lt;$T$6),"outlier","not outlier")</f>
        <v>outlier</v>
      </c>
      <c r="M942" s="4" t="str">
        <f>IF(OR(Копия_20206[[#This Row],[Number of stores]]&gt;$U$7,Копия_20206[[#This Row],[Number of stores]]&lt;$U$6),"outlier","not outlier")</f>
        <v>outlier</v>
      </c>
    </row>
    <row r="943" spans="1:13" x14ac:dyDescent="0.25">
      <c r="A943">
        <v>2021</v>
      </c>
      <c r="B943">
        <v>5</v>
      </c>
      <c r="C943" s="1" t="s">
        <v>29</v>
      </c>
      <c r="D943" s="1" t="s">
        <v>9</v>
      </c>
      <c r="E943" s="1" t="s">
        <v>11</v>
      </c>
      <c r="F943" s="4">
        <v>94.342299999999994</v>
      </c>
      <c r="G943" s="4">
        <v>9661.2656210000005</v>
      </c>
      <c r="H943" s="4">
        <v>33.019599999999997</v>
      </c>
      <c r="I943">
        <v>15176</v>
      </c>
      <c r="J943" s="4" t="str">
        <f>IF(OR(Копия_20206[[#This Row],[Units (in 1000)]]&gt;$R$7,Копия_20206[[#This Row],[Units (in 1000)]]&lt;$R$6),"outlier","not outlier")</f>
        <v>outlier</v>
      </c>
      <c r="K943" s="4" t="str">
        <f>IF(OR(Копия_20206[[#This Row],[Value (in 1000 rub)]]&gt;$S$7,Копия_20206[[#This Row],[Value (in 1000 rub)]]&lt;$S$6),"outlier","not outlier")</f>
        <v>outlier</v>
      </c>
      <c r="L943" s="4" t="str">
        <f>IF(OR(Копия_20206[[#This Row],[Volume (in 1000 kg)]]&gt;$T$7,Копия_20206[[#This Row],[Volume (in 1000 kg)]]&lt;$T$6),"outlier","not outlier")</f>
        <v>outlier</v>
      </c>
      <c r="M943" s="4" t="str">
        <f>IF(OR(Копия_20206[[#This Row],[Number of stores]]&gt;$U$7,Копия_20206[[#This Row],[Number of stores]]&lt;$U$6),"outlier","not outlier")</f>
        <v>outlier</v>
      </c>
    </row>
    <row r="944" spans="1:13" x14ac:dyDescent="0.25">
      <c r="A944">
        <v>2021</v>
      </c>
      <c r="B944">
        <v>5</v>
      </c>
      <c r="C944" s="1" t="s">
        <v>29</v>
      </c>
      <c r="D944" s="1" t="s">
        <v>9</v>
      </c>
      <c r="E944" s="1" t="s">
        <v>12</v>
      </c>
      <c r="F944" s="4">
        <v>7.8155000000000001</v>
      </c>
      <c r="G944" s="4">
        <v>1041.9969940000001</v>
      </c>
      <c r="H944" s="4">
        <v>3.9077000000000002</v>
      </c>
      <c r="I944">
        <v>585</v>
      </c>
      <c r="J944" s="4" t="str">
        <f>IF(OR(Копия_20206[[#This Row],[Units (in 1000)]]&gt;$R$7,Копия_20206[[#This Row],[Units (in 1000)]]&lt;$R$6),"outlier","not outlier")</f>
        <v>not outlier</v>
      </c>
      <c r="K944" s="4" t="str">
        <f>IF(OR(Копия_20206[[#This Row],[Value (in 1000 rub)]]&gt;$S$7,Копия_20206[[#This Row],[Value (in 1000 rub)]]&lt;$S$6),"outlier","not outlier")</f>
        <v>not outlier</v>
      </c>
      <c r="L944" s="4" t="str">
        <f>IF(OR(Копия_20206[[#This Row],[Volume (in 1000 kg)]]&gt;$T$7,Копия_20206[[#This Row],[Volume (in 1000 kg)]]&lt;$T$6),"outlier","not outlier")</f>
        <v>not outlier</v>
      </c>
      <c r="M944" s="4" t="str">
        <f>IF(OR(Копия_20206[[#This Row],[Number of stores]]&gt;$U$7,Копия_20206[[#This Row],[Number of stores]]&lt;$U$6),"outlier","not outlier")</f>
        <v>not outlier</v>
      </c>
    </row>
    <row r="945" spans="1:13" x14ac:dyDescent="0.25">
      <c r="A945">
        <v>2021</v>
      </c>
      <c r="B945">
        <v>5</v>
      </c>
      <c r="C945" s="1" t="s">
        <v>29</v>
      </c>
      <c r="D945" s="1" t="s">
        <v>9</v>
      </c>
      <c r="E945" s="1" t="s">
        <v>13</v>
      </c>
      <c r="F945" s="4">
        <v>4.1999999999999997E-3</v>
      </c>
      <c r="G945" s="4">
        <v>0.86628899999999998</v>
      </c>
      <c r="H945" s="4">
        <v>3.0999999999999999E-3</v>
      </c>
      <c r="I945">
        <v>2</v>
      </c>
      <c r="J945" s="4" t="str">
        <f>IF(OR(Копия_20206[[#This Row],[Units (in 1000)]]&gt;$R$7,Копия_20206[[#This Row],[Units (in 1000)]]&lt;$R$6),"outlier","not outlier")</f>
        <v>not outlier</v>
      </c>
      <c r="K945" s="4" t="str">
        <f>IF(OR(Копия_20206[[#This Row],[Value (in 1000 rub)]]&gt;$S$7,Копия_20206[[#This Row],[Value (in 1000 rub)]]&lt;$S$6),"outlier","not outlier")</f>
        <v>not outlier</v>
      </c>
      <c r="L945" s="4" t="str">
        <f>IF(OR(Копия_20206[[#This Row],[Volume (in 1000 kg)]]&gt;$T$7,Копия_20206[[#This Row],[Volume (in 1000 kg)]]&lt;$T$6),"outlier","not outlier")</f>
        <v>not outlier</v>
      </c>
      <c r="M945" s="4" t="str">
        <f>IF(OR(Копия_20206[[#This Row],[Number of stores]]&gt;$U$7,Копия_20206[[#This Row],[Number of stores]]&lt;$U$6),"outlier","not outlier")</f>
        <v>not outlier</v>
      </c>
    </row>
    <row r="946" spans="1:13" x14ac:dyDescent="0.25">
      <c r="A946">
        <v>2021</v>
      </c>
      <c r="B946">
        <v>6</v>
      </c>
      <c r="C946" s="1" t="s">
        <v>8</v>
      </c>
      <c r="D946" s="1" t="s">
        <v>9</v>
      </c>
      <c r="E946" s="1" t="s">
        <v>10</v>
      </c>
      <c r="F946" s="4">
        <v>14.488899999999999</v>
      </c>
      <c r="G946" s="4">
        <v>916.58914700000003</v>
      </c>
      <c r="H946" s="4">
        <v>3.0427</v>
      </c>
      <c r="I946">
        <v>553</v>
      </c>
      <c r="J946" s="4" t="str">
        <f>IF(OR(Копия_20206[[#This Row],[Units (in 1000)]]&gt;$R$7,Копия_20206[[#This Row],[Units (in 1000)]]&lt;$R$6),"outlier","not outlier")</f>
        <v>not outlier</v>
      </c>
      <c r="K946" s="4" t="str">
        <f>IF(OR(Копия_20206[[#This Row],[Value (in 1000 rub)]]&gt;$S$7,Копия_20206[[#This Row],[Value (in 1000 rub)]]&lt;$S$6),"outlier","not outlier")</f>
        <v>not outlier</v>
      </c>
      <c r="L946" s="4" t="str">
        <f>IF(OR(Копия_20206[[#This Row],[Volume (in 1000 kg)]]&gt;$T$7,Копия_20206[[#This Row],[Volume (in 1000 kg)]]&lt;$T$6),"outlier","not outlier")</f>
        <v>not outlier</v>
      </c>
      <c r="M946" s="4" t="str">
        <f>IF(OR(Копия_20206[[#This Row],[Number of stores]]&gt;$U$7,Копия_20206[[#This Row],[Number of stores]]&lt;$U$6),"outlier","not outlier")</f>
        <v>not outlier</v>
      </c>
    </row>
    <row r="947" spans="1:13" x14ac:dyDescent="0.25">
      <c r="A947">
        <v>2021</v>
      </c>
      <c r="B947">
        <v>6</v>
      </c>
      <c r="C947" s="1" t="s">
        <v>8</v>
      </c>
      <c r="D947" s="1" t="s">
        <v>9</v>
      </c>
      <c r="E947" s="1" t="s">
        <v>11</v>
      </c>
      <c r="F947" s="4">
        <v>48.458500000000001</v>
      </c>
      <c r="G947" s="4">
        <v>4782.5410529999999</v>
      </c>
      <c r="H947" s="4">
        <v>16.9604</v>
      </c>
      <c r="I947">
        <v>787</v>
      </c>
      <c r="J947" s="4" t="str">
        <f>IF(OR(Копия_20206[[#This Row],[Units (in 1000)]]&gt;$R$7,Копия_20206[[#This Row],[Units (in 1000)]]&lt;$R$6),"outlier","not outlier")</f>
        <v>outlier</v>
      </c>
      <c r="K947" s="4" t="str">
        <f>IF(OR(Копия_20206[[#This Row],[Value (in 1000 rub)]]&gt;$S$7,Копия_20206[[#This Row],[Value (in 1000 rub)]]&lt;$S$6),"outlier","not outlier")</f>
        <v>outlier</v>
      </c>
      <c r="L947" s="4" t="str">
        <f>IF(OR(Копия_20206[[#This Row],[Volume (in 1000 kg)]]&gt;$T$7,Копия_20206[[#This Row],[Volume (in 1000 kg)]]&lt;$T$6),"outlier","not outlier")</f>
        <v>outlier</v>
      </c>
      <c r="M947" s="4" t="str">
        <f>IF(OR(Копия_20206[[#This Row],[Number of stores]]&gt;$U$7,Копия_20206[[#This Row],[Number of stores]]&lt;$U$6),"outlier","not outlier")</f>
        <v>not outlier</v>
      </c>
    </row>
    <row r="948" spans="1:13" x14ac:dyDescent="0.25">
      <c r="A948">
        <v>2021</v>
      </c>
      <c r="B948">
        <v>6</v>
      </c>
      <c r="C948" s="1" t="s">
        <v>8</v>
      </c>
      <c r="D948" s="1" t="s">
        <v>9</v>
      </c>
      <c r="E948" s="1" t="s">
        <v>12</v>
      </c>
      <c r="F948" s="4">
        <v>22.411200000000001</v>
      </c>
      <c r="G948" s="4">
        <v>2572.2582080000002</v>
      </c>
      <c r="H948" s="4">
        <v>11.205500000000001</v>
      </c>
      <c r="I948">
        <v>591</v>
      </c>
      <c r="J948" s="4" t="str">
        <f>IF(OR(Копия_20206[[#This Row],[Units (in 1000)]]&gt;$R$7,Копия_20206[[#This Row],[Units (in 1000)]]&lt;$R$6),"outlier","not outlier")</f>
        <v>not outlier</v>
      </c>
      <c r="K948" s="4" t="str">
        <f>IF(OR(Копия_20206[[#This Row],[Value (in 1000 rub)]]&gt;$S$7,Копия_20206[[#This Row],[Value (in 1000 rub)]]&lt;$S$6),"outlier","not outlier")</f>
        <v>outlier</v>
      </c>
      <c r="L948" s="4" t="str">
        <f>IF(OR(Копия_20206[[#This Row],[Volume (in 1000 kg)]]&gt;$T$7,Копия_20206[[#This Row],[Volume (in 1000 kg)]]&lt;$T$6),"outlier","not outlier")</f>
        <v>outlier</v>
      </c>
      <c r="M948" s="4" t="str">
        <f>IF(OR(Копия_20206[[#This Row],[Number of stores]]&gt;$U$7,Копия_20206[[#This Row],[Number of stores]]&lt;$U$6),"outlier","not outlier")</f>
        <v>not outlier</v>
      </c>
    </row>
    <row r="949" spans="1:13" x14ac:dyDescent="0.25">
      <c r="A949">
        <v>2021</v>
      </c>
      <c r="B949">
        <v>6</v>
      </c>
      <c r="C949" s="1" t="s">
        <v>25</v>
      </c>
      <c r="D949" s="1" t="s">
        <v>9</v>
      </c>
      <c r="E949" s="1" t="s">
        <v>10</v>
      </c>
      <c r="F949" s="4">
        <v>48.83</v>
      </c>
      <c r="G949" s="4">
        <v>3039.185931</v>
      </c>
      <c r="H949" s="4">
        <v>10.254300000000001</v>
      </c>
      <c r="I949">
        <v>6761</v>
      </c>
      <c r="J949" s="4" t="str">
        <f>IF(OR(Копия_20206[[#This Row],[Units (in 1000)]]&gt;$R$7,Копия_20206[[#This Row],[Units (in 1000)]]&lt;$R$6),"outlier","not outlier")</f>
        <v>outlier</v>
      </c>
      <c r="K949" s="4" t="str">
        <f>IF(OR(Копия_20206[[#This Row],[Value (in 1000 rub)]]&gt;$S$7,Копия_20206[[#This Row],[Value (in 1000 rub)]]&lt;$S$6),"outlier","not outlier")</f>
        <v>outlier</v>
      </c>
      <c r="L949" s="4" t="str">
        <f>IF(OR(Копия_20206[[#This Row],[Volume (in 1000 kg)]]&gt;$T$7,Копия_20206[[#This Row],[Volume (in 1000 kg)]]&lt;$T$6),"outlier","not outlier")</f>
        <v>outlier</v>
      </c>
      <c r="M949" s="4" t="str">
        <f>IF(OR(Копия_20206[[#This Row],[Number of stores]]&gt;$U$7,Копия_20206[[#This Row],[Number of stores]]&lt;$U$6),"outlier","not outlier")</f>
        <v>outlier</v>
      </c>
    </row>
    <row r="950" spans="1:13" x14ac:dyDescent="0.25">
      <c r="A950">
        <v>2021</v>
      </c>
      <c r="B950">
        <v>6</v>
      </c>
      <c r="C950" s="1" t="s">
        <v>25</v>
      </c>
      <c r="D950" s="1" t="s">
        <v>9</v>
      </c>
      <c r="E950" s="1" t="s">
        <v>11</v>
      </c>
      <c r="F950" s="4">
        <v>41.097799999999999</v>
      </c>
      <c r="G950" s="4">
        <v>4352.489251</v>
      </c>
      <c r="H950" s="4">
        <v>14.3842</v>
      </c>
      <c r="I950">
        <v>7647</v>
      </c>
      <c r="J950" s="4" t="str">
        <f>IF(OR(Копия_20206[[#This Row],[Units (in 1000)]]&gt;$R$7,Копия_20206[[#This Row],[Units (in 1000)]]&lt;$R$6),"outlier","not outlier")</f>
        <v>outlier</v>
      </c>
      <c r="K950" s="4" t="str">
        <f>IF(OR(Копия_20206[[#This Row],[Value (in 1000 rub)]]&gt;$S$7,Копия_20206[[#This Row],[Value (in 1000 rub)]]&lt;$S$6),"outlier","not outlier")</f>
        <v>outlier</v>
      </c>
      <c r="L950" s="4" t="str">
        <f>IF(OR(Копия_20206[[#This Row],[Volume (in 1000 kg)]]&gt;$T$7,Копия_20206[[#This Row],[Volume (in 1000 kg)]]&lt;$T$6),"outlier","not outlier")</f>
        <v>outlier</v>
      </c>
      <c r="M950" s="4" t="str">
        <f>IF(OR(Копия_20206[[#This Row],[Number of stores]]&gt;$U$7,Копия_20206[[#This Row],[Number of stores]]&lt;$U$6),"outlier","not outlier")</f>
        <v>outlier</v>
      </c>
    </row>
    <row r="951" spans="1:13" x14ac:dyDescent="0.25">
      <c r="A951">
        <v>2021</v>
      </c>
      <c r="B951">
        <v>6</v>
      </c>
      <c r="C951" s="1" t="s">
        <v>25</v>
      </c>
      <c r="D951" s="1" t="s">
        <v>9</v>
      </c>
      <c r="E951" s="1" t="s">
        <v>12</v>
      </c>
      <c r="F951" s="4">
        <v>2.3570000000000002</v>
      </c>
      <c r="G951" s="4">
        <v>331.18594200000001</v>
      </c>
      <c r="H951" s="4">
        <v>1.1785000000000001</v>
      </c>
      <c r="I951">
        <v>504</v>
      </c>
      <c r="J951" s="4" t="str">
        <f>IF(OR(Копия_20206[[#This Row],[Units (in 1000)]]&gt;$R$7,Копия_20206[[#This Row],[Units (in 1000)]]&lt;$R$6),"outlier","not outlier")</f>
        <v>not outlier</v>
      </c>
      <c r="K951" s="4" t="str">
        <f>IF(OR(Копия_20206[[#This Row],[Value (in 1000 rub)]]&gt;$S$7,Копия_20206[[#This Row],[Value (in 1000 rub)]]&lt;$S$6),"outlier","not outlier")</f>
        <v>not outlier</v>
      </c>
      <c r="L951" s="4" t="str">
        <f>IF(OR(Копия_20206[[#This Row],[Volume (in 1000 kg)]]&gt;$T$7,Копия_20206[[#This Row],[Volume (in 1000 kg)]]&lt;$T$6),"outlier","not outlier")</f>
        <v>not outlier</v>
      </c>
      <c r="M951" s="4" t="str">
        <f>IF(OR(Копия_20206[[#This Row],[Number of stores]]&gt;$U$7,Копия_20206[[#This Row],[Number of stores]]&lt;$U$6),"outlier","not outlier")</f>
        <v>not outlier</v>
      </c>
    </row>
    <row r="952" spans="1:13" x14ac:dyDescent="0.25">
      <c r="A952">
        <v>2021</v>
      </c>
      <c r="B952">
        <v>6</v>
      </c>
      <c r="C952" s="1" t="s">
        <v>25</v>
      </c>
      <c r="D952" s="1" t="s">
        <v>9</v>
      </c>
      <c r="E952" s="1" t="s">
        <v>13</v>
      </c>
      <c r="F952" s="4">
        <v>0.35020000000000001</v>
      </c>
      <c r="G952" s="4">
        <v>56.559075</v>
      </c>
      <c r="H952" s="4">
        <v>0.2626</v>
      </c>
      <c r="I952">
        <v>163</v>
      </c>
      <c r="J952" s="4" t="str">
        <f>IF(OR(Копия_20206[[#This Row],[Units (in 1000)]]&gt;$R$7,Копия_20206[[#This Row],[Units (in 1000)]]&lt;$R$6),"outlier","not outlier")</f>
        <v>not outlier</v>
      </c>
      <c r="K952" s="4" t="str">
        <f>IF(OR(Копия_20206[[#This Row],[Value (in 1000 rub)]]&gt;$S$7,Копия_20206[[#This Row],[Value (in 1000 rub)]]&lt;$S$6),"outlier","not outlier")</f>
        <v>not outlier</v>
      </c>
      <c r="L952" s="4" t="str">
        <f>IF(OR(Копия_20206[[#This Row],[Volume (in 1000 kg)]]&gt;$T$7,Копия_20206[[#This Row],[Volume (in 1000 kg)]]&lt;$T$6),"outlier","not outlier")</f>
        <v>not outlier</v>
      </c>
      <c r="M952" s="4" t="str">
        <f>IF(OR(Копия_20206[[#This Row],[Number of stores]]&gt;$U$7,Копия_20206[[#This Row],[Number of stores]]&lt;$U$6),"outlier","not outlier")</f>
        <v>not outlier</v>
      </c>
    </row>
    <row r="953" spans="1:13" x14ac:dyDescent="0.25">
      <c r="A953">
        <v>2021</v>
      </c>
      <c r="B953">
        <v>6</v>
      </c>
      <c r="C953" s="1" t="s">
        <v>29</v>
      </c>
      <c r="D953" s="1" t="s">
        <v>9</v>
      </c>
      <c r="E953" s="1" t="s">
        <v>10</v>
      </c>
      <c r="F953" s="4">
        <v>122.9401</v>
      </c>
      <c r="G953" s="4">
        <v>7248.9694079999999</v>
      </c>
      <c r="H953" s="4">
        <v>25.817399999999999</v>
      </c>
      <c r="I953">
        <v>12120</v>
      </c>
      <c r="J953" s="4" t="str">
        <f>IF(OR(Копия_20206[[#This Row],[Units (in 1000)]]&gt;$R$7,Копия_20206[[#This Row],[Units (in 1000)]]&lt;$R$6),"outlier","not outlier")</f>
        <v>outlier</v>
      </c>
      <c r="K953" s="4" t="str">
        <f>IF(OR(Копия_20206[[#This Row],[Value (in 1000 rub)]]&gt;$S$7,Копия_20206[[#This Row],[Value (in 1000 rub)]]&lt;$S$6),"outlier","not outlier")</f>
        <v>outlier</v>
      </c>
      <c r="L953" s="4" t="str">
        <f>IF(OR(Копия_20206[[#This Row],[Volume (in 1000 kg)]]&gt;$T$7,Копия_20206[[#This Row],[Volume (in 1000 kg)]]&lt;$T$6),"outlier","not outlier")</f>
        <v>outlier</v>
      </c>
      <c r="M953" s="4" t="str">
        <f>IF(OR(Копия_20206[[#This Row],[Number of stores]]&gt;$U$7,Копия_20206[[#This Row],[Number of stores]]&lt;$U$6),"outlier","not outlier")</f>
        <v>outlier</v>
      </c>
    </row>
    <row r="954" spans="1:13" x14ac:dyDescent="0.25">
      <c r="A954">
        <v>2021</v>
      </c>
      <c r="B954">
        <v>6</v>
      </c>
      <c r="C954" s="1" t="s">
        <v>29</v>
      </c>
      <c r="D954" s="1" t="s">
        <v>9</v>
      </c>
      <c r="E954" s="1" t="s">
        <v>11</v>
      </c>
      <c r="F954" s="4">
        <v>99.056399999999996</v>
      </c>
      <c r="G954" s="4">
        <v>9724.9025380000003</v>
      </c>
      <c r="H954" s="4">
        <v>34.669699999999999</v>
      </c>
      <c r="I954">
        <v>13797</v>
      </c>
      <c r="J954" s="4" t="str">
        <f>IF(OR(Копия_20206[[#This Row],[Units (in 1000)]]&gt;$R$7,Копия_20206[[#This Row],[Units (in 1000)]]&lt;$R$6),"outlier","not outlier")</f>
        <v>outlier</v>
      </c>
      <c r="K954" s="4" t="str">
        <f>IF(OR(Копия_20206[[#This Row],[Value (in 1000 rub)]]&gt;$S$7,Копия_20206[[#This Row],[Value (in 1000 rub)]]&lt;$S$6),"outlier","not outlier")</f>
        <v>outlier</v>
      </c>
      <c r="L954" s="4" t="str">
        <f>IF(OR(Копия_20206[[#This Row],[Volume (in 1000 kg)]]&gt;$T$7,Копия_20206[[#This Row],[Volume (in 1000 kg)]]&lt;$T$6),"outlier","not outlier")</f>
        <v>outlier</v>
      </c>
      <c r="M954" s="4" t="str">
        <f>IF(OR(Копия_20206[[#This Row],[Number of stores]]&gt;$U$7,Копия_20206[[#This Row],[Number of stores]]&lt;$U$6),"outlier","not outlier")</f>
        <v>outlier</v>
      </c>
    </row>
    <row r="955" spans="1:13" x14ac:dyDescent="0.25">
      <c r="A955">
        <v>2021</v>
      </c>
      <c r="B955">
        <v>6</v>
      </c>
      <c r="C955" s="1" t="s">
        <v>29</v>
      </c>
      <c r="D955" s="1" t="s">
        <v>9</v>
      </c>
      <c r="E955" s="1" t="s">
        <v>12</v>
      </c>
      <c r="F955" s="4">
        <v>5.2129000000000003</v>
      </c>
      <c r="G955" s="4">
        <v>784.02316199999996</v>
      </c>
      <c r="H955" s="4">
        <v>2.6065999999999998</v>
      </c>
      <c r="I955">
        <v>641</v>
      </c>
      <c r="J955" s="4" t="str">
        <f>IF(OR(Копия_20206[[#This Row],[Units (in 1000)]]&gt;$R$7,Копия_20206[[#This Row],[Units (in 1000)]]&lt;$R$6),"outlier","not outlier")</f>
        <v>not outlier</v>
      </c>
      <c r="K955" s="4" t="str">
        <f>IF(OR(Копия_20206[[#This Row],[Value (in 1000 rub)]]&gt;$S$7,Копия_20206[[#This Row],[Value (in 1000 rub)]]&lt;$S$6),"outlier","not outlier")</f>
        <v>not outlier</v>
      </c>
      <c r="L955" s="4" t="str">
        <f>IF(OR(Копия_20206[[#This Row],[Volume (in 1000 kg)]]&gt;$T$7,Копия_20206[[#This Row],[Volume (in 1000 kg)]]&lt;$T$6),"outlier","not outlier")</f>
        <v>not outlier</v>
      </c>
      <c r="M955" s="4" t="str">
        <f>IF(OR(Копия_20206[[#This Row],[Number of stores]]&gt;$U$7,Копия_20206[[#This Row],[Number of stores]]&lt;$U$6),"outlier","not outlier")</f>
        <v>not outlier</v>
      </c>
    </row>
    <row r="956" spans="1:13" x14ac:dyDescent="0.25">
      <c r="A956">
        <v>2021</v>
      </c>
      <c r="B956">
        <v>6</v>
      </c>
      <c r="C956" s="1" t="s">
        <v>29</v>
      </c>
      <c r="D956" s="1" t="s">
        <v>9</v>
      </c>
      <c r="E956" s="1" t="s">
        <v>13</v>
      </c>
      <c r="F956" s="4">
        <v>1.15E-2</v>
      </c>
      <c r="G956" s="4">
        <v>2.3742209999999999</v>
      </c>
      <c r="H956" s="4">
        <v>8.6E-3</v>
      </c>
      <c r="I956">
        <v>4</v>
      </c>
      <c r="J956" s="4" t="str">
        <f>IF(OR(Копия_20206[[#This Row],[Units (in 1000)]]&gt;$R$7,Копия_20206[[#This Row],[Units (in 1000)]]&lt;$R$6),"outlier","not outlier")</f>
        <v>not outlier</v>
      </c>
      <c r="K956" s="4" t="str">
        <f>IF(OR(Копия_20206[[#This Row],[Value (in 1000 rub)]]&gt;$S$7,Копия_20206[[#This Row],[Value (in 1000 rub)]]&lt;$S$6),"outlier","not outlier")</f>
        <v>not outlier</v>
      </c>
      <c r="L956" s="4" t="str">
        <f>IF(OR(Копия_20206[[#This Row],[Volume (in 1000 kg)]]&gt;$T$7,Копия_20206[[#This Row],[Volume (in 1000 kg)]]&lt;$T$6),"outlier","not outlier")</f>
        <v>not outlier</v>
      </c>
      <c r="M956" s="4" t="str">
        <f>IF(OR(Копия_20206[[#This Row],[Number of stores]]&gt;$U$7,Копия_20206[[#This Row],[Number of stores]]&lt;$U$6),"outlier","not outlier")</f>
        <v>not outlier</v>
      </c>
    </row>
    <row r="957" spans="1:13" x14ac:dyDescent="0.25">
      <c r="A957">
        <v>2021</v>
      </c>
      <c r="B957">
        <v>7</v>
      </c>
      <c r="C957" s="1" t="s">
        <v>8</v>
      </c>
      <c r="D957" s="1" t="s">
        <v>9</v>
      </c>
      <c r="E957" s="1" t="s">
        <v>10</v>
      </c>
      <c r="F957" s="4">
        <v>14.4344</v>
      </c>
      <c r="G957" s="4">
        <v>898.67238599999996</v>
      </c>
      <c r="H957" s="4">
        <v>3.0312000000000001</v>
      </c>
      <c r="I957">
        <v>553</v>
      </c>
      <c r="J957" s="4" t="str">
        <f>IF(OR(Копия_20206[[#This Row],[Units (in 1000)]]&gt;$R$7,Копия_20206[[#This Row],[Units (in 1000)]]&lt;$R$6),"outlier","not outlier")</f>
        <v>not outlier</v>
      </c>
      <c r="K957" s="4" t="str">
        <f>IF(OR(Копия_20206[[#This Row],[Value (in 1000 rub)]]&gt;$S$7,Копия_20206[[#This Row],[Value (in 1000 rub)]]&lt;$S$6),"outlier","not outlier")</f>
        <v>not outlier</v>
      </c>
      <c r="L957" s="4" t="str">
        <f>IF(OR(Копия_20206[[#This Row],[Volume (in 1000 kg)]]&gt;$T$7,Копия_20206[[#This Row],[Volume (in 1000 kg)]]&lt;$T$6),"outlier","not outlier")</f>
        <v>not outlier</v>
      </c>
      <c r="M957" s="4" t="str">
        <f>IF(OR(Копия_20206[[#This Row],[Number of stores]]&gt;$U$7,Копия_20206[[#This Row],[Number of stores]]&lt;$U$6),"outlier","not outlier")</f>
        <v>not outlier</v>
      </c>
    </row>
    <row r="958" spans="1:13" x14ac:dyDescent="0.25">
      <c r="A958">
        <v>2021</v>
      </c>
      <c r="B958">
        <v>7</v>
      </c>
      <c r="C958" s="1" t="s">
        <v>8</v>
      </c>
      <c r="D958" s="1" t="s">
        <v>9</v>
      </c>
      <c r="E958" s="1" t="s">
        <v>11</v>
      </c>
      <c r="F958" s="4">
        <v>50.368699999999997</v>
      </c>
      <c r="G958" s="4">
        <v>4814.7331130000002</v>
      </c>
      <c r="H958" s="4">
        <v>17.629100000000001</v>
      </c>
      <c r="I958">
        <v>782</v>
      </c>
      <c r="J958" s="4" t="str">
        <f>IF(OR(Копия_20206[[#This Row],[Units (in 1000)]]&gt;$R$7,Копия_20206[[#This Row],[Units (in 1000)]]&lt;$R$6),"outlier","not outlier")</f>
        <v>outlier</v>
      </c>
      <c r="K958" s="4" t="str">
        <f>IF(OR(Копия_20206[[#This Row],[Value (in 1000 rub)]]&gt;$S$7,Копия_20206[[#This Row],[Value (in 1000 rub)]]&lt;$S$6),"outlier","not outlier")</f>
        <v>outlier</v>
      </c>
      <c r="L958" s="4" t="str">
        <f>IF(OR(Копия_20206[[#This Row],[Volume (in 1000 kg)]]&gt;$T$7,Копия_20206[[#This Row],[Volume (in 1000 kg)]]&lt;$T$6),"outlier","not outlier")</f>
        <v>outlier</v>
      </c>
      <c r="M958" s="4" t="str">
        <f>IF(OR(Копия_20206[[#This Row],[Number of stores]]&gt;$U$7,Копия_20206[[#This Row],[Number of stores]]&lt;$U$6),"outlier","not outlier")</f>
        <v>not outlier</v>
      </c>
    </row>
    <row r="959" spans="1:13" x14ac:dyDescent="0.25">
      <c r="A959">
        <v>2021</v>
      </c>
      <c r="B959">
        <v>7</v>
      </c>
      <c r="C959" s="1" t="s">
        <v>8</v>
      </c>
      <c r="D959" s="1" t="s">
        <v>9</v>
      </c>
      <c r="E959" s="1" t="s">
        <v>12</v>
      </c>
      <c r="F959" s="4">
        <v>28.877600000000001</v>
      </c>
      <c r="G959" s="4">
        <v>3543.0202079999999</v>
      </c>
      <c r="H959" s="4">
        <v>14.4389</v>
      </c>
      <c r="I959">
        <v>676</v>
      </c>
      <c r="J959" s="4" t="str">
        <f>IF(OR(Копия_20206[[#This Row],[Units (in 1000)]]&gt;$R$7,Копия_20206[[#This Row],[Units (in 1000)]]&lt;$R$6),"outlier","not outlier")</f>
        <v>outlier</v>
      </c>
      <c r="K959" s="4" t="str">
        <f>IF(OR(Копия_20206[[#This Row],[Value (in 1000 rub)]]&gt;$S$7,Копия_20206[[#This Row],[Value (in 1000 rub)]]&lt;$S$6),"outlier","not outlier")</f>
        <v>outlier</v>
      </c>
      <c r="L959" s="4" t="str">
        <f>IF(OR(Копия_20206[[#This Row],[Volume (in 1000 kg)]]&gt;$T$7,Копия_20206[[#This Row],[Volume (in 1000 kg)]]&lt;$T$6),"outlier","not outlier")</f>
        <v>outlier</v>
      </c>
      <c r="M959" s="4" t="str">
        <f>IF(OR(Копия_20206[[#This Row],[Number of stores]]&gt;$U$7,Копия_20206[[#This Row],[Number of stores]]&lt;$U$6),"outlier","not outlier")</f>
        <v>not outlier</v>
      </c>
    </row>
    <row r="960" spans="1:13" x14ac:dyDescent="0.25">
      <c r="A960">
        <v>2021</v>
      </c>
      <c r="B960">
        <v>7</v>
      </c>
      <c r="C960" s="1" t="s">
        <v>25</v>
      </c>
      <c r="D960" s="1" t="s">
        <v>9</v>
      </c>
      <c r="E960" s="1" t="s">
        <v>10</v>
      </c>
      <c r="F960" s="4">
        <v>54.075299999999999</v>
      </c>
      <c r="G960" s="4">
        <v>3221.2626570000002</v>
      </c>
      <c r="H960" s="4">
        <v>11.3558</v>
      </c>
      <c r="I960">
        <v>7112</v>
      </c>
      <c r="J960" s="4" t="str">
        <f>IF(OR(Копия_20206[[#This Row],[Units (in 1000)]]&gt;$R$7,Копия_20206[[#This Row],[Units (in 1000)]]&lt;$R$6),"outlier","not outlier")</f>
        <v>outlier</v>
      </c>
      <c r="K960" s="4" t="str">
        <f>IF(OR(Копия_20206[[#This Row],[Value (in 1000 rub)]]&gt;$S$7,Копия_20206[[#This Row],[Value (in 1000 rub)]]&lt;$S$6),"outlier","not outlier")</f>
        <v>outlier</v>
      </c>
      <c r="L960" s="4" t="str">
        <f>IF(OR(Копия_20206[[#This Row],[Volume (in 1000 kg)]]&gt;$T$7,Копия_20206[[#This Row],[Volume (in 1000 kg)]]&lt;$T$6),"outlier","not outlier")</f>
        <v>outlier</v>
      </c>
      <c r="M960" s="4" t="str">
        <f>IF(OR(Копия_20206[[#This Row],[Number of stores]]&gt;$U$7,Копия_20206[[#This Row],[Number of stores]]&lt;$U$6),"outlier","not outlier")</f>
        <v>outlier</v>
      </c>
    </row>
    <row r="961" spans="1:13" x14ac:dyDescent="0.25">
      <c r="A961">
        <v>2021</v>
      </c>
      <c r="B961">
        <v>7</v>
      </c>
      <c r="C961" s="1" t="s">
        <v>25</v>
      </c>
      <c r="D961" s="1" t="s">
        <v>9</v>
      </c>
      <c r="E961" s="1" t="s">
        <v>11</v>
      </c>
      <c r="F961" s="4">
        <v>48.973199999999999</v>
      </c>
      <c r="G961" s="4">
        <v>4884.3516989999998</v>
      </c>
      <c r="H961" s="4">
        <v>17.140599999999999</v>
      </c>
      <c r="I961">
        <v>9029</v>
      </c>
      <c r="J961" s="4" t="str">
        <f>IF(OR(Копия_20206[[#This Row],[Units (in 1000)]]&gt;$R$7,Копия_20206[[#This Row],[Units (in 1000)]]&lt;$R$6),"outlier","not outlier")</f>
        <v>outlier</v>
      </c>
      <c r="K961" s="4" t="str">
        <f>IF(OR(Копия_20206[[#This Row],[Value (in 1000 rub)]]&gt;$S$7,Копия_20206[[#This Row],[Value (in 1000 rub)]]&lt;$S$6),"outlier","not outlier")</f>
        <v>outlier</v>
      </c>
      <c r="L961" s="4" t="str">
        <f>IF(OR(Копия_20206[[#This Row],[Volume (in 1000 kg)]]&gt;$T$7,Копия_20206[[#This Row],[Volume (in 1000 kg)]]&lt;$T$6),"outlier","not outlier")</f>
        <v>outlier</v>
      </c>
      <c r="M961" s="4" t="str">
        <f>IF(OR(Копия_20206[[#This Row],[Number of stores]]&gt;$U$7,Копия_20206[[#This Row],[Number of stores]]&lt;$U$6),"outlier","not outlier")</f>
        <v>outlier</v>
      </c>
    </row>
    <row r="962" spans="1:13" x14ac:dyDescent="0.25">
      <c r="A962">
        <v>2021</v>
      </c>
      <c r="B962">
        <v>7</v>
      </c>
      <c r="C962" s="1" t="s">
        <v>25</v>
      </c>
      <c r="D962" s="1" t="s">
        <v>9</v>
      </c>
      <c r="E962" s="1" t="s">
        <v>12</v>
      </c>
      <c r="F962" s="4">
        <v>2.3963000000000001</v>
      </c>
      <c r="G962" s="4">
        <v>361.06219599999997</v>
      </c>
      <c r="H962" s="4">
        <v>1.1981999999999999</v>
      </c>
      <c r="I962">
        <v>506</v>
      </c>
      <c r="J962" s="4" t="str">
        <f>IF(OR(Копия_20206[[#This Row],[Units (in 1000)]]&gt;$R$7,Копия_20206[[#This Row],[Units (in 1000)]]&lt;$R$6),"outlier","not outlier")</f>
        <v>not outlier</v>
      </c>
      <c r="K962" s="4" t="str">
        <f>IF(OR(Копия_20206[[#This Row],[Value (in 1000 rub)]]&gt;$S$7,Копия_20206[[#This Row],[Value (in 1000 rub)]]&lt;$S$6),"outlier","not outlier")</f>
        <v>not outlier</v>
      </c>
      <c r="L962" s="4" t="str">
        <f>IF(OR(Копия_20206[[#This Row],[Volume (in 1000 kg)]]&gt;$T$7,Копия_20206[[#This Row],[Volume (in 1000 kg)]]&lt;$T$6),"outlier","not outlier")</f>
        <v>not outlier</v>
      </c>
      <c r="M962" s="4" t="str">
        <f>IF(OR(Копия_20206[[#This Row],[Number of stores]]&gt;$U$7,Копия_20206[[#This Row],[Number of stores]]&lt;$U$6),"outlier","not outlier")</f>
        <v>not outlier</v>
      </c>
    </row>
    <row r="963" spans="1:13" x14ac:dyDescent="0.25">
      <c r="A963">
        <v>2021</v>
      </c>
      <c r="B963">
        <v>7</v>
      </c>
      <c r="C963" s="1" t="s">
        <v>25</v>
      </c>
      <c r="D963" s="1" t="s">
        <v>9</v>
      </c>
      <c r="E963" s="1" t="s">
        <v>13</v>
      </c>
      <c r="F963" s="4">
        <v>0.4027</v>
      </c>
      <c r="G963" s="4">
        <v>65.041677000000007</v>
      </c>
      <c r="H963" s="4">
        <v>0.30199999999999999</v>
      </c>
      <c r="I963">
        <v>245</v>
      </c>
      <c r="J963" s="4" t="str">
        <f>IF(OR(Копия_20206[[#This Row],[Units (in 1000)]]&gt;$R$7,Копия_20206[[#This Row],[Units (in 1000)]]&lt;$R$6),"outlier","not outlier")</f>
        <v>not outlier</v>
      </c>
      <c r="K963" s="4" t="str">
        <f>IF(OR(Копия_20206[[#This Row],[Value (in 1000 rub)]]&gt;$S$7,Копия_20206[[#This Row],[Value (in 1000 rub)]]&lt;$S$6),"outlier","not outlier")</f>
        <v>not outlier</v>
      </c>
      <c r="L963" s="4" t="str">
        <f>IF(OR(Копия_20206[[#This Row],[Volume (in 1000 kg)]]&gt;$T$7,Копия_20206[[#This Row],[Volume (in 1000 kg)]]&lt;$T$6),"outlier","not outlier")</f>
        <v>not outlier</v>
      </c>
      <c r="M963" s="4" t="str">
        <f>IF(OR(Копия_20206[[#This Row],[Number of stores]]&gt;$U$7,Копия_20206[[#This Row],[Number of stores]]&lt;$U$6),"outlier","not outlier")</f>
        <v>not outlier</v>
      </c>
    </row>
    <row r="964" spans="1:13" x14ac:dyDescent="0.25">
      <c r="A964">
        <v>2021</v>
      </c>
      <c r="B964">
        <v>7</v>
      </c>
      <c r="C964" s="1" t="s">
        <v>29</v>
      </c>
      <c r="D964" s="1" t="s">
        <v>9</v>
      </c>
      <c r="E964" s="1" t="s">
        <v>10</v>
      </c>
      <c r="F964" s="4">
        <v>126.3103</v>
      </c>
      <c r="G964" s="4">
        <v>7576.2293680000012</v>
      </c>
      <c r="H964" s="4">
        <v>26.525099999999998</v>
      </c>
      <c r="I964">
        <v>12289</v>
      </c>
      <c r="J964" s="4" t="str">
        <f>IF(OR(Копия_20206[[#This Row],[Units (in 1000)]]&gt;$R$7,Копия_20206[[#This Row],[Units (in 1000)]]&lt;$R$6),"outlier","not outlier")</f>
        <v>outlier</v>
      </c>
      <c r="K964" s="4" t="str">
        <f>IF(OR(Копия_20206[[#This Row],[Value (in 1000 rub)]]&gt;$S$7,Копия_20206[[#This Row],[Value (in 1000 rub)]]&lt;$S$6),"outlier","not outlier")</f>
        <v>outlier</v>
      </c>
      <c r="L964" s="4" t="str">
        <f>IF(OR(Копия_20206[[#This Row],[Volume (in 1000 kg)]]&gt;$T$7,Копия_20206[[#This Row],[Volume (in 1000 kg)]]&lt;$T$6),"outlier","not outlier")</f>
        <v>outlier</v>
      </c>
      <c r="M964" s="4" t="str">
        <f>IF(OR(Копия_20206[[#This Row],[Number of stores]]&gt;$U$7,Копия_20206[[#This Row],[Number of stores]]&lt;$U$6),"outlier","not outlier")</f>
        <v>outlier</v>
      </c>
    </row>
    <row r="965" spans="1:13" x14ac:dyDescent="0.25">
      <c r="A965">
        <v>2021</v>
      </c>
      <c r="B965">
        <v>7</v>
      </c>
      <c r="C965" s="1" t="s">
        <v>29</v>
      </c>
      <c r="D965" s="1" t="s">
        <v>9</v>
      </c>
      <c r="E965" s="1" t="s">
        <v>11</v>
      </c>
      <c r="F965" s="4">
        <v>108.4761</v>
      </c>
      <c r="G965" s="4">
        <v>10606.008457</v>
      </c>
      <c r="H965" s="4">
        <v>37.9666</v>
      </c>
      <c r="I965">
        <v>15057</v>
      </c>
      <c r="J965" s="4" t="str">
        <f>IF(OR(Копия_20206[[#This Row],[Units (in 1000)]]&gt;$R$7,Копия_20206[[#This Row],[Units (in 1000)]]&lt;$R$6),"outlier","not outlier")</f>
        <v>outlier</v>
      </c>
      <c r="K965" s="4" t="str">
        <f>IF(OR(Копия_20206[[#This Row],[Value (in 1000 rub)]]&gt;$S$7,Копия_20206[[#This Row],[Value (in 1000 rub)]]&lt;$S$6),"outlier","not outlier")</f>
        <v>outlier</v>
      </c>
      <c r="L965" s="4" t="str">
        <f>IF(OR(Копия_20206[[#This Row],[Volume (in 1000 kg)]]&gt;$T$7,Копия_20206[[#This Row],[Volume (in 1000 kg)]]&lt;$T$6),"outlier","not outlier")</f>
        <v>outlier</v>
      </c>
      <c r="M965" s="4" t="str">
        <f>IF(OR(Копия_20206[[#This Row],[Number of stores]]&gt;$U$7,Копия_20206[[#This Row],[Number of stores]]&lt;$U$6),"outlier","not outlier")</f>
        <v>outlier</v>
      </c>
    </row>
    <row r="966" spans="1:13" x14ac:dyDescent="0.25">
      <c r="A966">
        <v>2021</v>
      </c>
      <c r="B966">
        <v>7</v>
      </c>
      <c r="C966" s="1" t="s">
        <v>29</v>
      </c>
      <c r="D966" s="1" t="s">
        <v>9</v>
      </c>
      <c r="E966" s="1" t="s">
        <v>12</v>
      </c>
      <c r="F966" s="4">
        <v>6.9093</v>
      </c>
      <c r="G966" s="4">
        <v>968.99991599999998</v>
      </c>
      <c r="H966" s="4">
        <v>3.4546000000000001</v>
      </c>
      <c r="I966">
        <v>693</v>
      </c>
      <c r="J966" s="4" t="str">
        <f>IF(OR(Копия_20206[[#This Row],[Units (in 1000)]]&gt;$R$7,Копия_20206[[#This Row],[Units (in 1000)]]&lt;$R$6),"outlier","not outlier")</f>
        <v>not outlier</v>
      </c>
      <c r="K966" s="4" t="str">
        <f>IF(OR(Копия_20206[[#This Row],[Value (in 1000 rub)]]&gt;$S$7,Копия_20206[[#This Row],[Value (in 1000 rub)]]&lt;$S$6),"outlier","not outlier")</f>
        <v>not outlier</v>
      </c>
      <c r="L966" s="4" t="str">
        <f>IF(OR(Копия_20206[[#This Row],[Volume (in 1000 kg)]]&gt;$T$7,Копия_20206[[#This Row],[Volume (in 1000 kg)]]&lt;$T$6),"outlier","not outlier")</f>
        <v>not outlier</v>
      </c>
      <c r="M966" s="4" t="str">
        <f>IF(OR(Копия_20206[[#This Row],[Number of stores]]&gt;$U$7,Копия_20206[[#This Row],[Number of stores]]&lt;$U$6),"outlier","not outlier")</f>
        <v>not outlier</v>
      </c>
    </row>
    <row r="967" spans="1:13" x14ac:dyDescent="0.25">
      <c r="A967">
        <v>2021</v>
      </c>
      <c r="B967">
        <v>7</v>
      </c>
      <c r="C967" s="1" t="s">
        <v>29</v>
      </c>
      <c r="D967" s="1" t="s">
        <v>9</v>
      </c>
      <c r="E967" s="1" t="s">
        <v>13</v>
      </c>
      <c r="F967" s="4">
        <v>1.1900000000000001E-2</v>
      </c>
      <c r="G967" s="4">
        <v>2.4666519999999998</v>
      </c>
      <c r="H967" s="4">
        <v>8.9999999999999993E-3</v>
      </c>
      <c r="I967">
        <v>4</v>
      </c>
      <c r="J967" s="4" t="str">
        <f>IF(OR(Копия_20206[[#This Row],[Units (in 1000)]]&gt;$R$7,Копия_20206[[#This Row],[Units (in 1000)]]&lt;$R$6),"outlier","not outlier")</f>
        <v>not outlier</v>
      </c>
      <c r="K967" s="4" t="str">
        <f>IF(OR(Копия_20206[[#This Row],[Value (in 1000 rub)]]&gt;$S$7,Копия_20206[[#This Row],[Value (in 1000 rub)]]&lt;$S$6),"outlier","not outlier")</f>
        <v>not outlier</v>
      </c>
      <c r="L967" s="4" t="str">
        <f>IF(OR(Копия_20206[[#This Row],[Volume (in 1000 kg)]]&gt;$T$7,Копия_20206[[#This Row],[Volume (in 1000 kg)]]&lt;$T$6),"outlier","not outlier")</f>
        <v>not outlier</v>
      </c>
      <c r="M967" s="4" t="str">
        <f>IF(OR(Копия_20206[[#This Row],[Number of stores]]&gt;$U$7,Копия_20206[[#This Row],[Number of stores]]&lt;$U$6),"outlier","not outlier")</f>
        <v>not outlier</v>
      </c>
    </row>
    <row r="968" spans="1:13" x14ac:dyDescent="0.25">
      <c r="A968">
        <v>2021</v>
      </c>
      <c r="B968">
        <v>8</v>
      </c>
      <c r="C968" s="1" t="s">
        <v>8</v>
      </c>
      <c r="D968" s="1" t="s">
        <v>9</v>
      </c>
      <c r="E968" s="1" t="s">
        <v>10</v>
      </c>
      <c r="F968" s="4">
        <v>10.2483</v>
      </c>
      <c r="G968" s="4">
        <v>694.00995699999999</v>
      </c>
      <c r="H968" s="4">
        <v>2.1522000000000001</v>
      </c>
      <c r="I968">
        <v>524</v>
      </c>
      <c r="J968" s="4" t="str">
        <f>IF(OR(Копия_20206[[#This Row],[Units (in 1000)]]&gt;$R$7,Копия_20206[[#This Row],[Units (in 1000)]]&lt;$R$6),"outlier","not outlier")</f>
        <v>not outlier</v>
      </c>
      <c r="K968" s="4" t="str">
        <f>IF(OR(Копия_20206[[#This Row],[Value (in 1000 rub)]]&gt;$S$7,Копия_20206[[#This Row],[Value (in 1000 rub)]]&lt;$S$6),"outlier","not outlier")</f>
        <v>not outlier</v>
      </c>
      <c r="L968" s="4" t="str">
        <f>IF(OR(Копия_20206[[#This Row],[Volume (in 1000 kg)]]&gt;$T$7,Копия_20206[[#This Row],[Volume (in 1000 kg)]]&lt;$T$6),"outlier","not outlier")</f>
        <v>not outlier</v>
      </c>
      <c r="M968" s="4" t="str">
        <f>IF(OR(Копия_20206[[#This Row],[Number of stores]]&gt;$U$7,Копия_20206[[#This Row],[Number of stores]]&lt;$U$6),"outlier","not outlier")</f>
        <v>not outlier</v>
      </c>
    </row>
    <row r="969" spans="1:13" x14ac:dyDescent="0.25">
      <c r="A969">
        <v>2021</v>
      </c>
      <c r="B969">
        <v>8</v>
      </c>
      <c r="C969" s="1" t="s">
        <v>8</v>
      </c>
      <c r="D969" s="1" t="s">
        <v>9</v>
      </c>
      <c r="E969" s="1" t="s">
        <v>11</v>
      </c>
      <c r="F969" s="4">
        <v>57.8795</v>
      </c>
      <c r="G969" s="4">
        <v>5266.2841939999998</v>
      </c>
      <c r="H969" s="4">
        <v>20.2578</v>
      </c>
      <c r="I969">
        <v>787</v>
      </c>
      <c r="J969" s="4" t="str">
        <f>IF(OR(Копия_20206[[#This Row],[Units (in 1000)]]&gt;$R$7,Копия_20206[[#This Row],[Units (in 1000)]]&lt;$R$6),"outlier","not outlier")</f>
        <v>outlier</v>
      </c>
      <c r="K969" s="4" t="str">
        <f>IF(OR(Копия_20206[[#This Row],[Value (in 1000 rub)]]&gt;$S$7,Копия_20206[[#This Row],[Value (in 1000 rub)]]&lt;$S$6),"outlier","not outlier")</f>
        <v>outlier</v>
      </c>
      <c r="L969" s="4" t="str">
        <f>IF(OR(Копия_20206[[#This Row],[Volume (in 1000 kg)]]&gt;$T$7,Копия_20206[[#This Row],[Volume (in 1000 kg)]]&lt;$T$6),"outlier","not outlier")</f>
        <v>outlier</v>
      </c>
      <c r="M969" s="4" t="str">
        <f>IF(OR(Копия_20206[[#This Row],[Number of stores]]&gt;$U$7,Копия_20206[[#This Row],[Number of stores]]&lt;$U$6),"outlier","not outlier")</f>
        <v>not outlier</v>
      </c>
    </row>
    <row r="970" spans="1:13" x14ac:dyDescent="0.25">
      <c r="A970">
        <v>2021</v>
      </c>
      <c r="B970">
        <v>8</v>
      </c>
      <c r="C970" s="1" t="s">
        <v>8</v>
      </c>
      <c r="D970" s="1" t="s">
        <v>9</v>
      </c>
      <c r="E970" s="1" t="s">
        <v>12</v>
      </c>
      <c r="F970" s="4">
        <v>36.1477</v>
      </c>
      <c r="G970" s="4">
        <v>4297.3749180000004</v>
      </c>
      <c r="H970" s="4">
        <v>18.073899999999998</v>
      </c>
      <c r="I970">
        <v>679</v>
      </c>
      <c r="J970" s="4" t="str">
        <f>IF(OR(Копия_20206[[#This Row],[Units (in 1000)]]&gt;$R$7,Копия_20206[[#This Row],[Units (in 1000)]]&lt;$R$6),"outlier","not outlier")</f>
        <v>outlier</v>
      </c>
      <c r="K970" s="4" t="str">
        <f>IF(OR(Копия_20206[[#This Row],[Value (in 1000 rub)]]&gt;$S$7,Копия_20206[[#This Row],[Value (in 1000 rub)]]&lt;$S$6),"outlier","not outlier")</f>
        <v>outlier</v>
      </c>
      <c r="L970" s="4" t="str">
        <f>IF(OR(Копия_20206[[#This Row],[Volume (in 1000 kg)]]&gt;$T$7,Копия_20206[[#This Row],[Volume (in 1000 kg)]]&lt;$T$6),"outlier","not outlier")</f>
        <v>outlier</v>
      </c>
      <c r="M970" s="4" t="str">
        <f>IF(OR(Копия_20206[[#This Row],[Number of stores]]&gt;$U$7,Копия_20206[[#This Row],[Number of stores]]&lt;$U$6),"outlier","not outlier")</f>
        <v>not outlier</v>
      </c>
    </row>
    <row r="971" spans="1:13" x14ac:dyDescent="0.25">
      <c r="A971">
        <v>2021</v>
      </c>
      <c r="B971">
        <v>8</v>
      </c>
      <c r="C971" s="1" t="s">
        <v>25</v>
      </c>
      <c r="D971" s="1" t="s">
        <v>9</v>
      </c>
      <c r="E971" s="1" t="s">
        <v>10</v>
      </c>
      <c r="F971" s="4">
        <v>29.2669</v>
      </c>
      <c r="G971" s="4">
        <v>2051.0537979999999</v>
      </c>
      <c r="H971" s="4">
        <v>6.1459999999999999</v>
      </c>
      <c r="I971">
        <v>6264</v>
      </c>
      <c r="J971" s="4" t="str">
        <f>IF(OR(Копия_20206[[#This Row],[Units (in 1000)]]&gt;$R$7,Копия_20206[[#This Row],[Units (in 1000)]]&lt;$R$6),"outlier","not outlier")</f>
        <v>outlier</v>
      </c>
      <c r="K971" s="4" t="str">
        <f>IF(OR(Копия_20206[[#This Row],[Value (in 1000 rub)]]&gt;$S$7,Копия_20206[[#This Row],[Value (in 1000 rub)]]&lt;$S$6),"outlier","not outlier")</f>
        <v>not outlier</v>
      </c>
      <c r="L971" s="4" t="str">
        <f>IF(OR(Копия_20206[[#This Row],[Volume (in 1000 kg)]]&gt;$T$7,Копия_20206[[#This Row],[Volume (in 1000 kg)]]&lt;$T$6),"outlier","not outlier")</f>
        <v>not outlier</v>
      </c>
      <c r="M971" s="4" t="str">
        <f>IF(OR(Копия_20206[[#This Row],[Number of stores]]&gt;$U$7,Копия_20206[[#This Row],[Number of stores]]&lt;$U$6),"outlier","not outlier")</f>
        <v>outlier</v>
      </c>
    </row>
    <row r="972" spans="1:13" x14ac:dyDescent="0.25">
      <c r="A972">
        <v>2021</v>
      </c>
      <c r="B972">
        <v>8</v>
      </c>
      <c r="C972" s="1" t="s">
        <v>25</v>
      </c>
      <c r="D972" s="1" t="s">
        <v>9</v>
      </c>
      <c r="E972" s="1" t="s">
        <v>11</v>
      </c>
      <c r="F972" s="4">
        <v>61.106200000000001</v>
      </c>
      <c r="G972" s="4">
        <v>5927.6942419999996</v>
      </c>
      <c r="H972" s="4">
        <v>21.3872</v>
      </c>
      <c r="I972">
        <v>9804</v>
      </c>
      <c r="J972" s="4" t="str">
        <f>IF(OR(Копия_20206[[#This Row],[Units (in 1000)]]&gt;$R$7,Копия_20206[[#This Row],[Units (in 1000)]]&lt;$R$6),"outlier","not outlier")</f>
        <v>outlier</v>
      </c>
      <c r="K972" s="4" t="str">
        <f>IF(OR(Копия_20206[[#This Row],[Value (in 1000 rub)]]&gt;$S$7,Копия_20206[[#This Row],[Value (in 1000 rub)]]&lt;$S$6),"outlier","not outlier")</f>
        <v>outlier</v>
      </c>
      <c r="L972" s="4" t="str">
        <f>IF(OR(Копия_20206[[#This Row],[Volume (in 1000 kg)]]&gt;$T$7,Копия_20206[[#This Row],[Volume (in 1000 kg)]]&lt;$T$6),"outlier","not outlier")</f>
        <v>outlier</v>
      </c>
      <c r="M972" s="4" t="str">
        <f>IF(OR(Копия_20206[[#This Row],[Number of stores]]&gt;$U$7,Копия_20206[[#This Row],[Number of stores]]&lt;$U$6),"outlier","not outlier")</f>
        <v>outlier</v>
      </c>
    </row>
    <row r="973" spans="1:13" x14ac:dyDescent="0.25">
      <c r="A973">
        <v>2021</v>
      </c>
      <c r="B973">
        <v>8</v>
      </c>
      <c r="C973" s="1" t="s">
        <v>25</v>
      </c>
      <c r="D973" s="1" t="s">
        <v>9</v>
      </c>
      <c r="E973" s="1" t="s">
        <v>12</v>
      </c>
      <c r="F973" s="4">
        <v>2.3611</v>
      </c>
      <c r="G973" s="4">
        <v>354.733746</v>
      </c>
      <c r="H973" s="4">
        <v>1.1806000000000001</v>
      </c>
      <c r="I973">
        <v>494</v>
      </c>
      <c r="J973" s="4" t="str">
        <f>IF(OR(Копия_20206[[#This Row],[Units (in 1000)]]&gt;$R$7,Копия_20206[[#This Row],[Units (in 1000)]]&lt;$R$6),"outlier","not outlier")</f>
        <v>not outlier</v>
      </c>
      <c r="K973" s="4" t="str">
        <f>IF(OR(Копия_20206[[#This Row],[Value (in 1000 rub)]]&gt;$S$7,Копия_20206[[#This Row],[Value (in 1000 rub)]]&lt;$S$6),"outlier","not outlier")</f>
        <v>not outlier</v>
      </c>
      <c r="L973" s="4" t="str">
        <f>IF(OR(Копия_20206[[#This Row],[Volume (in 1000 kg)]]&gt;$T$7,Копия_20206[[#This Row],[Volume (in 1000 kg)]]&lt;$T$6),"outlier","not outlier")</f>
        <v>not outlier</v>
      </c>
      <c r="M973" s="4" t="str">
        <f>IF(OR(Копия_20206[[#This Row],[Number of stores]]&gt;$U$7,Копия_20206[[#This Row],[Number of stores]]&lt;$U$6),"outlier","not outlier")</f>
        <v>not outlier</v>
      </c>
    </row>
    <row r="974" spans="1:13" x14ac:dyDescent="0.25">
      <c r="A974">
        <v>2021</v>
      </c>
      <c r="B974">
        <v>8</v>
      </c>
      <c r="C974" s="1" t="s">
        <v>25</v>
      </c>
      <c r="D974" s="1" t="s">
        <v>9</v>
      </c>
      <c r="E974" s="1" t="s">
        <v>13</v>
      </c>
      <c r="F974" s="4">
        <v>0.4027</v>
      </c>
      <c r="G974" s="4">
        <v>65.041677000000007</v>
      </c>
      <c r="H974" s="4">
        <v>0.30199999999999999</v>
      </c>
      <c r="I974">
        <v>245</v>
      </c>
      <c r="J974" s="4" t="str">
        <f>IF(OR(Копия_20206[[#This Row],[Units (in 1000)]]&gt;$R$7,Копия_20206[[#This Row],[Units (in 1000)]]&lt;$R$6),"outlier","not outlier")</f>
        <v>not outlier</v>
      </c>
      <c r="K974" s="4" t="str">
        <f>IF(OR(Копия_20206[[#This Row],[Value (in 1000 rub)]]&gt;$S$7,Копия_20206[[#This Row],[Value (in 1000 rub)]]&lt;$S$6),"outlier","not outlier")</f>
        <v>not outlier</v>
      </c>
      <c r="L974" s="4" t="str">
        <f>IF(OR(Копия_20206[[#This Row],[Volume (in 1000 kg)]]&gt;$T$7,Копия_20206[[#This Row],[Volume (in 1000 kg)]]&lt;$T$6),"outlier","not outlier")</f>
        <v>not outlier</v>
      </c>
      <c r="M974" s="4" t="str">
        <f>IF(OR(Копия_20206[[#This Row],[Number of stores]]&gt;$U$7,Копия_20206[[#This Row],[Number of stores]]&lt;$U$6),"outlier","not outlier")</f>
        <v>not outlier</v>
      </c>
    </row>
    <row r="975" spans="1:13" x14ac:dyDescent="0.25">
      <c r="A975">
        <v>2021</v>
      </c>
      <c r="B975">
        <v>8</v>
      </c>
      <c r="C975" s="1" t="s">
        <v>29</v>
      </c>
      <c r="D975" s="1" t="s">
        <v>9</v>
      </c>
      <c r="E975" s="1" t="s">
        <v>10</v>
      </c>
      <c r="F975" s="4">
        <v>61.698700000000002</v>
      </c>
      <c r="G975" s="4">
        <v>4338.3775960000003</v>
      </c>
      <c r="H975" s="4">
        <v>12.9567</v>
      </c>
      <c r="I975">
        <v>10517</v>
      </c>
      <c r="J975" s="4" t="str">
        <f>IF(OR(Копия_20206[[#This Row],[Units (in 1000)]]&gt;$R$7,Копия_20206[[#This Row],[Units (in 1000)]]&lt;$R$6),"outlier","not outlier")</f>
        <v>outlier</v>
      </c>
      <c r="K975" s="4" t="str">
        <f>IF(OR(Копия_20206[[#This Row],[Value (in 1000 rub)]]&gt;$S$7,Копия_20206[[#This Row],[Value (in 1000 rub)]]&lt;$S$6),"outlier","not outlier")</f>
        <v>outlier</v>
      </c>
      <c r="L975" s="4" t="str">
        <f>IF(OR(Копия_20206[[#This Row],[Volume (in 1000 kg)]]&gt;$T$7,Копия_20206[[#This Row],[Volume (in 1000 kg)]]&lt;$T$6),"outlier","not outlier")</f>
        <v>outlier</v>
      </c>
      <c r="M975" s="4" t="str">
        <f>IF(OR(Копия_20206[[#This Row],[Number of stores]]&gt;$U$7,Копия_20206[[#This Row],[Number of stores]]&lt;$U$6),"outlier","not outlier")</f>
        <v>outlier</v>
      </c>
    </row>
    <row r="976" spans="1:13" x14ac:dyDescent="0.25">
      <c r="A976">
        <v>2021</v>
      </c>
      <c r="B976">
        <v>8</v>
      </c>
      <c r="C976" s="1" t="s">
        <v>29</v>
      </c>
      <c r="D976" s="1" t="s">
        <v>9</v>
      </c>
      <c r="E976" s="1" t="s">
        <v>11</v>
      </c>
      <c r="F976" s="4">
        <v>142.70439999999999</v>
      </c>
      <c r="G976" s="4">
        <v>13377.295862999999</v>
      </c>
      <c r="H976" s="4">
        <v>49.946599999999997</v>
      </c>
      <c r="I976">
        <v>17047</v>
      </c>
      <c r="J976" s="4" t="str">
        <f>IF(OR(Копия_20206[[#This Row],[Units (in 1000)]]&gt;$R$7,Копия_20206[[#This Row],[Units (in 1000)]]&lt;$R$6),"outlier","not outlier")</f>
        <v>outlier</v>
      </c>
      <c r="K976" s="4" t="str">
        <f>IF(OR(Копия_20206[[#This Row],[Value (in 1000 rub)]]&gt;$S$7,Копия_20206[[#This Row],[Value (in 1000 rub)]]&lt;$S$6),"outlier","not outlier")</f>
        <v>outlier</v>
      </c>
      <c r="L976" s="4" t="str">
        <f>IF(OR(Копия_20206[[#This Row],[Volume (in 1000 kg)]]&gt;$T$7,Копия_20206[[#This Row],[Volume (in 1000 kg)]]&lt;$T$6),"outlier","not outlier")</f>
        <v>outlier</v>
      </c>
      <c r="M976" s="4" t="str">
        <f>IF(OR(Копия_20206[[#This Row],[Number of stores]]&gt;$U$7,Копия_20206[[#This Row],[Number of stores]]&lt;$U$6),"outlier","not outlier")</f>
        <v>outlier</v>
      </c>
    </row>
    <row r="977" spans="1:13" x14ac:dyDescent="0.25">
      <c r="A977">
        <v>2021</v>
      </c>
      <c r="B977">
        <v>8</v>
      </c>
      <c r="C977" s="1" t="s">
        <v>29</v>
      </c>
      <c r="D977" s="1" t="s">
        <v>9</v>
      </c>
      <c r="E977" s="1" t="s">
        <v>12</v>
      </c>
      <c r="F977" s="4">
        <v>7.1943000000000001</v>
      </c>
      <c r="G977" s="4">
        <v>1017.649208</v>
      </c>
      <c r="H977" s="4">
        <v>3.5971000000000002</v>
      </c>
      <c r="I977">
        <v>688</v>
      </c>
      <c r="J977" s="4" t="str">
        <f>IF(OR(Копия_20206[[#This Row],[Units (in 1000)]]&gt;$R$7,Копия_20206[[#This Row],[Units (in 1000)]]&lt;$R$6),"outlier","not outlier")</f>
        <v>not outlier</v>
      </c>
      <c r="K977" s="4" t="str">
        <f>IF(OR(Копия_20206[[#This Row],[Value (in 1000 rub)]]&gt;$S$7,Копия_20206[[#This Row],[Value (in 1000 rub)]]&lt;$S$6),"outlier","not outlier")</f>
        <v>not outlier</v>
      </c>
      <c r="L977" s="4" t="str">
        <f>IF(OR(Копия_20206[[#This Row],[Volume (in 1000 kg)]]&gt;$T$7,Копия_20206[[#This Row],[Volume (in 1000 kg)]]&lt;$T$6),"outlier","not outlier")</f>
        <v>not outlier</v>
      </c>
      <c r="M977" s="4" t="str">
        <f>IF(OR(Копия_20206[[#This Row],[Number of stores]]&gt;$U$7,Копия_20206[[#This Row],[Number of stores]]&lt;$U$6),"outlier","not outlier")</f>
        <v>not outlier</v>
      </c>
    </row>
    <row r="978" spans="1:13" x14ac:dyDescent="0.25">
      <c r="A978">
        <v>2021</v>
      </c>
      <c r="B978">
        <v>8</v>
      </c>
      <c r="C978" s="1" t="s">
        <v>29</v>
      </c>
      <c r="D978" s="1" t="s">
        <v>9</v>
      </c>
      <c r="E978" s="1" t="s">
        <v>13</v>
      </c>
      <c r="F978" s="4">
        <v>1.2999999999999999E-2</v>
      </c>
      <c r="G978" s="4">
        <v>2.6866560000000002</v>
      </c>
      <c r="H978" s="4">
        <v>9.7000000000000003E-3</v>
      </c>
      <c r="I978">
        <v>4</v>
      </c>
      <c r="J978" s="4" t="str">
        <f>IF(OR(Копия_20206[[#This Row],[Units (in 1000)]]&gt;$R$7,Копия_20206[[#This Row],[Units (in 1000)]]&lt;$R$6),"outlier","not outlier")</f>
        <v>not outlier</v>
      </c>
      <c r="K978" s="4" t="str">
        <f>IF(OR(Копия_20206[[#This Row],[Value (in 1000 rub)]]&gt;$S$7,Копия_20206[[#This Row],[Value (in 1000 rub)]]&lt;$S$6),"outlier","not outlier")</f>
        <v>not outlier</v>
      </c>
      <c r="L978" s="4" t="str">
        <f>IF(OR(Копия_20206[[#This Row],[Volume (in 1000 kg)]]&gt;$T$7,Копия_20206[[#This Row],[Volume (in 1000 kg)]]&lt;$T$6),"outlier","not outlier")</f>
        <v>not outlier</v>
      </c>
      <c r="M978" s="4" t="str">
        <f>IF(OR(Копия_20206[[#This Row],[Number of stores]]&gt;$U$7,Копия_20206[[#This Row],[Number of stores]]&lt;$U$6),"outlier","not outlier")</f>
        <v>not outlier</v>
      </c>
    </row>
    <row r="979" spans="1:13" x14ac:dyDescent="0.25">
      <c r="A979">
        <v>2021</v>
      </c>
      <c r="B979">
        <v>9</v>
      </c>
      <c r="C979" s="1" t="s">
        <v>8</v>
      </c>
      <c r="D979" s="1" t="s">
        <v>9</v>
      </c>
      <c r="E979" s="1" t="s">
        <v>10</v>
      </c>
      <c r="F979" s="4">
        <v>12.618399999999999</v>
      </c>
      <c r="G979" s="4">
        <v>808.53339800000003</v>
      </c>
      <c r="H979" s="4">
        <v>2.6499000000000001</v>
      </c>
      <c r="I979">
        <v>503</v>
      </c>
      <c r="J979" s="4" t="str">
        <f>IF(OR(Копия_20206[[#This Row],[Units (in 1000)]]&gt;$R$7,Копия_20206[[#This Row],[Units (in 1000)]]&lt;$R$6),"outlier","not outlier")</f>
        <v>not outlier</v>
      </c>
      <c r="K979" s="4" t="str">
        <f>IF(OR(Копия_20206[[#This Row],[Value (in 1000 rub)]]&gt;$S$7,Копия_20206[[#This Row],[Value (in 1000 rub)]]&lt;$S$6),"outlier","not outlier")</f>
        <v>not outlier</v>
      </c>
      <c r="L979" s="4" t="str">
        <f>IF(OR(Копия_20206[[#This Row],[Volume (in 1000 kg)]]&gt;$T$7,Копия_20206[[#This Row],[Volume (in 1000 kg)]]&lt;$T$6),"outlier","not outlier")</f>
        <v>not outlier</v>
      </c>
      <c r="M979" s="4" t="str">
        <f>IF(OR(Копия_20206[[#This Row],[Number of stores]]&gt;$U$7,Копия_20206[[#This Row],[Number of stores]]&lt;$U$6),"outlier","not outlier")</f>
        <v>not outlier</v>
      </c>
    </row>
    <row r="980" spans="1:13" x14ac:dyDescent="0.25">
      <c r="A980">
        <v>2021</v>
      </c>
      <c r="B980">
        <v>9</v>
      </c>
      <c r="C980" s="1" t="s">
        <v>8</v>
      </c>
      <c r="D980" s="1" t="s">
        <v>9</v>
      </c>
      <c r="E980" s="1" t="s">
        <v>11</v>
      </c>
      <c r="F980" s="4">
        <v>42.404499999999999</v>
      </c>
      <c r="G980" s="4">
        <v>4132.6585139999997</v>
      </c>
      <c r="H980" s="4">
        <v>14.841699999999999</v>
      </c>
      <c r="I980">
        <v>793</v>
      </c>
      <c r="J980" s="4" t="str">
        <f>IF(OR(Копия_20206[[#This Row],[Units (in 1000)]]&gt;$R$7,Копия_20206[[#This Row],[Units (in 1000)]]&lt;$R$6),"outlier","not outlier")</f>
        <v>outlier</v>
      </c>
      <c r="K980" s="4" t="str">
        <f>IF(OR(Копия_20206[[#This Row],[Value (in 1000 rub)]]&gt;$S$7,Копия_20206[[#This Row],[Value (in 1000 rub)]]&lt;$S$6),"outlier","not outlier")</f>
        <v>outlier</v>
      </c>
      <c r="L980" s="4" t="str">
        <f>IF(OR(Копия_20206[[#This Row],[Volume (in 1000 kg)]]&gt;$T$7,Копия_20206[[#This Row],[Volume (in 1000 kg)]]&lt;$T$6),"outlier","not outlier")</f>
        <v>outlier</v>
      </c>
      <c r="M980" s="4" t="str">
        <f>IF(OR(Копия_20206[[#This Row],[Number of stores]]&gt;$U$7,Копия_20206[[#This Row],[Number of stores]]&lt;$U$6),"outlier","not outlier")</f>
        <v>not outlier</v>
      </c>
    </row>
    <row r="981" spans="1:13" x14ac:dyDescent="0.25">
      <c r="A981">
        <v>2021</v>
      </c>
      <c r="B981">
        <v>9</v>
      </c>
      <c r="C981" s="1" t="s">
        <v>8</v>
      </c>
      <c r="D981" s="1" t="s">
        <v>9</v>
      </c>
      <c r="E981" s="1" t="s">
        <v>12</v>
      </c>
      <c r="F981" s="4">
        <v>36.790300000000002</v>
      </c>
      <c r="G981" s="4">
        <v>4342.2970800000003</v>
      </c>
      <c r="H981" s="4">
        <v>18.395199999999999</v>
      </c>
      <c r="I981">
        <v>672</v>
      </c>
      <c r="J981" s="4" t="str">
        <f>IF(OR(Копия_20206[[#This Row],[Units (in 1000)]]&gt;$R$7,Копия_20206[[#This Row],[Units (in 1000)]]&lt;$R$6),"outlier","not outlier")</f>
        <v>outlier</v>
      </c>
      <c r="K981" s="4" t="str">
        <f>IF(OR(Копия_20206[[#This Row],[Value (in 1000 rub)]]&gt;$S$7,Копия_20206[[#This Row],[Value (in 1000 rub)]]&lt;$S$6),"outlier","not outlier")</f>
        <v>outlier</v>
      </c>
      <c r="L981" s="4" t="str">
        <f>IF(OR(Копия_20206[[#This Row],[Volume (in 1000 kg)]]&gt;$T$7,Копия_20206[[#This Row],[Volume (in 1000 kg)]]&lt;$T$6),"outlier","not outlier")</f>
        <v>outlier</v>
      </c>
      <c r="M981" s="4" t="str">
        <f>IF(OR(Копия_20206[[#This Row],[Number of stores]]&gt;$U$7,Копия_20206[[#This Row],[Number of stores]]&lt;$U$6),"outlier","not outlier")</f>
        <v>not outlier</v>
      </c>
    </row>
    <row r="982" spans="1:13" x14ac:dyDescent="0.25">
      <c r="A982">
        <v>2021</v>
      </c>
      <c r="B982">
        <v>9</v>
      </c>
      <c r="C982" s="1" t="s">
        <v>25</v>
      </c>
      <c r="D982" s="1" t="s">
        <v>9</v>
      </c>
      <c r="E982" s="1" t="s">
        <v>10</v>
      </c>
      <c r="F982" s="4">
        <v>25.502300000000002</v>
      </c>
      <c r="G982" s="4">
        <v>1767.3089180000002</v>
      </c>
      <c r="H982" s="4">
        <v>5.3554000000000004</v>
      </c>
      <c r="I982">
        <v>5795</v>
      </c>
      <c r="J982" s="4" t="str">
        <f>IF(OR(Копия_20206[[#This Row],[Units (in 1000)]]&gt;$R$7,Копия_20206[[#This Row],[Units (in 1000)]]&lt;$R$6),"outlier","not outlier")</f>
        <v>outlier</v>
      </c>
      <c r="K982" s="4" t="str">
        <f>IF(OR(Копия_20206[[#This Row],[Value (in 1000 rub)]]&gt;$S$7,Копия_20206[[#This Row],[Value (in 1000 rub)]]&lt;$S$6),"outlier","not outlier")</f>
        <v>not outlier</v>
      </c>
      <c r="L982" s="4" t="str">
        <f>IF(OR(Копия_20206[[#This Row],[Volume (in 1000 kg)]]&gt;$T$7,Копия_20206[[#This Row],[Volume (in 1000 kg)]]&lt;$T$6),"outlier","not outlier")</f>
        <v>not outlier</v>
      </c>
      <c r="M982" s="4" t="str">
        <f>IF(OR(Копия_20206[[#This Row],[Number of stores]]&gt;$U$7,Копия_20206[[#This Row],[Number of stores]]&lt;$U$6),"outlier","not outlier")</f>
        <v>outlier</v>
      </c>
    </row>
    <row r="983" spans="1:13" x14ac:dyDescent="0.25">
      <c r="A983">
        <v>2021</v>
      </c>
      <c r="B983">
        <v>9</v>
      </c>
      <c r="C983" s="1" t="s">
        <v>25</v>
      </c>
      <c r="D983" s="1" t="s">
        <v>9</v>
      </c>
      <c r="E983" s="1" t="s">
        <v>11</v>
      </c>
      <c r="F983" s="4">
        <v>68.099400000000003</v>
      </c>
      <c r="G983" s="4">
        <v>6535.2924750000002</v>
      </c>
      <c r="H983" s="4">
        <v>23.834800000000001</v>
      </c>
      <c r="I983">
        <v>9782</v>
      </c>
      <c r="J983" s="4" t="str">
        <f>IF(OR(Копия_20206[[#This Row],[Units (in 1000)]]&gt;$R$7,Копия_20206[[#This Row],[Units (in 1000)]]&lt;$R$6),"outlier","not outlier")</f>
        <v>outlier</v>
      </c>
      <c r="K983" s="4" t="str">
        <f>IF(OR(Копия_20206[[#This Row],[Value (in 1000 rub)]]&gt;$S$7,Копия_20206[[#This Row],[Value (in 1000 rub)]]&lt;$S$6),"outlier","not outlier")</f>
        <v>outlier</v>
      </c>
      <c r="L983" s="4" t="str">
        <f>IF(OR(Копия_20206[[#This Row],[Volume (in 1000 kg)]]&gt;$T$7,Копия_20206[[#This Row],[Volume (in 1000 kg)]]&lt;$T$6),"outlier","not outlier")</f>
        <v>outlier</v>
      </c>
      <c r="M983" s="4" t="str">
        <f>IF(OR(Копия_20206[[#This Row],[Number of stores]]&gt;$U$7,Копия_20206[[#This Row],[Number of stores]]&lt;$U$6),"outlier","not outlier")</f>
        <v>outlier</v>
      </c>
    </row>
    <row r="984" spans="1:13" x14ac:dyDescent="0.25">
      <c r="A984">
        <v>2021</v>
      </c>
      <c r="B984">
        <v>9</v>
      </c>
      <c r="C984" s="1" t="s">
        <v>25</v>
      </c>
      <c r="D984" s="1" t="s">
        <v>9</v>
      </c>
      <c r="E984" s="1" t="s">
        <v>12</v>
      </c>
      <c r="F984" s="4">
        <v>2.7738</v>
      </c>
      <c r="G984" s="4">
        <v>417.71927199999999</v>
      </c>
      <c r="H984" s="4">
        <v>1.387</v>
      </c>
      <c r="I984">
        <v>654</v>
      </c>
      <c r="J984" s="4" t="str">
        <f>IF(OR(Копия_20206[[#This Row],[Units (in 1000)]]&gt;$R$7,Копия_20206[[#This Row],[Units (in 1000)]]&lt;$R$6),"outlier","not outlier")</f>
        <v>not outlier</v>
      </c>
      <c r="K984" s="4" t="str">
        <f>IF(OR(Копия_20206[[#This Row],[Value (in 1000 rub)]]&gt;$S$7,Копия_20206[[#This Row],[Value (in 1000 rub)]]&lt;$S$6),"outlier","not outlier")</f>
        <v>not outlier</v>
      </c>
      <c r="L984" s="4" t="str">
        <f>IF(OR(Копия_20206[[#This Row],[Volume (in 1000 kg)]]&gt;$T$7,Копия_20206[[#This Row],[Volume (in 1000 kg)]]&lt;$T$6),"outlier","not outlier")</f>
        <v>not outlier</v>
      </c>
      <c r="M984" s="4" t="str">
        <f>IF(OR(Копия_20206[[#This Row],[Number of stores]]&gt;$U$7,Копия_20206[[#This Row],[Number of stores]]&lt;$U$6),"outlier","not outlier")</f>
        <v>not outlier</v>
      </c>
    </row>
    <row r="985" spans="1:13" x14ac:dyDescent="0.25">
      <c r="A985">
        <v>2021</v>
      </c>
      <c r="B985">
        <v>9</v>
      </c>
      <c r="C985" s="1" t="s">
        <v>25</v>
      </c>
      <c r="D985" s="1" t="s">
        <v>9</v>
      </c>
      <c r="E985" s="1" t="s">
        <v>13</v>
      </c>
      <c r="F985" s="4">
        <v>0.38969999999999999</v>
      </c>
      <c r="G985" s="4">
        <v>62.943620000000003</v>
      </c>
      <c r="H985" s="4">
        <v>0.2923</v>
      </c>
      <c r="I985">
        <v>245</v>
      </c>
      <c r="J985" s="4" t="str">
        <f>IF(OR(Копия_20206[[#This Row],[Units (in 1000)]]&gt;$R$7,Копия_20206[[#This Row],[Units (in 1000)]]&lt;$R$6),"outlier","not outlier")</f>
        <v>not outlier</v>
      </c>
      <c r="K985" s="4" t="str">
        <f>IF(OR(Копия_20206[[#This Row],[Value (in 1000 rub)]]&gt;$S$7,Копия_20206[[#This Row],[Value (in 1000 rub)]]&lt;$S$6),"outlier","not outlier")</f>
        <v>not outlier</v>
      </c>
      <c r="L985" s="4" t="str">
        <f>IF(OR(Копия_20206[[#This Row],[Volume (in 1000 kg)]]&gt;$T$7,Копия_20206[[#This Row],[Volume (in 1000 kg)]]&lt;$T$6),"outlier","not outlier")</f>
        <v>not outlier</v>
      </c>
      <c r="M985" s="4" t="str">
        <f>IF(OR(Копия_20206[[#This Row],[Number of stores]]&gt;$U$7,Копия_20206[[#This Row],[Number of stores]]&lt;$U$6),"outlier","not outlier")</f>
        <v>not outlier</v>
      </c>
    </row>
    <row r="986" spans="1:13" x14ac:dyDescent="0.25">
      <c r="A986">
        <v>2021</v>
      </c>
      <c r="B986">
        <v>9</v>
      </c>
      <c r="C986" s="1" t="s">
        <v>29</v>
      </c>
      <c r="D986" s="1" t="s">
        <v>9</v>
      </c>
      <c r="E986" s="1" t="s">
        <v>10</v>
      </c>
      <c r="F986" s="4">
        <v>79.053200000000004</v>
      </c>
      <c r="G986" s="4">
        <v>5065.7111249999998</v>
      </c>
      <c r="H986" s="4">
        <v>16.601199999999999</v>
      </c>
      <c r="I986">
        <v>10947</v>
      </c>
      <c r="J986" s="4" t="str">
        <f>IF(OR(Копия_20206[[#This Row],[Units (in 1000)]]&gt;$R$7,Копия_20206[[#This Row],[Units (in 1000)]]&lt;$R$6),"outlier","not outlier")</f>
        <v>outlier</v>
      </c>
      <c r="K986" s="4" t="str">
        <f>IF(OR(Копия_20206[[#This Row],[Value (in 1000 rub)]]&gt;$S$7,Копия_20206[[#This Row],[Value (in 1000 rub)]]&lt;$S$6),"outlier","not outlier")</f>
        <v>outlier</v>
      </c>
      <c r="L986" s="4" t="str">
        <f>IF(OR(Копия_20206[[#This Row],[Volume (in 1000 kg)]]&gt;$T$7,Копия_20206[[#This Row],[Volume (in 1000 kg)]]&lt;$T$6),"outlier","not outlier")</f>
        <v>outlier</v>
      </c>
      <c r="M986" s="4" t="str">
        <f>IF(OR(Копия_20206[[#This Row],[Number of stores]]&gt;$U$7,Копия_20206[[#This Row],[Number of stores]]&lt;$U$6),"outlier","not outlier")</f>
        <v>outlier</v>
      </c>
    </row>
    <row r="987" spans="1:13" x14ac:dyDescent="0.25">
      <c r="A987">
        <v>2021</v>
      </c>
      <c r="B987">
        <v>9</v>
      </c>
      <c r="C987" s="1" t="s">
        <v>29</v>
      </c>
      <c r="D987" s="1" t="s">
        <v>9</v>
      </c>
      <c r="E987" s="1" t="s">
        <v>11</v>
      </c>
      <c r="F987" s="4">
        <v>167.6062</v>
      </c>
      <c r="G987" s="4">
        <v>14523.496622000001</v>
      </c>
      <c r="H987" s="4">
        <v>58.662199999999999</v>
      </c>
      <c r="I987">
        <v>17799</v>
      </c>
      <c r="J987" s="4" t="str">
        <f>IF(OR(Копия_20206[[#This Row],[Units (in 1000)]]&gt;$R$7,Копия_20206[[#This Row],[Units (in 1000)]]&lt;$R$6),"outlier","not outlier")</f>
        <v>outlier</v>
      </c>
      <c r="K987" s="4" t="str">
        <f>IF(OR(Копия_20206[[#This Row],[Value (in 1000 rub)]]&gt;$S$7,Копия_20206[[#This Row],[Value (in 1000 rub)]]&lt;$S$6),"outlier","not outlier")</f>
        <v>outlier</v>
      </c>
      <c r="L987" s="4" t="str">
        <f>IF(OR(Копия_20206[[#This Row],[Volume (in 1000 kg)]]&gt;$T$7,Копия_20206[[#This Row],[Volume (in 1000 kg)]]&lt;$T$6),"outlier","not outlier")</f>
        <v>outlier</v>
      </c>
      <c r="M987" s="4" t="str">
        <f>IF(OR(Копия_20206[[#This Row],[Number of stores]]&gt;$U$7,Копия_20206[[#This Row],[Number of stores]]&lt;$U$6),"outlier","not outlier")</f>
        <v>outlier</v>
      </c>
    </row>
    <row r="988" spans="1:13" x14ac:dyDescent="0.25">
      <c r="A988">
        <v>2021</v>
      </c>
      <c r="B988">
        <v>9</v>
      </c>
      <c r="C988" s="1" t="s">
        <v>29</v>
      </c>
      <c r="D988" s="1" t="s">
        <v>9</v>
      </c>
      <c r="E988" s="1" t="s">
        <v>12</v>
      </c>
      <c r="F988" s="4">
        <v>10.1737</v>
      </c>
      <c r="G988" s="4">
        <v>1340.4343699999999</v>
      </c>
      <c r="H988" s="4">
        <v>5.0869</v>
      </c>
      <c r="I988">
        <v>701</v>
      </c>
      <c r="J988" s="4" t="str">
        <f>IF(OR(Копия_20206[[#This Row],[Units (in 1000)]]&gt;$R$7,Копия_20206[[#This Row],[Units (in 1000)]]&lt;$R$6),"outlier","not outlier")</f>
        <v>not outlier</v>
      </c>
      <c r="K988" s="4" t="str">
        <f>IF(OR(Копия_20206[[#This Row],[Value (in 1000 rub)]]&gt;$S$7,Копия_20206[[#This Row],[Value (in 1000 rub)]]&lt;$S$6),"outlier","not outlier")</f>
        <v>not outlier</v>
      </c>
      <c r="L988" s="4" t="str">
        <f>IF(OR(Копия_20206[[#This Row],[Volume (in 1000 kg)]]&gt;$T$7,Копия_20206[[#This Row],[Volume (in 1000 kg)]]&lt;$T$6),"outlier","not outlier")</f>
        <v>not outlier</v>
      </c>
      <c r="M988" s="4" t="str">
        <f>IF(OR(Копия_20206[[#This Row],[Number of stores]]&gt;$U$7,Копия_20206[[#This Row],[Number of stores]]&lt;$U$6),"outlier","not outlier")</f>
        <v>not outlier</v>
      </c>
    </row>
    <row r="989" spans="1:13" x14ac:dyDescent="0.25">
      <c r="A989">
        <v>2021</v>
      </c>
      <c r="B989">
        <v>9</v>
      </c>
      <c r="C989" s="1" t="s">
        <v>29</v>
      </c>
      <c r="D989" s="1" t="s">
        <v>9</v>
      </c>
      <c r="E989" s="1" t="s">
        <v>13</v>
      </c>
      <c r="F989" s="4">
        <v>1.26E-2</v>
      </c>
      <c r="G989" s="4">
        <v>2.5999940000000001</v>
      </c>
      <c r="H989" s="4">
        <v>9.4000000000000004E-3</v>
      </c>
      <c r="I989">
        <v>3</v>
      </c>
      <c r="J989" s="4" t="str">
        <f>IF(OR(Копия_20206[[#This Row],[Units (in 1000)]]&gt;$R$7,Копия_20206[[#This Row],[Units (in 1000)]]&lt;$R$6),"outlier","not outlier")</f>
        <v>not outlier</v>
      </c>
      <c r="K989" s="4" t="str">
        <f>IF(OR(Копия_20206[[#This Row],[Value (in 1000 rub)]]&gt;$S$7,Копия_20206[[#This Row],[Value (in 1000 rub)]]&lt;$S$6),"outlier","not outlier")</f>
        <v>not outlier</v>
      </c>
      <c r="L989" s="4" t="str">
        <f>IF(OR(Копия_20206[[#This Row],[Volume (in 1000 kg)]]&gt;$T$7,Копия_20206[[#This Row],[Volume (in 1000 kg)]]&lt;$T$6),"outlier","not outlier")</f>
        <v>not outlier</v>
      </c>
      <c r="M989" s="4" t="str">
        <f>IF(OR(Копия_20206[[#This Row],[Number of stores]]&gt;$U$7,Копия_20206[[#This Row],[Number of stores]]&lt;$U$6),"outlier","not outlier")</f>
        <v>not outlier</v>
      </c>
    </row>
    <row r="990" spans="1:13" x14ac:dyDescent="0.25">
      <c r="A990">
        <v>2021</v>
      </c>
      <c r="B990">
        <v>10</v>
      </c>
      <c r="C990" s="1" t="s">
        <v>8</v>
      </c>
      <c r="D990" s="1" t="s">
        <v>9</v>
      </c>
      <c r="E990" s="1" t="s">
        <v>10</v>
      </c>
      <c r="F990" s="4">
        <v>13.7742</v>
      </c>
      <c r="G990" s="4">
        <v>838.31649200000004</v>
      </c>
      <c r="H990" s="4">
        <v>2.8925000000000001</v>
      </c>
      <c r="I990">
        <v>476</v>
      </c>
      <c r="J990" s="4" t="str">
        <f>IF(OR(Копия_20206[[#This Row],[Units (in 1000)]]&gt;$R$7,Копия_20206[[#This Row],[Units (in 1000)]]&lt;$R$6),"outlier","not outlier")</f>
        <v>not outlier</v>
      </c>
      <c r="K990" s="4" t="str">
        <f>IF(OR(Копия_20206[[#This Row],[Value (in 1000 rub)]]&gt;$S$7,Копия_20206[[#This Row],[Value (in 1000 rub)]]&lt;$S$6),"outlier","not outlier")</f>
        <v>not outlier</v>
      </c>
      <c r="L990" s="4" t="str">
        <f>IF(OR(Копия_20206[[#This Row],[Volume (in 1000 kg)]]&gt;$T$7,Копия_20206[[#This Row],[Volume (in 1000 kg)]]&lt;$T$6),"outlier","not outlier")</f>
        <v>not outlier</v>
      </c>
      <c r="M990" s="4" t="str">
        <f>IF(OR(Копия_20206[[#This Row],[Number of stores]]&gt;$U$7,Копия_20206[[#This Row],[Number of stores]]&lt;$U$6),"outlier","not outlier")</f>
        <v>not outlier</v>
      </c>
    </row>
    <row r="991" spans="1:13" x14ac:dyDescent="0.25">
      <c r="A991">
        <v>2021</v>
      </c>
      <c r="B991">
        <v>10</v>
      </c>
      <c r="C991" s="1" t="s">
        <v>8</v>
      </c>
      <c r="D991" s="1" t="s">
        <v>9</v>
      </c>
      <c r="E991" s="1" t="s">
        <v>11</v>
      </c>
      <c r="F991" s="4">
        <v>74.197199999999995</v>
      </c>
      <c r="G991" s="4">
        <v>6333.9268499999998</v>
      </c>
      <c r="H991" s="4">
        <v>25.968900000000001</v>
      </c>
      <c r="I991">
        <v>789</v>
      </c>
      <c r="J991" s="4" t="str">
        <f>IF(OR(Копия_20206[[#This Row],[Units (in 1000)]]&gt;$R$7,Копия_20206[[#This Row],[Units (in 1000)]]&lt;$R$6),"outlier","not outlier")</f>
        <v>outlier</v>
      </c>
      <c r="K991" s="4" t="str">
        <f>IF(OR(Копия_20206[[#This Row],[Value (in 1000 rub)]]&gt;$S$7,Копия_20206[[#This Row],[Value (in 1000 rub)]]&lt;$S$6),"outlier","not outlier")</f>
        <v>outlier</v>
      </c>
      <c r="L991" s="4" t="str">
        <f>IF(OR(Копия_20206[[#This Row],[Volume (in 1000 kg)]]&gt;$T$7,Копия_20206[[#This Row],[Volume (in 1000 kg)]]&lt;$T$6),"outlier","not outlier")</f>
        <v>outlier</v>
      </c>
      <c r="M991" s="4" t="str">
        <f>IF(OR(Копия_20206[[#This Row],[Number of stores]]&gt;$U$7,Копия_20206[[#This Row],[Number of stores]]&lt;$U$6),"outlier","not outlier")</f>
        <v>not outlier</v>
      </c>
    </row>
    <row r="992" spans="1:13" x14ac:dyDescent="0.25">
      <c r="A992">
        <v>2021</v>
      </c>
      <c r="B992">
        <v>10</v>
      </c>
      <c r="C992" s="1" t="s">
        <v>8</v>
      </c>
      <c r="D992" s="1" t="s">
        <v>9</v>
      </c>
      <c r="E992" s="1" t="s">
        <v>12</v>
      </c>
      <c r="F992" s="4">
        <v>23.3262</v>
      </c>
      <c r="G992" s="4">
        <v>2967.550514</v>
      </c>
      <c r="H992" s="4">
        <v>11.6632</v>
      </c>
      <c r="I992">
        <v>652</v>
      </c>
      <c r="J992" s="4" t="str">
        <f>IF(OR(Копия_20206[[#This Row],[Units (in 1000)]]&gt;$R$7,Копия_20206[[#This Row],[Units (in 1000)]]&lt;$R$6),"outlier","not outlier")</f>
        <v>outlier</v>
      </c>
      <c r="K992" s="4" t="str">
        <f>IF(OR(Копия_20206[[#This Row],[Value (in 1000 rub)]]&gt;$S$7,Копия_20206[[#This Row],[Value (in 1000 rub)]]&lt;$S$6),"outlier","not outlier")</f>
        <v>outlier</v>
      </c>
      <c r="L992" s="4" t="str">
        <f>IF(OR(Копия_20206[[#This Row],[Volume (in 1000 kg)]]&gt;$T$7,Копия_20206[[#This Row],[Volume (in 1000 kg)]]&lt;$T$6),"outlier","not outlier")</f>
        <v>outlier</v>
      </c>
      <c r="M992" s="4" t="str">
        <f>IF(OR(Копия_20206[[#This Row],[Number of stores]]&gt;$U$7,Копия_20206[[#This Row],[Number of stores]]&lt;$U$6),"outlier","not outlier")</f>
        <v>not outlier</v>
      </c>
    </row>
    <row r="993" spans="1:13" x14ac:dyDescent="0.25">
      <c r="A993">
        <v>2021</v>
      </c>
      <c r="B993">
        <v>10</v>
      </c>
      <c r="C993" s="1" t="s">
        <v>25</v>
      </c>
      <c r="D993" s="1" t="s">
        <v>9</v>
      </c>
      <c r="E993" s="1" t="s">
        <v>10</v>
      </c>
      <c r="F993" s="4">
        <v>38.1815</v>
      </c>
      <c r="G993" s="4">
        <v>2459.4233840000002</v>
      </c>
      <c r="H993" s="4">
        <v>8.0181000000000004</v>
      </c>
      <c r="I993">
        <v>6076</v>
      </c>
      <c r="J993" s="4" t="str">
        <f>IF(OR(Копия_20206[[#This Row],[Units (in 1000)]]&gt;$R$7,Копия_20206[[#This Row],[Units (in 1000)]]&lt;$R$6),"outlier","not outlier")</f>
        <v>outlier</v>
      </c>
      <c r="K993" s="4" t="str">
        <f>IF(OR(Копия_20206[[#This Row],[Value (in 1000 rub)]]&gt;$S$7,Копия_20206[[#This Row],[Value (in 1000 rub)]]&lt;$S$6),"outlier","not outlier")</f>
        <v>outlier</v>
      </c>
      <c r="L993" s="4" t="str">
        <f>IF(OR(Копия_20206[[#This Row],[Volume (in 1000 kg)]]&gt;$T$7,Копия_20206[[#This Row],[Volume (in 1000 kg)]]&lt;$T$6),"outlier","not outlier")</f>
        <v>outlier</v>
      </c>
      <c r="M993" s="4" t="str">
        <f>IF(OR(Копия_20206[[#This Row],[Number of stores]]&gt;$U$7,Копия_20206[[#This Row],[Number of stores]]&lt;$U$6),"outlier","not outlier")</f>
        <v>outlier</v>
      </c>
    </row>
    <row r="994" spans="1:13" x14ac:dyDescent="0.25">
      <c r="A994">
        <v>2021</v>
      </c>
      <c r="B994">
        <v>10</v>
      </c>
      <c r="C994" s="1" t="s">
        <v>25</v>
      </c>
      <c r="D994" s="1" t="s">
        <v>9</v>
      </c>
      <c r="E994" s="1" t="s">
        <v>11</v>
      </c>
      <c r="F994" s="4">
        <v>85.807000000000002</v>
      </c>
      <c r="G994" s="4">
        <v>7416.6545999999998</v>
      </c>
      <c r="H994" s="4">
        <v>30.032499999999999</v>
      </c>
      <c r="I994">
        <v>10542</v>
      </c>
      <c r="J994" s="4" t="str">
        <f>IF(OR(Копия_20206[[#This Row],[Units (in 1000)]]&gt;$R$7,Копия_20206[[#This Row],[Units (in 1000)]]&lt;$R$6),"outlier","not outlier")</f>
        <v>outlier</v>
      </c>
      <c r="K994" s="4" t="str">
        <f>IF(OR(Копия_20206[[#This Row],[Value (in 1000 rub)]]&gt;$S$7,Копия_20206[[#This Row],[Value (in 1000 rub)]]&lt;$S$6),"outlier","not outlier")</f>
        <v>outlier</v>
      </c>
      <c r="L994" s="4" t="str">
        <f>IF(OR(Копия_20206[[#This Row],[Volume (in 1000 kg)]]&gt;$T$7,Копия_20206[[#This Row],[Volume (in 1000 kg)]]&lt;$T$6),"outlier","not outlier")</f>
        <v>outlier</v>
      </c>
      <c r="M994" s="4" t="str">
        <f>IF(OR(Копия_20206[[#This Row],[Number of stores]]&gt;$U$7,Копия_20206[[#This Row],[Number of stores]]&lt;$U$6),"outlier","not outlier")</f>
        <v>outlier</v>
      </c>
    </row>
    <row r="995" spans="1:13" x14ac:dyDescent="0.25">
      <c r="A995">
        <v>2021</v>
      </c>
      <c r="B995">
        <v>10</v>
      </c>
      <c r="C995" s="1" t="s">
        <v>25</v>
      </c>
      <c r="D995" s="1" t="s">
        <v>9</v>
      </c>
      <c r="E995" s="1" t="s">
        <v>12</v>
      </c>
      <c r="F995" s="4">
        <v>1.7193000000000001</v>
      </c>
      <c r="G995" s="4">
        <v>266.12443999999999</v>
      </c>
      <c r="H995" s="4">
        <v>0.85960000000000003</v>
      </c>
      <c r="I995">
        <v>540</v>
      </c>
      <c r="J995" s="4" t="str">
        <f>IF(OR(Копия_20206[[#This Row],[Units (in 1000)]]&gt;$R$7,Копия_20206[[#This Row],[Units (in 1000)]]&lt;$R$6),"outlier","not outlier")</f>
        <v>not outlier</v>
      </c>
      <c r="K995" s="4" t="str">
        <f>IF(OR(Копия_20206[[#This Row],[Value (in 1000 rub)]]&gt;$S$7,Копия_20206[[#This Row],[Value (in 1000 rub)]]&lt;$S$6),"outlier","not outlier")</f>
        <v>not outlier</v>
      </c>
      <c r="L995" s="4" t="str">
        <f>IF(OR(Копия_20206[[#This Row],[Volume (in 1000 kg)]]&gt;$T$7,Копия_20206[[#This Row],[Volume (in 1000 kg)]]&lt;$T$6),"outlier","not outlier")</f>
        <v>not outlier</v>
      </c>
      <c r="M995" s="4" t="str">
        <f>IF(OR(Копия_20206[[#This Row],[Number of stores]]&gt;$U$7,Копия_20206[[#This Row],[Number of stores]]&lt;$U$6),"outlier","not outlier")</f>
        <v>not outlier</v>
      </c>
    </row>
    <row r="996" spans="1:13" x14ac:dyDescent="0.25">
      <c r="A996">
        <v>2021</v>
      </c>
      <c r="B996">
        <v>10</v>
      </c>
      <c r="C996" s="1" t="s">
        <v>25</v>
      </c>
      <c r="D996" s="1" t="s">
        <v>9</v>
      </c>
      <c r="E996" s="1" t="s">
        <v>13</v>
      </c>
      <c r="F996" s="4">
        <v>0.4027</v>
      </c>
      <c r="G996" s="4">
        <v>65.041677000000007</v>
      </c>
      <c r="H996" s="4">
        <v>0.30199999999999999</v>
      </c>
      <c r="I996">
        <v>245</v>
      </c>
      <c r="J996" s="4" t="str">
        <f>IF(OR(Копия_20206[[#This Row],[Units (in 1000)]]&gt;$R$7,Копия_20206[[#This Row],[Units (in 1000)]]&lt;$R$6),"outlier","not outlier")</f>
        <v>not outlier</v>
      </c>
      <c r="K996" s="4" t="str">
        <f>IF(OR(Копия_20206[[#This Row],[Value (in 1000 rub)]]&gt;$S$7,Копия_20206[[#This Row],[Value (in 1000 rub)]]&lt;$S$6),"outlier","not outlier")</f>
        <v>not outlier</v>
      </c>
      <c r="L996" s="4" t="str">
        <f>IF(OR(Копия_20206[[#This Row],[Volume (in 1000 kg)]]&gt;$T$7,Копия_20206[[#This Row],[Volume (in 1000 kg)]]&lt;$T$6),"outlier","not outlier")</f>
        <v>not outlier</v>
      </c>
      <c r="M996" s="4" t="str">
        <f>IF(OR(Копия_20206[[#This Row],[Number of stores]]&gt;$U$7,Копия_20206[[#This Row],[Number of stores]]&lt;$U$6),"outlier","not outlier")</f>
        <v>not outlier</v>
      </c>
    </row>
    <row r="997" spans="1:13" x14ac:dyDescent="0.25">
      <c r="A997">
        <v>2021</v>
      </c>
      <c r="B997">
        <v>10</v>
      </c>
      <c r="C997" s="1" t="s">
        <v>29</v>
      </c>
      <c r="D997" s="1" t="s">
        <v>9</v>
      </c>
      <c r="E997" s="1" t="s">
        <v>10</v>
      </c>
      <c r="F997" s="4">
        <v>126.6332</v>
      </c>
      <c r="G997" s="4">
        <v>7484.2811529999999</v>
      </c>
      <c r="H997" s="4">
        <v>26.593</v>
      </c>
      <c r="I997">
        <v>11784</v>
      </c>
      <c r="J997" s="4" t="str">
        <f>IF(OR(Копия_20206[[#This Row],[Units (in 1000)]]&gt;$R$7,Копия_20206[[#This Row],[Units (in 1000)]]&lt;$R$6),"outlier","not outlier")</f>
        <v>outlier</v>
      </c>
      <c r="K997" s="4" t="str">
        <f>IF(OR(Копия_20206[[#This Row],[Value (in 1000 rub)]]&gt;$S$7,Копия_20206[[#This Row],[Value (in 1000 rub)]]&lt;$S$6),"outlier","not outlier")</f>
        <v>outlier</v>
      </c>
      <c r="L997" s="4" t="str">
        <f>IF(OR(Копия_20206[[#This Row],[Volume (in 1000 kg)]]&gt;$T$7,Копия_20206[[#This Row],[Volume (in 1000 kg)]]&lt;$T$6),"outlier","not outlier")</f>
        <v>outlier</v>
      </c>
      <c r="M997" s="4" t="str">
        <f>IF(OR(Копия_20206[[#This Row],[Number of stores]]&gt;$U$7,Копия_20206[[#This Row],[Number of stores]]&lt;$U$6),"outlier","not outlier")</f>
        <v>outlier</v>
      </c>
    </row>
    <row r="998" spans="1:13" x14ac:dyDescent="0.25">
      <c r="A998">
        <v>2021</v>
      </c>
      <c r="B998">
        <v>10</v>
      </c>
      <c r="C998" s="1" t="s">
        <v>29</v>
      </c>
      <c r="D998" s="1" t="s">
        <v>9</v>
      </c>
      <c r="E998" s="1" t="s">
        <v>11</v>
      </c>
      <c r="F998" s="4">
        <v>188.81450000000001</v>
      </c>
      <c r="G998" s="4">
        <v>15760.805762</v>
      </c>
      <c r="H998" s="4">
        <v>66.085099999999997</v>
      </c>
      <c r="I998">
        <v>17949</v>
      </c>
      <c r="J998" s="4" t="str">
        <f>IF(OR(Копия_20206[[#This Row],[Units (in 1000)]]&gt;$R$7,Копия_20206[[#This Row],[Units (in 1000)]]&lt;$R$6),"outlier","not outlier")</f>
        <v>outlier</v>
      </c>
      <c r="K998" s="4" t="str">
        <f>IF(OR(Копия_20206[[#This Row],[Value (in 1000 rub)]]&gt;$S$7,Копия_20206[[#This Row],[Value (in 1000 rub)]]&lt;$S$6),"outlier","not outlier")</f>
        <v>outlier</v>
      </c>
      <c r="L998" s="4" t="str">
        <f>IF(OR(Копия_20206[[#This Row],[Volume (in 1000 kg)]]&gt;$T$7,Копия_20206[[#This Row],[Volume (in 1000 kg)]]&lt;$T$6),"outlier","not outlier")</f>
        <v>outlier</v>
      </c>
      <c r="M998" s="4" t="str">
        <f>IF(OR(Копия_20206[[#This Row],[Number of stores]]&gt;$U$7,Копия_20206[[#This Row],[Number of stores]]&lt;$U$6),"outlier","not outlier")</f>
        <v>outlier</v>
      </c>
    </row>
    <row r="999" spans="1:13" x14ac:dyDescent="0.25">
      <c r="A999">
        <v>2021</v>
      </c>
      <c r="B999">
        <v>10</v>
      </c>
      <c r="C999" s="1" t="s">
        <v>29</v>
      </c>
      <c r="D999" s="1" t="s">
        <v>9</v>
      </c>
      <c r="E999" s="1" t="s">
        <v>12</v>
      </c>
      <c r="F999" s="4">
        <v>7.1569000000000003</v>
      </c>
      <c r="G999" s="4">
        <v>1051.793848</v>
      </c>
      <c r="H999" s="4">
        <v>3.5785</v>
      </c>
      <c r="I999">
        <v>680</v>
      </c>
      <c r="J999" s="4" t="str">
        <f>IF(OR(Копия_20206[[#This Row],[Units (in 1000)]]&gt;$R$7,Копия_20206[[#This Row],[Units (in 1000)]]&lt;$R$6),"outlier","not outlier")</f>
        <v>not outlier</v>
      </c>
      <c r="K999" s="4" t="str">
        <f>IF(OR(Копия_20206[[#This Row],[Value (in 1000 rub)]]&gt;$S$7,Копия_20206[[#This Row],[Value (in 1000 rub)]]&lt;$S$6),"outlier","not outlier")</f>
        <v>not outlier</v>
      </c>
      <c r="L999" s="4" t="str">
        <f>IF(OR(Копия_20206[[#This Row],[Volume (in 1000 kg)]]&gt;$T$7,Копия_20206[[#This Row],[Volume (in 1000 kg)]]&lt;$T$6),"outlier","not outlier")</f>
        <v>not outlier</v>
      </c>
      <c r="M999" s="4" t="str">
        <f>IF(OR(Копия_20206[[#This Row],[Number of stores]]&gt;$U$7,Копия_20206[[#This Row],[Number of stores]]&lt;$U$6),"outlier","not outlier")</f>
        <v>not outlier</v>
      </c>
    </row>
    <row r="1000" spans="1:13" x14ac:dyDescent="0.25">
      <c r="A1000">
        <v>2021</v>
      </c>
      <c r="B1000">
        <v>10</v>
      </c>
      <c r="C1000" s="1" t="s">
        <v>29</v>
      </c>
      <c r="D1000" s="1" t="s">
        <v>9</v>
      </c>
      <c r="E1000" s="1" t="s">
        <v>13</v>
      </c>
      <c r="F1000" s="4">
        <v>1.21E-2</v>
      </c>
      <c r="G1000" s="4">
        <v>1.881435</v>
      </c>
      <c r="H1000" s="4">
        <v>8.9999999999999993E-3</v>
      </c>
      <c r="I1000">
        <v>3</v>
      </c>
      <c r="J1000" s="4" t="str">
        <f>IF(OR(Копия_20206[[#This Row],[Units (in 1000)]]&gt;$R$7,Копия_20206[[#This Row],[Units (in 1000)]]&lt;$R$6),"outlier","not outlier")</f>
        <v>not outlier</v>
      </c>
      <c r="K1000" s="4" t="str">
        <f>IF(OR(Копия_20206[[#This Row],[Value (in 1000 rub)]]&gt;$S$7,Копия_20206[[#This Row],[Value (in 1000 rub)]]&lt;$S$6),"outlier","not outlier")</f>
        <v>not outlier</v>
      </c>
      <c r="L1000" s="4" t="str">
        <f>IF(OR(Копия_20206[[#This Row],[Volume (in 1000 kg)]]&gt;$T$7,Копия_20206[[#This Row],[Volume (in 1000 kg)]]&lt;$T$6),"outlier","not outlier")</f>
        <v>not outlier</v>
      </c>
      <c r="M1000" s="4" t="str">
        <f>IF(OR(Копия_20206[[#This Row],[Number of stores]]&gt;$U$7,Копия_20206[[#This Row],[Number of stores]]&lt;$U$6),"outlier","not outlier")</f>
        <v>not outlier</v>
      </c>
    </row>
    <row r="1001" spans="1:13" x14ac:dyDescent="0.25">
      <c r="A1001">
        <v>2021</v>
      </c>
      <c r="B1001">
        <v>11</v>
      </c>
      <c r="C1001" s="1" t="s">
        <v>8</v>
      </c>
      <c r="D1001" s="1" t="s">
        <v>9</v>
      </c>
      <c r="E1001" s="1" t="s">
        <v>10</v>
      </c>
      <c r="F1001" s="4">
        <v>9.3453999999999997</v>
      </c>
      <c r="G1001" s="4">
        <v>632.65947200000005</v>
      </c>
      <c r="H1001" s="4">
        <v>1.9624999999999999</v>
      </c>
      <c r="I1001">
        <v>445</v>
      </c>
      <c r="J1001" s="4" t="str">
        <f>IF(OR(Копия_20206[[#This Row],[Units (in 1000)]]&gt;$R$7,Копия_20206[[#This Row],[Units (in 1000)]]&lt;$R$6),"outlier","not outlier")</f>
        <v>not outlier</v>
      </c>
      <c r="K1001" s="4" t="str">
        <f>IF(OR(Копия_20206[[#This Row],[Value (in 1000 rub)]]&gt;$S$7,Копия_20206[[#This Row],[Value (in 1000 rub)]]&lt;$S$6),"outlier","not outlier")</f>
        <v>not outlier</v>
      </c>
      <c r="L1001" s="4" t="str">
        <f>IF(OR(Копия_20206[[#This Row],[Volume (in 1000 kg)]]&gt;$T$7,Копия_20206[[#This Row],[Volume (in 1000 kg)]]&lt;$T$6),"outlier","not outlier")</f>
        <v>not outlier</v>
      </c>
      <c r="M1001" s="4" t="str">
        <f>IF(OR(Копия_20206[[#This Row],[Number of stores]]&gt;$U$7,Копия_20206[[#This Row],[Number of stores]]&lt;$U$6),"outlier","not outlier")</f>
        <v>not outlier</v>
      </c>
    </row>
    <row r="1002" spans="1:13" x14ac:dyDescent="0.25">
      <c r="A1002">
        <v>2021</v>
      </c>
      <c r="B1002">
        <v>11</v>
      </c>
      <c r="C1002" s="1" t="s">
        <v>8</v>
      </c>
      <c r="D1002" s="1" t="s">
        <v>9</v>
      </c>
      <c r="E1002" s="1" t="s">
        <v>11</v>
      </c>
      <c r="F1002" s="4">
        <v>49.512900000000002</v>
      </c>
      <c r="G1002" s="4">
        <v>4733.2281039999998</v>
      </c>
      <c r="H1002" s="4">
        <v>17.329599999999999</v>
      </c>
      <c r="I1002">
        <v>780</v>
      </c>
      <c r="J1002" s="4" t="str">
        <f>IF(OR(Копия_20206[[#This Row],[Units (in 1000)]]&gt;$R$7,Копия_20206[[#This Row],[Units (in 1000)]]&lt;$R$6),"outlier","not outlier")</f>
        <v>outlier</v>
      </c>
      <c r="K1002" s="4" t="str">
        <f>IF(OR(Копия_20206[[#This Row],[Value (in 1000 rub)]]&gt;$S$7,Копия_20206[[#This Row],[Value (in 1000 rub)]]&lt;$S$6),"outlier","not outlier")</f>
        <v>outlier</v>
      </c>
      <c r="L1002" s="4" t="str">
        <f>IF(OR(Копия_20206[[#This Row],[Volume (in 1000 kg)]]&gt;$T$7,Копия_20206[[#This Row],[Volume (in 1000 kg)]]&lt;$T$6),"outlier","not outlier")</f>
        <v>outlier</v>
      </c>
      <c r="M1002" s="4" t="str">
        <f>IF(OR(Копия_20206[[#This Row],[Number of stores]]&gt;$U$7,Копия_20206[[#This Row],[Number of stores]]&lt;$U$6),"outlier","not outlier")</f>
        <v>not outlier</v>
      </c>
    </row>
    <row r="1003" spans="1:13" x14ac:dyDescent="0.25">
      <c r="A1003">
        <v>2021</v>
      </c>
      <c r="B1003">
        <v>11</v>
      </c>
      <c r="C1003" s="1" t="s">
        <v>8</v>
      </c>
      <c r="D1003" s="1" t="s">
        <v>9</v>
      </c>
      <c r="E1003" s="1" t="s">
        <v>12</v>
      </c>
      <c r="F1003" s="4">
        <v>48.857700000000001</v>
      </c>
      <c r="G1003" s="4">
        <v>5155.983123</v>
      </c>
      <c r="H1003" s="4">
        <v>24.428899999999999</v>
      </c>
      <c r="I1003">
        <v>670</v>
      </c>
      <c r="J1003" s="4" t="str">
        <f>IF(OR(Копия_20206[[#This Row],[Units (in 1000)]]&gt;$R$7,Копия_20206[[#This Row],[Units (in 1000)]]&lt;$R$6),"outlier","not outlier")</f>
        <v>outlier</v>
      </c>
      <c r="K1003" s="4" t="str">
        <f>IF(OR(Копия_20206[[#This Row],[Value (in 1000 rub)]]&gt;$S$7,Копия_20206[[#This Row],[Value (in 1000 rub)]]&lt;$S$6),"outlier","not outlier")</f>
        <v>outlier</v>
      </c>
      <c r="L1003" s="4" t="str">
        <f>IF(OR(Копия_20206[[#This Row],[Volume (in 1000 kg)]]&gt;$T$7,Копия_20206[[#This Row],[Volume (in 1000 kg)]]&lt;$T$6),"outlier","not outlier")</f>
        <v>outlier</v>
      </c>
      <c r="M1003" s="4" t="str">
        <f>IF(OR(Копия_20206[[#This Row],[Number of stores]]&gt;$U$7,Копия_20206[[#This Row],[Number of stores]]&lt;$U$6),"outlier","not outlier")</f>
        <v>not outlier</v>
      </c>
    </row>
    <row r="1004" spans="1:13" x14ac:dyDescent="0.25">
      <c r="A1004">
        <v>2021</v>
      </c>
      <c r="B1004">
        <v>11</v>
      </c>
      <c r="C1004" s="1" t="s">
        <v>25</v>
      </c>
      <c r="D1004" s="1" t="s">
        <v>9</v>
      </c>
      <c r="E1004" s="1" t="s">
        <v>10</v>
      </c>
      <c r="F1004" s="4">
        <v>26.677800000000001</v>
      </c>
      <c r="G1004" s="4">
        <v>1862.5270169999999</v>
      </c>
      <c r="H1004" s="4">
        <v>5.6022999999999996</v>
      </c>
      <c r="I1004">
        <v>5924</v>
      </c>
      <c r="J1004" s="4" t="str">
        <f>IF(OR(Копия_20206[[#This Row],[Units (in 1000)]]&gt;$R$7,Копия_20206[[#This Row],[Units (in 1000)]]&lt;$R$6),"outlier","not outlier")</f>
        <v>outlier</v>
      </c>
      <c r="K1004" s="4" t="str">
        <f>IF(OR(Копия_20206[[#This Row],[Value (in 1000 rub)]]&gt;$S$7,Копия_20206[[#This Row],[Value (in 1000 rub)]]&lt;$S$6),"outlier","not outlier")</f>
        <v>not outlier</v>
      </c>
      <c r="L1004" s="4" t="str">
        <f>IF(OR(Копия_20206[[#This Row],[Volume (in 1000 kg)]]&gt;$T$7,Копия_20206[[#This Row],[Volume (in 1000 kg)]]&lt;$T$6),"outlier","not outlier")</f>
        <v>not outlier</v>
      </c>
      <c r="M1004" s="4" t="str">
        <f>IF(OR(Копия_20206[[#This Row],[Number of stores]]&gt;$U$7,Копия_20206[[#This Row],[Number of stores]]&lt;$U$6),"outlier","not outlier")</f>
        <v>outlier</v>
      </c>
    </row>
    <row r="1005" spans="1:13" x14ac:dyDescent="0.25">
      <c r="A1005">
        <v>2021</v>
      </c>
      <c r="B1005">
        <v>11</v>
      </c>
      <c r="C1005" s="1" t="s">
        <v>25</v>
      </c>
      <c r="D1005" s="1" t="s">
        <v>9</v>
      </c>
      <c r="E1005" s="1" t="s">
        <v>11</v>
      </c>
      <c r="F1005" s="4">
        <v>65.960099999999997</v>
      </c>
      <c r="G1005" s="4">
        <v>6276.6479559999998</v>
      </c>
      <c r="H1005" s="4">
        <v>23.085899999999999</v>
      </c>
      <c r="I1005">
        <v>10158</v>
      </c>
      <c r="J1005" s="4" t="str">
        <f>IF(OR(Копия_20206[[#This Row],[Units (in 1000)]]&gt;$R$7,Копия_20206[[#This Row],[Units (in 1000)]]&lt;$R$6),"outlier","not outlier")</f>
        <v>outlier</v>
      </c>
      <c r="K1005" s="4" t="str">
        <f>IF(OR(Копия_20206[[#This Row],[Value (in 1000 rub)]]&gt;$S$7,Копия_20206[[#This Row],[Value (in 1000 rub)]]&lt;$S$6),"outlier","not outlier")</f>
        <v>outlier</v>
      </c>
      <c r="L1005" s="4" t="str">
        <f>IF(OR(Копия_20206[[#This Row],[Volume (in 1000 kg)]]&gt;$T$7,Копия_20206[[#This Row],[Volume (in 1000 kg)]]&lt;$T$6),"outlier","not outlier")</f>
        <v>outlier</v>
      </c>
      <c r="M1005" s="4" t="str">
        <f>IF(OR(Копия_20206[[#This Row],[Number of stores]]&gt;$U$7,Копия_20206[[#This Row],[Number of stores]]&lt;$U$6),"outlier","not outlier")</f>
        <v>outlier</v>
      </c>
    </row>
    <row r="1006" spans="1:13" x14ac:dyDescent="0.25">
      <c r="A1006">
        <v>2021</v>
      </c>
      <c r="B1006">
        <v>11</v>
      </c>
      <c r="C1006" s="1" t="s">
        <v>25</v>
      </c>
      <c r="D1006" s="1" t="s">
        <v>9</v>
      </c>
      <c r="E1006" s="1" t="s">
        <v>12</v>
      </c>
      <c r="F1006" s="4">
        <v>1.9498</v>
      </c>
      <c r="G1006" s="4">
        <v>303.85544299999998</v>
      </c>
      <c r="H1006" s="4">
        <v>0.97489999999999999</v>
      </c>
      <c r="I1006">
        <v>545</v>
      </c>
      <c r="J1006" s="4" t="str">
        <f>IF(OR(Копия_20206[[#This Row],[Units (in 1000)]]&gt;$R$7,Копия_20206[[#This Row],[Units (in 1000)]]&lt;$R$6),"outlier","not outlier")</f>
        <v>not outlier</v>
      </c>
      <c r="K1006" s="4" t="str">
        <f>IF(OR(Копия_20206[[#This Row],[Value (in 1000 rub)]]&gt;$S$7,Копия_20206[[#This Row],[Value (in 1000 rub)]]&lt;$S$6),"outlier","not outlier")</f>
        <v>not outlier</v>
      </c>
      <c r="L1006" s="4" t="str">
        <f>IF(OR(Копия_20206[[#This Row],[Volume (in 1000 kg)]]&gt;$T$7,Копия_20206[[#This Row],[Volume (in 1000 kg)]]&lt;$T$6),"outlier","not outlier")</f>
        <v>not outlier</v>
      </c>
      <c r="M1006" s="4" t="str">
        <f>IF(OR(Копия_20206[[#This Row],[Number of stores]]&gt;$U$7,Копия_20206[[#This Row],[Number of stores]]&lt;$U$6),"outlier","not outlier")</f>
        <v>not outlier</v>
      </c>
    </row>
    <row r="1007" spans="1:13" x14ac:dyDescent="0.25">
      <c r="A1007">
        <v>2021</v>
      </c>
      <c r="B1007">
        <v>11</v>
      </c>
      <c r="C1007" s="1" t="s">
        <v>25</v>
      </c>
      <c r="D1007" s="1" t="s">
        <v>9</v>
      </c>
      <c r="E1007" s="1" t="s">
        <v>13</v>
      </c>
      <c r="F1007" s="4">
        <v>0.27650000000000002</v>
      </c>
      <c r="G1007" s="4">
        <v>44.648980999999999</v>
      </c>
      <c r="H1007" s="4">
        <v>0.20730000000000001</v>
      </c>
      <c r="I1007">
        <v>163</v>
      </c>
      <c r="J1007" s="4" t="str">
        <f>IF(OR(Копия_20206[[#This Row],[Units (in 1000)]]&gt;$R$7,Копия_20206[[#This Row],[Units (in 1000)]]&lt;$R$6),"outlier","not outlier")</f>
        <v>not outlier</v>
      </c>
      <c r="K1007" s="4" t="str">
        <f>IF(OR(Копия_20206[[#This Row],[Value (in 1000 rub)]]&gt;$S$7,Копия_20206[[#This Row],[Value (in 1000 rub)]]&lt;$S$6),"outlier","not outlier")</f>
        <v>not outlier</v>
      </c>
      <c r="L1007" s="4" t="str">
        <f>IF(OR(Копия_20206[[#This Row],[Volume (in 1000 kg)]]&gt;$T$7,Копия_20206[[#This Row],[Volume (in 1000 kg)]]&lt;$T$6),"outlier","not outlier")</f>
        <v>not outlier</v>
      </c>
      <c r="M1007" s="4" t="str">
        <f>IF(OR(Копия_20206[[#This Row],[Number of stores]]&gt;$U$7,Копия_20206[[#This Row],[Number of stores]]&lt;$U$6),"outlier","not outlier")</f>
        <v>not outlier</v>
      </c>
    </row>
    <row r="1008" spans="1:13" x14ac:dyDescent="0.25">
      <c r="A1008">
        <v>2021</v>
      </c>
      <c r="B1008">
        <v>11</v>
      </c>
      <c r="C1008" s="1" t="s">
        <v>29</v>
      </c>
      <c r="D1008" s="1" t="s">
        <v>9</v>
      </c>
      <c r="E1008" s="1" t="s">
        <v>10</v>
      </c>
      <c r="F1008" s="4">
        <v>91.028199999999998</v>
      </c>
      <c r="G1008" s="4">
        <v>5751.8504190000003</v>
      </c>
      <c r="H1008" s="4">
        <v>19.116</v>
      </c>
      <c r="I1008">
        <v>11309</v>
      </c>
      <c r="J1008" s="4" t="str">
        <f>IF(OR(Копия_20206[[#This Row],[Units (in 1000)]]&gt;$R$7,Копия_20206[[#This Row],[Units (in 1000)]]&lt;$R$6),"outlier","not outlier")</f>
        <v>outlier</v>
      </c>
      <c r="K1008" s="4" t="str">
        <f>IF(OR(Копия_20206[[#This Row],[Value (in 1000 rub)]]&gt;$S$7,Копия_20206[[#This Row],[Value (in 1000 rub)]]&lt;$S$6),"outlier","not outlier")</f>
        <v>outlier</v>
      </c>
      <c r="L1008" s="4" t="str">
        <f>IF(OR(Копия_20206[[#This Row],[Volume (in 1000 kg)]]&gt;$T$7,Копия_20206[[#This Row],[Volume (in 1000 kg)]]&lt;$T$6),"outlier","not outlier")</f>
        <v>outlier</v>
      </c>
      <c r="M1008" s="4" t="str">
        <f>IF(OR(Копия_20206[[#This Row],[Number of stores]]&gt;$U$7,Копия_20206[[#This Row],[Number of stores]]&lt;$U$6),"outlier","not outlier")</f>
        <v>outlier</v>
      </c>
    </row>
    <row r="1009" spans="1:13" x14ac:dyDescent="0.25">
      <c r="A1009">
        <v>2021</v>
      </c>
      <c r="B1009">
        <v>11</v>
      </c>
      <c r="C1009" s="1" t="s">
        <v>29</v>
      </c>
      <c r="D1009" s="1" t="s">
        <v>9</v>
      </c>
      <c r="E1009" s="1" t="s">
        <v>11</v>
      </c>
      <c r="F1009" s="4">
        <v>148.52510000000001</v>
      </c>
      <c r="G1009" s="4">
        <v>13843.010251</v>
      </c>
      <c r="H1009" s="4">
        <v>51.983800000000002</v>
      </c>
      <c r="I1009">
        <v>17986</v>
      </c>
      <c r="J1009" s="4" t="str">
        <f>IF(OR(Копия_20206[[#This Row],[Units (in 1000)]]&gt;$R$7,Копия_20206[[#This Row],[Units (in 1000)]]&lt;$R$6),"outlier","not outlier")</f>
        <v>outlier</v>
      </c>
      <c r="K1009" s="4" t="str">
        <f>IF(OR(Копия_20206[[#This Row],[Value (in 1000 rub)]]&gt;$S$7,Копия_20206[[#This Row],[Value (in 1000 rub)]]&lt;$S$6),"outlier","not outlier")</f>
        <v>outlier</v>
      </c>
      <c r="L1009" s="4" t="str">
        <f>IF(OR(Копия_20206[[#This Row],[Volume (in 1000 kg)]]&gt;$T$7,Копия_20206[[#This Row],[Volume (in 1000 kg)]]&lt;$T$6),"outlier","not outlier")</f>
        <v>outlier</v>
      </c>
      <c r="M1009" s="4" t="str">
        <f>IF(OR(Копия_20206[[#This Row],[Number of stores]]&gt;$U$7,Копия_20206[[#This Row],[Number of stores]]&lt;$U$6),"outlier","not outlier")</f>
        <v>outlier</v>
      </c>
    </row>
    <row r="1010" spans="1:13" x14ac:dyDescent="0.25">
      <c r="A1010">
        <v>2021</v>
      </c>
      <c r="B1010">
        <v>11</v>
      </c>
      <c r="C1010" s="1" t="s">
        <v>29</v>
      </c>
      <c r="D1010" s="1" t="s">
        <v>9</v>
      </c>
      <c r="E1010" s="1" t="s">
        <v>12</v>
      </c>
      <c r="F1010" s="4">
        <v>13.1242</v>
      </c>
      <c r="G1010" s="4">
        <v>1613.783187</v>
      </c>
      <c r="H1010" s="4">
        <v>6.5621</v>
      </c>
      <c r="I1010">
        <v>721</v>
      </c>
      <c r="J1010" s="4" t="str">
        <f>IF(OR(Копия_20206[[#This Row],[Units (in 1000)]]&gt;$R$7,Копия_20206[[#This Row],[Units (in 1000)]]&lt;$R$6),"outlier","not outlier")</f>
        <v>not outlier</v>
      </c>
      <c r="K1010" s="4" t="str">
        <f>IF(OR(Копия_20206[[#This Row],[Value (in 1000 rub)]]&gt;$S$7,Копия_20206[[#This Row],[Value (in 1000 rub)]]&lt;$S$6),"outlier","not outlier")</f>
        <v>not outlier</v>
      </c>
      <c r="L1010" s="4" t="str">
        <f>IF(OR(Копия_20206[[#This Row],[Volume (in 1000 kg)]]&gt;$T$7,Копия_20206[[#This Row],[Volume (in 1000 kg)]]&lt;$T$6),"outlier","not outlier")</f>
        <v>not outlier</v>
      </c>
      <c r="M1010" s="4" t="str">
        <f>IF(OR(Копия_20206[[#This Row],[Number of stores]]&gt;$U$7,Копия_20206[[#This Row],[Number of stores]]&lt;$U$6),"outlier","not outlier")</f>
        <v>not outlier</v>
      </c>
    </row>
    <row r="1011" spans="1:13" x14ac:dyDescent="0.25">
      <c r="A1011">
        <v>2021</v>
      </c>
      <c r="B1011">
        <v>11</v>
      </c>
      <c r="C1011" s="1" t="s">
        <v>29</v>
      </c>
      <c r="D1011" s="1" t="s">
        <v>9</v>
      </c>
      <c r="E1011" s="1" t="s">
        <v>13</v>
      </c>
      <c r="F1011" s="4">
        <v>1.1599999999999999E-2</v>
      </c>
      <c r="G1011" s="4">
        <v>1.818643</v>
      </c>
      <c r="H1011" s="4">
        <v>8.6999999999999994E-3</v>
      </c>
      <c r="I1011">
        <v>3</v>
      </c>
      <c r="J1011" s="4" t="str">
        <f>IF(OR(Копия_20206[[#This Row],[Units (in 1000)]]&gt;$R$7,Копия_20206[[#This Row],[Units (in 1000)]]&lt;$R$6),"outlier","not outlier")</f>
        <v>not outlier</v>
      </c>
      <c r="K1011" s="4" t="str">
        <f>IF(OR(Копия_20206[[#This Row],[Value (in 1000 rub)]]&gt;$S$7,Копия_20206[[#This Row],[Value (in 1000 rub)]]&lt;$S$6),"outlier","not outlier")</f>
        <v>not outlier</v>
      </c>
      <c r="L1011" s="4" t="str">
        <f>IF(OR(Копия_20206[[#This Row],[Volume (in 1000 kg)]]&gt;$T$7,Копия_20206[[#This Row],[Volume (in 1000 kg)]]&lt;$T$6),"outlier","not outlier")</f>
        <v>not outlier</v>
      </c>
      <c r="M1011" s="4" t="str">
        <f>IF(OR(Копия_20206[[#This Row],[Number of stores]]&gt;$U$7,Копия_20206[[#This Row],[Number of stores]]&lt;$U$6),"outlier","not outlier")</f>
        <v>not outlier</v>
      </c>
    </row>
    <row r="1012" spans="1:13" x14ac:dyDescent="0.25">
      <c r="A1012">
        <v>2021</v>
      </c>
      <c r="B1012">
        <v>12</v>
      </c>
      <c r="C1012" s="1" t="s">
        <v>8</v>
      </c>
      <c r="D1012" s="1" t="s">
        <v>9</v>
      </c>
      <c r="E1012" s="1" t="s">
        <v>10</v>
      </c>
      <c r="F1012" s="4">
        <v>8.2873000000000001</v>
      </c>
      <c r="G1012" s="4">
        <v>584.43964500000004</v>
      </c>
      <c r="H1012" s="4">
        <v>1.7403</v>
      </c>
      <c r="I1012">
        <v>484</v>
      </c>
      <c r="J1012" s="4" t="str">
        <f>IF(OR(Копия_20206[[#This Row],[Units (in 1000)]]&gt;$R$7,Копия_20206[[#This Row],[Units (in 1000)]]&lt;$R$6),"outlier","not outlier")</f>
        <v>not outlier</v>
      </c>
      <c r="K1012" s="4" t="str">
        <f>IF(OR(Копия_20206[[#This Row],[Value (in 1000 rub)]]&gt;$S$7,Копия_20206[[#This Row],[Value (in 1000 rub)]]&lt;$S$6),"outlier","not outlier")</f>
        <v>not outlier</v>
      </c>
      <c r="L1012" s="4" t="str">
        <f>IF(OR(Копия_20206[[#This Row],[Volume (in 1000 kg)]]&gt;$T$7,Копия_20206[[#This Row],[Volume (in 1000 kg)]]&lt;$T$6),"outlier","not outlier")</f>
        <v>not outlier</v>
      </c>
      <c r="M1012" s="4" t="str">
        <f>IF(OR(Копия_20206[[#This Row],[Number of stores]]&gt;$U$7,Копия_20206[[#This Row],[Number of stores]]&lt;$U$6),"outlier","not outlier")</f>
        <v>not outlier</v>
      </c>
    </row>
    <row r="1013" spans="1:13" x14ac:dyDescent="0.25">
      <c r="A1013">
        <v>2021</v>
      </c>
      <c r="B1013">
        <v>12</v>
      </c>
      <c r="C1013" s="1" t="s">
        <v>8</v>
      </c>
      <c r="D1013" s="1" t="s">
        <v>9</v>
      </c>
      <c r="E1013" s="1" t="s">
        <v>11</v>
      </c>
      <c r="F1013" s="4">
        <v>58.926900000000003</v>
      </c>
      <c r="G1013" s="4">
        <v>5261.8993069999997</v>
      </c>
      <c r="H1013" s="4">
        <v>20.624400000000001</v>
      </c>
      <c r="I1013">
        <v>782</v>
      </c>
      <c r="J1013" s="4" t="str">
        <f>IF(OR(Копия_20206[[#This Row],[Units (in 1000)]]&gt;$R$7,Копия_20206[[#This Row],[Units (in 1000)]]&lt;$R$6),"outlier","not outlier")</f>
        <v>outlier</v>
      </c>
      <c r="K1013" s="4" t="str">
        <f>IF(OR(Копия_20206[[#This Row],[Value (in 1000 rub)]]&gt;$S$7,Копия_20206[[#This Row],[Value (in 1000 rub)]]&lt;$S$6),"outlier","not outlier")</f>
        <v>outlier</v>
      </c>
      <c r="L1013" s="4" t="str">
        <f>IF(OR(Копия_20206[[#This Row],[Volume (in 1000 kg)]]&gt;$T$7,Копия_20206[[#This Row],[Volume (in 1000 kg)]]&lt;$T$6),"outlier","not outlier")</f>
        <v>outlier</v>
      </c>
      <c r="M1013" s="4" t="str">
        <f>IF(OR(Копия_20206[[#This Row],[Number of stores]]&gt;$U$7,Копия_20206[[#This Row],[Number of stores]]&lt;$U$6),"outlier","not outlier")</f>
        <v>not outlier</v>
      </c>
    </row>
    <row r="1014" spans="1:13" x14ac:dyDescent="0.25">
      <c r="A1014">
        <v>2021</v>
      </c>
      <c r="B1014">
        <v>12</v>
      </c>
      <c r="C1014" s="1" t="s">
        <v>8</v>
      </c>
      <c r="D1014" s="1" t="s">
        <v>9</v>
      </c>
      <c r="E1014" s="1" t="s">
        <v>12</v>
      </c>
      <c r="F1014" s="4">
        <v>40.069299999999998</v>
      </c>
      <c r="G1014" s="4">
        <v>4483.3081380000003</v>
      </c>
      <c r="H1014" s="4">
        <v>20.034600000000001</v>
      </c>
      <c r="I1014">
        <v>666</v>
      </c>
      <c r="J1014" s="4" t="str">
        <f>IF(OR(Копия_20206[[#This Row],[Units (in 1000)]]&gt;$R$7,Копия_20206[[#This Row],[Units (in 1000)]]&lt;$R$6),"outlier","not outlier")</f>
        <v>outlier</v>
      </c>
      <c r="K1014" s="4" t="str">
        <f>IF(OR(Копия_20206[[#This Row],[Value (in 1000 rub)]]&gt;$S$7,Копия_20206[[#This Row],[Value (in 1000 rub)]]&lt;$S$6),"outlier","not outlier")</f>
        <v>outlier</v>
      </c>
      <c r="L1014" s="4" t="str">
        <f>IF(OR(Копия_20206[[#This Row],[Volume (in 1000 kg)]]&gt;$T$7,Копия_20206[[#This Row],[Volume (in 1000 kg)]]&lt;$T$6),"outlier","not outlier")</f>
        <v>outlier</v>
      </c>
      <c r="M1014" s="4" t="str">
        <f>IF(OR(Копия_20206[[#This Row],[Number of stores]]&gt;$U$7,Копия_20206[[#This Row],[Number of stores]]&lt;$U$6),"outlier","not outlier")</f>
        <v>not outlier</v>
      </c>
    </row>
    <row r="1015" spans="1:13" x14ac:dyDescent="0.25">
      <c r="A1015">
        <v>2021</v>
      </c>
      <c r="B1015">
        <v>12</v>
      </c>
      <c r="C1015" s="1" t="s">
        <v>25</v>
      </c>
      <c r="D1015" s="1" t="s">
        <v>9</v>
      </c>
      <c r="E1015" s="1" t="s">
        <v>10</v>
      </c>
      <c r="F1015" s="4">
        <v>26.8384</v>
      </c>
      <c r="G1015" s="4">
        <v>1831.4709789999999</v>
      </c>
      <c r="H1015" s="4">
        <v>5.6360999999999999</v>
      </c>
      <c r="I1015">
        <v>5837</v>
      </c>
      <c r="J1015" s="4" t="str">
        <f>IF(OR(Копия_20206[[#This Row],[Units (in 1000)]]&gt;$R$7,Копия_20206[[#This Row],[Units (in 1000)]]&lt;$R$6),"outlier","not outlier")</f>
        <v>outlier</v>
      </c>
      <c r="K1015" s="4" t="str">
        <f>IF(OR(Копия_20206[[#This Row],[Value (in 1000 rub)]]&gt;$S$7,Копия_20206[[#This Row],[Value (in 1000 rub)]]&lt;$S$6),"outlier","not outlier")</f>
        <v>not outlier</v>
      </c>
      <c r="L1015" s="4" t="str">
        <f>IF(OR(Копия_20206[[#This Row],[Volume (in 1000 kg)]]&gt;$T$7,Копия_20206[[#This Row],[Volume (in 1000 kg)]]&lt;$T$6),"outlier","not outlier")</f>
        <v>not outlier</v>
      </c>
      <c r="M1015" s="4" t="str">
        <f>IF(OR(Копия_20206[[#This Row],[Number of stores]]&gt;$U$7,Копия_20206[[#This Row],[Number of stores]]&lt;$U$6),"outlier","not outlier")</f>
        <v>outlier</v>
      </c>
    </row>
    <row r="1016" spans="1:13" x14ac:dyDescent="0.25">
      <c r="A1016">
        <v>2021</v>
      </c>
      <c r="B1016">
        <v>12</v>
      </c>
      <c r="C1016" s="1" t="s">
        <v>25</v>
      </c>
      <c r="D1016" s="1" t="s">
        <v>9</v>
      </c>
      <c r="E1016" s="1" t="s">
        <v>11</v>
      </c>
      <c r="F1016" s="4">
        <v>69.709599999999995</v>
      </c>
      <c r="G1016" s="4">
        <v>6746.2301100000004</v>
      </c>
      <c r="H1016" s="4">
        <v>24.398399999999999</v>
      </c>
      <c r="I1016">
        <v>10270</v>
      </c>
      <c r="J1016" s="4" t="str">
        <f>IF(OR(Копия_20206[[#This Row],[Units (in 1000)]]&gt;$R$7,Копия_20206[[#This Row],[Units (in 1000)]]&lt;$R$6),"outlier","not outlier")</f>
        <v>outlier</v>
      </c>
      <c r="K1016" s="4" t="str">
        <f>IF(OR(Копия_20206[[#This Row],[Value (in 1000 rub)]]&gt;$S$7,Копия_20206[[#This Row],[Value (in 1000 rub)]]&lt;$S$6),"outlier","not outlier")</f>
        <v>outlier</v>
      </c>
      <c r="L1016" s="4" t="str">
        <f>IF(OR(Копия_20206[[#This Row],[Volume (in 1000 kg)]]&gt;$T$7,Копия_20206[[#This Row],[Volume (in 1000 kg)]]&lt;$T$6),"outlier","not outlier")</f>
        <v>outlier</v>
      </c>
      <c r="M1016" s="4" t="str">
        <f>IF(OR(Копия_20206[[#This Row],[Number of stores]]&gt;$U$7,Копия_20206[[#This Row],[Number of stores]]&lt;$U$6),"outlier","not outlier")</f>
        <v>outlier</v>
      </c>
    </row>
    <row r="1017" spans="1:13" x14ac:dyDescent="0.25">
      <c r="A1017">
        <v>2021</v>
      </c>
      <c r="B1017">
        <v>12</v>
      </c>
      <c r="C1017" s="1" t="s">
        <v>25</v>
      </c>
      <c r="D1017" s="1" t="s">
        <v>9</v>
      </c>
      <c r="E1017" s="1" t="s">
        <v>12</v>
      </c>
      <c r="F1017" s="4">
        <v>2.2707000000000002</v>
      </c>
      <c r="G1017" s="4">
        <v>346.23589399999997</v>
      </c>
      <c r="H1017" s="4">
        <v>1.1352</v>
      </c>
      <c r="I1017">
        <v>606</v>
      </c>
      <c r="J1017" s="4" t="str">
        <f>IF(OR(Копия_20206[[#This Row],[Units (in 1000)]]&gt;$R$7,Копия_20206[[#This Row],[Units (in 1000)]]&lt;$R$6),"outlier","not outlier")</f>
        <v>not outlier</v>
      </c>
      <c r="K1017" s="4" t="str">
        <f>IF(OR(Копия_20206[[#This Row],[Value (in 1000 rub)]]&gt;$S$7,Копия_20206[[#This Row],[Value (in 1000 rub)]]&lt;$S$6),"outlier","not outlier")</f>
        <v>not outlier</v>
      </c>
      <c r="L1017" s="4" t="str">
        <f>IF(OR(Копия_20206[[#This Row],[Volume (in 1000 kg)]]&gt;$T$7,Копия_20206[[#This Row],[Volume (in 1000 kg)]]&lt;$T$6),"outlier","not outlier")</f>
        <v>not outlier</v>
      </c>
      <c r="M1017" s="4" t="str">
        <f>IF(OR(Копия_20206[[#This Row],[Number of stores]]&gt;$U$7,Копия_20206[[#This Row],[Number of stores]]&lt;$U$6),"outlier","not outlier")</f>
        <v>not outlier</v>
      </c>
    </row>
    <row r="1018" spans="1:13" x14ac:dyDescent="0.25">
      <c r="A1018">
        <v>2021</v>
      </c>
      <c r="B1018">
        <v>12</v>
      </c>
      <c r="C1018" s="1" t="s">
        <v>25</v>
      </c>
      <c r="D1018" s="1" t="s">
        <v>9</v>
      </c>
      <c r="E1018" s="1" t="s">
        <v>13</v>
      </c>
      <c r="F1018" s="4">
        <v>0.28560000000000002</v>
      </c>
      <c r="G1018" s="4">
        <v>46.137219999999999</v>
      </c>
      <c r="H1018" s="4">
        <v>0.2142</v>
      </c>
      <c r="I1018">
        <v>163</v>
      </c>
      <c r="J1018" s="4" t="str">
        <f>IF(OR(Копия_20206[[#This Row],[Units (in 1000)]]&gt;$R$7,Копия_20206[[#This Row],[Units (in 1000)]]&lt;$R$6),"outlier","not outlier")</f>
        <v>not outlier</v>
      </c>
      <c r="K1018" s="4" t="str">
        <f>IF(OR(Копия_20206[[#This Row],[Value (in 1000 rub)]]&gt;$S$7,Копия_20206[[#This Row],[Value (in 1000 rub)]]&lt;$S$6),"outlier","not outlier")</f>
        <v>not outlier</v>
      </c>
      <c r="L1018" s="4" t="str">
        <f>IF(OR(Копия_20206[[#This Row],[Volume (in 1000 kg)]]&gt;$T$7,Копия_20206[[#This Row],[Volume (in 1000 kg)]]&lt;$T$6),"outlier","not outlier")</f>
        <v>not outlier</v>
      </c>
      <c r="M1018" s="4" t="str">
        <f>IF(OR(Копия_20206[[#This Row],[Number of stores]]&gt;$U$7,Копия_20206[[#This Row],[Number of stores]]&lt;$U$6),"outlier","not outlier")</f>
        <v>not outlier</v>
      </c>
    </row>
    <row r="1019" spans="1:13" x14ac:dyDescent="0.25">
      <c r="A1019">
        <v>2021</v>
      </c>
      <c r="B1019">
        <v>12</v>
      </c>
      <c r="C1019" s="1" t="s">
        <v>29</v>
      </c>
      <c r="D1019" s="1" t="s">
        <v>9</v>
      </c>
      <c r="E1019" s="1" t="s">
        <v>10</v>
      </c>
      <c r="F1019" s="4">
        <v>92.248500000000007</v>
      </c>
      <c r="G1019" s="4">
        <v>5816.404614</v>
      </c>
      <c r="H1019" s="4">
        <v>19.3721</v>
      </c>
      <c r="I1019">
        <v>12028</v>
      </c>
      <c r="J1019" s="4" t="str">
        <f>IF(OR(Копия_20206[[#This Row],[Units (in 1000)]]&gt;$R$7,Копия_20206[[#This Row],[Units (in 1000)]]&lt;$R$6),"outlier","not outlier")</f>
        <v>outlier</v>
      </c>
      <c r="K1019" s="4" t="str">
        <f>IF(OR(Копия_20206[[#This Row],[Value (in 1000 rub)]]&gt;$S$7,Копия_20206[[#This Row],[Value (in 1000 rub)]]&lt;$S$6),"outlier","not outlier")</f>
        <v>outlier</v>
      </c>
      <c r="L1019" s="4" t="str">
        <f>IF(OR(Копия_20206[[#This Row],[Volume (in 1000 kg)]]&gt;$T$7,Копия_20206[[#This Row],[Volume (in 1000 kg)]]&lt;$T$6),"outlier","not outlier")</f>
        <v>outlier</v>
      </c>
      <c r="M1019" s="4" t="str">
        <f>IF(OR(Копия_20206[[#This Row],[Number of stores]]&gt;$U$7,Копия_20206[[#This Row],[Number of stores]]&lt;$U$6),"outlier","not outlier")</f>
        <v>outlier</v>
      </c>
    </row>
    <row r="1020" spans="1:13" x14ac:dyDescent="0.25">
      <c r="A1020">
        <v>2021</v>
      </c>
      <c r="B1020">
        <v>12</v>
      </c>
      <c r="C1020" s="1" t="s">
        <v>29</v>
      </c>
      <c r="D1020" s="1" t="s">
        <v>9</v>
      </c>
      <c r="E1020" s="1" t="s">
        <v>11</v>
      </c>
      <c r="F1020" s="4">
        <v>158.1712</v>
      </c>
      <c r="G1020" s="4">
        <v>14410.525471999999</v>
      </c>
      <c r="H1020" s="4">
        <v>55.359900000000003</v>
      </c>
      <c r="I1020">
        <v>17750</v>
      </c>
      <c r="J1020" s="4" t="str">
        <f>IF(OR(Копия_20206[[#This Row],[Units (in 1000)]]&gt;$R$7,Копия_20206[[#This Row],[Units (in 1000)]]&lt;$R$6),"outlier","not outlier")</f>
        <v>outlier</v>
      </c>
      <c r="K1020" s="4" t="str">
        <f>IF(OR(Копия_20206[[#This Row],[Value (in 1000 rub)]]&gt;$S$7,Копия_20206[[#This Row],[Value (in 1000 rub)]]&lt;$S$6),"outlier","not outlier")</f>
        <v>outlier</v>
      </c>
      <c r="L1020" s="4" t="str">
        <f>IF(OR(Копия_20206[[#This Row],[Volume (in 1000 kg)]]&gt;$T$7,Копия_20206[[#This Row],[Volume (in 1000 kg)]]&lt;$T$6),"outlier","not outlier")</f>
        <v>outlier</v>
      </c>
      <c r="M1020" s="4" t="str">
        <f>IF(OR(Копия_20206[[#This Row],[Number of stores]]&gt;$U$7,Копия_20206[[#This Row],[Number of stores]]&lt;$U$6),"outlier","not outlier")</f>
        <v>outlier</v>
      </c>
    </row>
    <row r="1021" spans="1:13" x14ac:dyDescent="0.25">
      <c r="A1021">
        <v>2021</v>
      </c>
      <c r="B1021">
        <v>12</v>
      </c>
      <c r="C1021" s="1" t="s">
        <v>29</v>
      </c>
      <c r="D1021" s="1" t="s">
        <v>9</v>
      </c>
      <c r="E1021" s="1" t="s">
        <v>12</v>
      </c>
      <c r="F1021" s="4">
        <v>9.2022999999999993</v>
      </c>
      <c r="G1021" s="4">
        <v>1260.9091940000001</v>
      </c>
      <c r="H1021" s="4">
        <v>4.6012000000000004</v>
      </c>
      <c r="I1021">
        <v>714</v>
      </c>
      <c r="J1021" s="4" t="str">
        <f>IF(OR(Копия_20206[[#This Row],[Units (in 1000)]]&gt;$R$7,Копия_20206[[#This Row],[Units (in 1000)]]&lt;$R$6),"outlier","not outlier")</f>
        <v>not outlier</v>
      </c>
      <c r="K1021" s="4" t="str">
        <f>IF(OR(Копия_20206[[#This Row],[Value (in 1000 rub)]]&gt;$S$7,Копия_20206[[#This Row],[Value (in 1000 rub)]]&lt;$S$6),"outlier","not outlier")</f>
        <v>not outlier</v>
      </c>
      <c r="L1021" s="4" t="str">
        <f>IF(OR(Копия_20206[[#This Row],[Volume (in 1000 kg)]]&gt;$T$7,Копия_20206[[#This Row],[Volume (in 1000 kg)]]&lt;$T$6),"outlier","not outlier")</f>
        <v>not outlier</v>
      </c>
      <c r="M1021" s="4" t="str">
        <f>IF(OR(Копия_20206[[#This Row],[Number of stores]]&gt;$U$7,Копия_20206[[#This Row],[Number of stores]]&lt;$U$6),"outlier","not outlier")</f>
        <v>not outlier</v>
      </c>
    </row>
    <row r="1022" spans="1:13" x14ac:dyDescent="0.25">
      <c r="A1022">
        <v>2021</v>
      </c>
      <c r="B1022">
        <v>12</v>
      </c>
      <c r="C1022" s="1" t="s">
        <v>29</v>
      </c>
      <c r="D1022" s="1" t="s">
        <v>9</v>
      </c>
      <c r="E1022" s="1" t="s">
        <v>13</v>
      </c>
      <c r="F1022" s="4">
        <v>8.6999999999999994E-3</v>
      </c>
      <c r="G1022" s="4">
        <v>1.791126</v>
      </c>
      <c r="H1022" s="4">
        <v>6.4999999999999997E-3</v>
      </c>
      <c r="I1022">
        <v>3</v>
      </c>
      <c r="J1022" s="4" t="str">
        <f>IF(OR(Копия_20206[[#This Row],[Units (in 1000)]]&gt;$R$7,Копия_20206[[#This Row],[Units (in 1000)]]&lt;$R$6),"outlier","not outlier")</f>
        <v>not outlier</v>
      </c>
      <c r="K1022" s="4" t="str">
        <f>IF(OR(Копия_20206[[#This Row],[Value (in 1000 rub)]]&gt;$S$7,Копия_20206[[#This Row],[Value (in 1000 rub)]]&lt;$S$6),"outlier","not outlier")</f>
        <v>not outlier</v>
      </c>
      <c r="L1022" s="4" t="str">
        <f>IF(OR(Копия_20206[[#This Row],[Volume (in 1000 kg)]]&gt;$T$7,Копия_20206[[#This Row],[Volume (in 1000 kg)]]&lt;$T$6),"outlier","not outlier")</f>
        <v>not outlier</v>
      </c>
      <c r="M1022" s="4" t="str">
        <f>IF(OR(Копия_20206[[#This Row],[Number of stores]]&gt;$U$7,Копия_20206[[#This Row],[Number of stores]]&lt;$U$6),"outlier","not outlier")</f>
        <v>not outlier</v>
      </c>
    </row>
    <row r="1023" spans="1:13" x14ac:dyDescent="0.25">
      <c r="A1023">
        <v>2021</v>
      </c>
      <c r="B1023">
        <v>1</v>
      </c>
      <c r="C1023" s="1" t="s">
        <v>8</v>
      </c>
      <c r="D1023" s="1" t="s">
        <v>9</v>
      </c>
      <c r="E1023" s="1" t="s">
        <v>18</v>
      </c>
      <c r="F1023" s="4">
        <v>31.181999999999999</v>
      </c>
      <c r="G1023" s="4">
        <v>2078.5832999999998</v>
      </c>
      <c r="H1023" s="4">
        <v>6.2363</v>
      </c>
      <c r="I1023">
        <v>511</v>
      </c>
      <c r="J1023" s="4" t="str">
        <f>IF(OR(Копия_20206[[#This Row],[Units (in 1000)]]&gt;$R$7,Копия_20206[[#This Row],[Units (in 1000)]]&lt;$R$6),"outlier","not outlier")</f>
        <v>outlier</v>
      </c>
      <c r="K1023" s="4" t="str">
        <f>IF(OR(Копия_20206[[#This Row],[Value (in 1000 rub)]]&gt;$S$7,Копия_20206[[#This Row],[Value (in 1000 rub)]]&lt;$S$6),"outlier","not outlier")</f>
        <v>not outlier</v>
      </c>
      <c r="L1023" s="4" t="str">
        <f>IF(OR(Копия_20206[[#This Row],[Volume (in 1000 kg)]]&gt;$T$7,Копия_20206[[#This Row],[Volume (in 1000 kg)]]&lt;$T$6),"outlier","not outlier")</f>
        <v>not outlier</v>
      </c>
      <c r="M1023" s="4" t="str">
        <f>IF(OR(Копия_20206[[#This Row],[Number of stores]]&gt;$U$7,Копия_20206[[#This Row],[Number of stores]]&lt;$U$6),"outlier","not outlier")</f>
        <v>not outlier</v>
      </c>
    </row>
    <row r="1024" spans="1:13" x14ac:dyDescent="0.25">
      <c r="A1024">
        <v>2021</v>
      </c>
      <c r="B1024">
        <v>1</v>
      </c>
      <c r="C1024" s="1" t="s">
        <v>25</v>
      </c>
      <c r="D1024" s="1" t="s">
        <v>9</v>
      </c>
      <c r="E1024" s="1" t="s">
        <v>18</v>
      </c>
      <c r="F1024" s="4">
        <v>18.018899999999999</v>
      </c>
      <c r="G1024" s="4">
        <v>1233.5554</v>
      </c>
      <c r="H1024" s="4">
        <v>3.6036999999999999</v>
      </c>
      <c r="I1024">
        <v>1755</v>
      </c>
      <c r="J1024" s="4" t="str">
        <f>IF(OR(Копия_20206[[#This Row],[Units (in 1000)]]&gt;$R$7,Копия_20206[[#This Row],[Units (in 1000)]]&lt;$R$6),"outlier","not outlier")</f>
        <v>not outlier</v>
      </c>
      <c r="K1024" s="4" t="str">
        <f>IF(OR(Копия_20206[[#This Row],[Value (in 1000 rub)]]&gt;$S$7,Копия_20206[[#This Row],[Value (in 1000 rub)]]&lt;$S$6),"outlier","not outlier")</f>
        <v>not outlier</v>
      </c>
      <c r="L1024" s="4" t="str">
        <f>IF(OR(Копия_20206[[#This Row],[Volume (in 1000 kg)]]&gt;$T$7,Копия_20206[[#This Row],[Volume (in 1000 kg)]]&lt;$T$6),"outlier","not outlier")</f>
        <v>not outlier</v>
      </c>
      <c r="M1024" s="4" t="str">
        <f>IF(OR(Копия_20206[[#This Row],[Number of stores]]&gt;$U$7,Копия_20206[[#This Row],[Number of stores]]&lt;$U$6),"outlier","not outlier")</f>
        <v>not outlier</v>
      </c>
    </row>
    <row r="1025" spans="1:13" x14ac:dyDescent="0.25">
      <c r="A1025">
        <v>2021</v>
      </c>
      <c r="B1025">
        <v>1</v>
      </c>
      <c r="C1025" s="1" t="s">
        <v>29</v>
      </c>
      <c r="D1025" s="1" t="s">
        <v>9</v>
      </c>
      <c r="E1025" s="1" t="s">
        <v>18</v>
      </c>
      <c r="F1025" s="4">
        <v>26.234000000000002</v>
      </c>
      <c r="G1025" s="4">
        <v>1891.4637</v>
      </c>
      <c r="H1025" s="4">
        <v>5.2468000000000004</v>
      </c>
      <c r="I1025">
        <v>2038</v>
      </c>
      <c r="J1025" s="4" t="str">
        <f>IF(OR(Копия_20206[[#This Row],[Units (in 1000)]]&gt;$R$7,Копия_20206[[#This Row],[Units (in 1000)]]&lt;$R$6),"outlier","not outlier")</f>
        <v>outlier</v>
      </c>
      <c r="K1025" s="4" t="str">
        <f>IF(OR(Копия_20206[[#This Row],[Value (in 1000 rub)]]&gt;$S$7,Копия_20206[[#This Row],[Value (in 1000 rub)]]&lt;$S$6),"outlier","not outlier")</f>
        <v>not outlier</v>
      </c>
      <c r="L1025" s="4" t="str">
        <f>IF(OR(Копия_20206[[#This Row],[Volume (in 1000 kg)]]&gt;$T$7,Копия_20206[[#This Row],[Volume (in 1000 kg)]]&lt;$T$6),"outlier","not outlier")</f>
        <v>not outlier</v>
      </c>
      <c r="M1025" s="4" t="str">
        <f>IF(OR(Копия_20206[[#This Row],[Number of stores]]&gt;$U$7,Копия_20206[[#This Row],[Number of stores]]&lt;$U$6),"outlier","not outlier")</f>
        <v>not outlier</v>
      </c>
    </row>
    <row r="1026" spans="1:13" x14ac:dyDescent="0.25">
      <c r="A1026">
        <v>2021</v>
      </c>
      <c r="B1026">
        <v>2</v>
      </c>
      <c r="C1026" s="1" t="s">
        <v>8</v>
      </c>
      <c r="D1026" s="1" t="s">
        <v>9</v>
      </c>
      <c r="E1026" s="1" t="s">
        <v>18</v>
      </c>
      <c r="F1026" s="4">
        <v>27.5444</v>
      </c>
      <c r="G1026" s="4">
        <v>1726.9780000000001</v>
      </c>
      <c r="H1026" s="4">
        <v>5.5088999999999997</v>
      </c>
      <c r="I1026">
        <v>549</v>
      </c>
      <c r="J1026" s="4" t="str">
        <f>IF(OR(Копия_20206[[#This Row],[Units (in 1000)]]&gt;$R$7,Копия_20206[[#This Row],[Units (in 1000)]]&lt;$R$6),"outlier","not outlier")</f>
        <v>outlier</v>
      </c>
      <c r="K1026" s="4" t="str">
        <f>IF(OR(Копия_20206[[#This Row],[Value (in 1000 rub)]]&gt;$S$7,Копия_20206[[#This Row],[Value (in 1000 rub)]]&lt;$S$6),"outlier","not outlier")</f>
        <v>not outlier</v>
      </c>
      <c r="L1026" s="4" t="str">
        <f>IF(OR(Копия_20206[[#This Row],[Volume (in 1000 kg)]]&gt;$T$7,Копия_20206[[#This Row],[Volume (in 1000 kg)]]&lt;$T$6),"outlier","not outlier")</f>
        <v>not outlier</v>
      </c>
      <c r="M1026" s="4" t="str">
        <f>IF(OR(Копия_20206[[#This Row],[Number of stores]]&gt;$U$7,Копия_20206[[#This Row],[Number of stores]]&lt;$U$6),"outlier","not outlier")</f>
        <v>not outlier</v>
      </c>
    </row>
    <row r="1027" spans="1:13" x14ac:dyDescent="0.25">
      <c r="A1027">
        <v>2021</v>
      </c>
      <c r="B1027">
        <v>2</v>
      </c>
      <c r="C1027" s="1" t="s">
        <v>25</v>
      </c>
      <c r="D1027" s="1" t="s">
        <v>9</v>
      </c>
      <c r="E1027" s="1" t="s">
        <v>18</v>
      </c>
      <c r="F1027" s="4">
        <v>15.2089</v>
      </c>
      <c r="G1027" s="4">
        <v>999.12740000000008</v>
      </c>
      <c r="H1027" s="4">
        <v>3.0419</v>
      </c>
      <c r="I1027">
        <v>1941</v>
      </c>
      <c r="J1027" s="4" t="str">
        <f>IF(OR(Копия_20206[[#This Row],[Units (in 1000)]]&gt;$R$7,Копия_20206[[#This Row],[Units (in 1000)]]&lt;$R$6),"outlier","not outlier")</f>
        <v>not outlier</v>
      </c>
      <c r="K1027" s="4" t="str">
        <f>IF(OR(Копия_20206[[#This Row],[Value (in 1000 rub)]]&gt;$S$7,Копия_20206[[#This Row],[Value (in 1000 rub)]]&lt;$S$6),"outlier","not outlier")</f>
        <v>not outlier</v>
      </c>
      <c r="L1027" s="4" t="str">
        <f>IF(OR(Копия_20206[[#This Row],[Volume (in 1000 kg)]]&gt;$T$7,Копия_20206[[#This Row],[Volume (in 1000 kg)]]&lt;$T$6),"outlier","not outlier")</f>
        <v>not outlier</v>
      </c>
      <c r="M1027" s="4" t="str">
        <f>IF(OR(Копия_20206[[#This Row],[Number of stores]]&gt;$U$7,Копия_20206[[#This Row],[Number of stores]]&lt;$U$6),"outlier","not outlier")</f>
        <v>not outlier</v>
      </c>
    </row>
    <row r="1028" spans="1:13" x14ac:dyDescent="0.25">
      <c r="A1028">
        <v>2021</v>
      </c>
      <c r="B1028">
        <v>2</v>
      </c>
      <c r="C1028" s="1" t="s">
        <v>29</v>
      </c>
      <c r="D1028" s="1" t="s">
        <v>9</v>
      </c>
      <c r="E1028" s="1" t="s">
        <v>18</v>
      </c>
      <c r="F1028" s="4">
        <v>23.490100000000002</v>
      </c>
      <c r="G1028" s="4">
        <v>1653.5799</v>
      </c>
      <c r="H1028" s="4">
        <v>4.6981000000000002</v>
      </c>
      <c r="I1028">
        <v>1923</v>
      </c>
      <c r="J1028" s="4" t="str">
        <f>IF(OR(Копия_20206[[#This Row],[Units (in 1000)]]&gt;$R$7,Копия_20206[[#This Row],[Units (in 1000)]]&lt;$R$6),"outlier","not outlier")</f>
        <v>outlier</v>
      </c>
      <c r="K1028" s="4" t="str">
        <f>IF(OR(Копия_20206[[#This Row],[Value (in 1000 rub)]]&gt;$S$7,Копия_20206[[#This Row],[Value (in 1000 rub)]]&lt;$S$6),"outlier","not outlier")</f>
        <v>not outlier</v>
      </c>
      <c r="L1028" s="4" t="str">
        <f>IF(OR(Копия_20206[[#This Row],[Volume (in 1000 kg)]]&gt;$T$7,Копия_20206[[#This Row],[Volume (in 1000 kg)]]&lt;$T$6),"outlier","not outlier")</f>
        <v>not outlier</v>
      </c>
      <c r="M1028" s="4" t="str">
        <f>IF(OR(Копия_20206[[#This Row],[Number of stores]]&gt;$U$7,Копия_20206[[#This Row],[Number of stores]]&lt;$U$6),"outlier","not outlier")</f>
        <v>not outlier</v>
      </c>
    </row>
    <row r="1029" spans="1:13" x14ac:dyDescent="0.25">
      <c r="A1029">
        <v>2021</v>
      </c>
      <c r="B1029">
        <v>3</v>
      </c>
      <c r="C1029" s="1" t="s">
        <v>8</v>
      </c>
      <c r="D1029" s="1" t="s">
        <v>9</v>
      </c>
      <c r="E1029" s="1" t="s">
        <v>18</v>
      </c>
      <c r="F1029" s="4">
        <v>24.970500000000001</v>
      </c>
      <c r="G1029" s="4">
        <v>1670.2213999999999</v>
      </c>
      <c r="H1029" s="4">
        <v>4.9941000000000004</v>
      </c>
      <c r="I1029">
        <v>543</v>
      </c>
      <c r="J1029" s="4" t="str">
        <f>IF(OR(Копия_20206[[#This Row],[Units (in 1000)]]&gt;$R$7,Копия_20206[[#This Row],[Units (in 1000)]]&lt;$R$6),"outlier","not outlier")</f>
        <v>outlier</v>
      </c>
      <c r="K1029" s="4" t="str">
        <f>IF(OR(Копия_20206[[#This Row],[Value (in 1000 rub)]]&gt;$S$7,Копия_20206[[#This Row],[Value (in 1000 rub)]]&lt;$S$6),"outlier","not outlier")</f>
        <v>not outlier</v>
      </c>
      <c r="L1029" s="4" t="str">
        <f>IF(OR(Копия_20206[[#This Row],[Volume (in 1000 kg)]]&gt;$T$7,Копия_20206[[#This Row],[Volume (in 1000 kg)]]&lt;$T$6),"outlier","not outlier")</f>
        <v>not outlier</v>
      </c>
      <c r="M1029" s="4" t="str">
        <f>IF(OR(Копия_20206[[#This Row],[Number of stores]]&gt;$U$7,Копия_20206[[#This Row],[Number of stores]]&lt;$U$6),"outlier","not outlier")</f>
        <v>not outlier</v>
      </c>
    </row>
    <row r="1030" spans="1:13" x14ac:dyDescent="0.25">
      <c r="A1030">
        <v>2021</v>
      </c>
      <c r="B1030">
        <v>3</v>
      </c>
      <c r="C1030" s="1" t="s">
        <v>25</v>
      </c>
      <c r="D1030" s="1" t="s">
        <v>9</v>
      </c>
      <c r="E1030" s="1" t="s">
        <v>18</v>
      </c>
      <c r="F1030" s="4">
        <v>14.6105</v>
      </c>
      <c r="G1030" s="4">
        <v>876.25260000000003</v>
      </c>
      <c r="H1030" s="4">
        <v>2.9220999999999999</v>
      </c>
      <c r="I1030">
        <v>1735</v>
      </c>
      <c r="J1030" s="4" t="str">
        <f>IF(OR(Копия_20206[[#This Row],[Units (in 1000)]]&gt;$R$7,Копия_20206[[#This Row],[Units (in 1000)]]&lt;$R$6),"outlier","not outlier")</f>
        <v>not outlier</v>
      </c>
      <c r="K1030" s="4" t="str">
        <f>IF(OR(Копия_20206[[#This Row],[Value (in 1000 rub)]]&gt;$S$7,Копия_20206[[#This Row],[Value (in 1000 rub)]]&lt;$S$6),"outlier","not outlier")</f>
        <v>not outlier</v>
      </c>
      <c r="L1030" s="4" t="str">
        <f>IF(OR(Копия_20206[[#This Row],[Volume (in 1000 kg)]]&gt;$T$7,Копия_20206[[#This Row],[Volume (in 1000 kg)]]&lt;$T$6),"outlier","not outlier")</f>
        <v>not outlier</v>
      </c>
      <c r="M1030" s="4" t="str">
        <f>IF(OR(Копия_20206[[#This Row],[Number of stores]]&gt;$U$7,Копия_20206[[#This Row],[Number of stores]]&lt;$U$6),"outlier","not outlier")</f>
        <v>not outlier</v>
      </c>
    </row>
    <row r="1031" spans="1:13" x14ac:dyDescent="0.25">
      <c r="A1031">
        <v>2021</v>
      </c>
      <c r="B1031">
        <v>3</v>
      </c>
      <c r="C1031" s="1" t="s">
        <v>29</v>
      </c>
      <c r="D1031" s="1" t="s">
        <v>9</v>
      </c>
      <c r="E1031" s="1" t="s">
        <v>18</v>
      </c>
      <c r="F1031" s="4">
        <v>18.2471</v>
      </c>
      <c r="G1031" s="4">
        <v>1287.2407000000001</v>
      </c>
      <c r="H1031" s="4">
        <v>3.6494</v>
      </c>
      <c r="I1031">
        <v>1862</v>
      </c>
      <c r="J1031" s="4" t="str">
        <f>IF(OR(Копия_20206[[#This Row],[Units (in 1000)]]&gt;$R$7,Копия_20206[[#This Row],[Units (in 1000)]]&lt;$R$6),"outlier","not outlier")</f>
        <v>not outlier</v>
      </c>
      <c r="K1031" s="4" t="str">
        <f>IF(OR(Копия_20206[[#This Row],[Value (in 1000 rub)]]&gt;$S$7,Копия_20206[[#This Row],[Value (in 1000 rub)]]&lt;$S$6),"outlier","not outlier")</f>
        <v>not outlier</v>
      </c>
      <c r="L1031" s="4" t="str">
        <f>IF(OR(Копия_20206[[#This Row],[Volume (in 1000 kg)]]&gt;$T$7,Копия_20206[[#This Row],[Volume (in 1000 kg)]]&lt;$T$6),"outlier","not outlier")</f>
        <v>not outlier</v>
      </c>
      <c r="M1031" s="4" t="str">
        <f>IF(OR(Копия_20206[[#This Row],[Number of stores]]&gt;$U$7,Копия_20206[[#This Row],[Number of stores]]&lt;$U$6),"outlier","not outlier")</f>
        <v>not outlier</v>
      </c>
    </row>
    <row r="1032" spans="1:13" x14ac:dyDescent="0.25">
      <c r="A1032">
        <v>2021</v>
      </c>
      <c r="B1032">
        <v>4</v>
      </c>
      <c r="C1032" s="1" t="s">
        <v>8</v>
      </c>
      <c r="D1032" s="1" t="s">
        <v>9</v>
      </c>
      <c r="E1032" s="1" t="s">
        <v>18</v>
      </c>
      <c r="F1032" s="4">
        <v>19.313300000000002</v>
      </c>
      <c r="G1032" s="4">
        <v>1358.9363000000001</v>
      </c>
      <c r="H1032" s="4">
        <v>3.8626</v>
      </c>
      <c r="I1032">
        <v>543</v>
      </c>
      <c r="J1032" s="4" t="str">
        <f>IF(OR(Копия_20206[[#This Row],[Units (in 1000)]]&gt;$R$7,Копия_20206[[#This Row],[Units (in 1000)]]&lt;$R$6),"outlier","not outlier")</f>
        <v>not outlier</v>
      </c>
      <c r="K1032" s="4" t="str">
        <f>IF(OR(Копия_20206[[#This Row],[Value (in 1000 rub)]]&gt;$S$7,Копия_20206[[#This Row],[Value (in 1000 rub)]]&lt;$S$6),"outlier","not outlier")</f>
        <v>not outlier</v>
      </c>
      <c r="L1032" s="4" t="str">
        <f>IF(OR(Копия_20206[[#This Row],[Volume (in 1000 kg)]]&gt;$T$7,Копия_20206[[#This Row],[Volume (in 1000 kg)]]&lt;$T$6),"outlier","not outlier")</f>
        <v>not outlier</v>
      </c>
      <c r="M1032" s="4" t="str">
        <f>IF(OR(Копия_20206[[#This Row],[Number of stores]]&gt;$U$7,Копия_20206[[#This Row],[Number of stores]]&lt;$U$6),"outlier","not outlier")</f>
        <v>not outlier</v>
      </c>
    </row>
    <row r="1033" spans="1:13" x14ac:dyDescent="0.25">
      <c r="A1033">
        <v>2021</v>
      </c>
      <c r="B1033">
        <v>4</v>
      </c>
      <c r="C1033" s="1" t="s">
        <v>25</v>
      </c>
      <c r="D1033" s="1" t="s">
        <v>9</v>
      </c>
      <c r="E1033" s="1" t="s">
        <v>18</v>
      </c>
      <c r="F1033" s="4">
        <v>9.3768999999999991</v>
      </c>
      <c r="G1033" s="4">
        <v>759.38620000000003</v>
      </c>
      <c r="H1033" s="4">
        <v>1.8754</v>
      </c>
      <c r="I1033">
        <v>1389</v>
      </c>
      <c r="J1033" s="4" t="str">
        <f>IF(OR(Копия_20206[[#This Row],[Units (in 1000)]]&gt;$R$7,Копия_20206[[#This Row],[Units (in 1000)]]&lt;$R$6),"outlier","not outlier")</f>
        <v>not outlier</v>
      </c>
      <c r="K1033" s="4" t="str">
        <f>IF(OR(Копия_20206[[#This Row],[Value (in 1000 rub)]]&gt;$S$7,Копия_20206[[#This Row],[Value (in 1000 rub)]]&lt;$S$6),"outlier","not outlier")</f>
        <v>not outlier</v>
      </c>
      <c r="L1033" s="4" t="str">
        <f>IF(OR(Копия_20206[[#This Row],[Volume (in 1000 kg)]]&gt;$T$7,Копия_20206[[#This Row],[Volume (in 1000 kg)]]&lt;$T$6),"outlier","not outlier")</f>
        <v>not outlier</v>
      </c>
      <c r="M1033" s="4" t="str">
        <f>IF(OR(Копия_20206[[#This Row],[Number of stores]]&gt;$U$7,Копия_20206[[#This Row],[Number of stores]]&lt;$U$6),"outlier","not outlier")</f>
        <v>not outlier</v>
      </c>
    </row>
    <row r="1034" spans="1:13" x14ac:dyDescent="0.25">
      <c r="A1034">
        <v>2021</v>
      </c>
      <c r="B1034">
        <v>4</v>
      </c>
      <c r="C1034" s="1" t="s">
        <v>29</v>
      </c>
      <c r="D1034" s="1" t="s">
        <v>9</v>
      </c>
      <c r="E1034" s="1" t="s">
        <v>18</v>
      </c>
      <c r="F1034" s="4">
        <v>62.7087</v>
      </c>
      <c r="G1034" s="4">
        <v>2991.2071999999998</v>
      </c>
      <c r="H1034" s="4">
        <v>12.541700000000001</v>
      </c>
      <c r="I1034">
        <v>1647</v>
      </c>
      <c r="J1034" s="4" t="str">
        <f>IF(OR(Копия_20206[[#This Row],[Units (in 1000)]]&gt;$R$7,Копия_20206[[#This Row],[Units (in 1000)]]&lt;$R$6),"outlier","not outlier")</f>
        <v>outlier</v>
      </c>
      <c r="K1034" s="4" t="str">
        <f>IF(OR(Копия_20206[[#This Row],[Value (in 1000 rub)]]&gt;$S$7,Копия_20206[[#This Row],[Value (in 1000 rub)]]&lt;$S$6),"outlier","not outlier")</f>
        <v>outlier</v>
      </c>
      <c r="L1034" s="4" t="str">
        <f>IF(OR(Копия_20206[[#This Row],[Volume (in 1000 kg)]]&gt;$T$7,Копия_20206[[#This Row],[Volume (in 1000 kg)]]&lt;$T$6),"outlier","not outlier")</f>
        <v>outlier</v>
      </c>
      <c r="M1034" s="4" t="str">
        <f>IF(OR(Копия_20206[[#This Row],[Number of stores]]&gt;$U$7,Копия_20206[[#This Row],[Number of stores]]&lt;$U$6),"outlier","not outlier")</f>
        <v>not outlier</v>
      </c>
    </row>
    <row r="1035" spans="1:13" x14ac:dyDescent="0.25">
      <c r="A1035">
        <v>2021</v>
      </c>
      <c r="B1035">
        <v>5</v>
      </c>
      <c r="C1035" s="1" t="s">
        <v>8</v>
      </c>
      <c r="D1035" s="1" t="s">
        <v>9</v>
      </c>
      <c r="E1035" s="1" t="s">
        <v>18</v>
      </c>
      <c r="F1035" s="4">
        <v>22.617000000000001</v>
      </c>
      <c r="G1035" s="4">
        <v>1451.1396</v>
      </c>
      <c r="H1035" s="4">
        <v>4.5233999999999996</v>
      </c>
      <c r="I1035">
        <v>539</v>
      </c>
      <c r="J1035" s="4" t="str">
        <f>IF(OR(Копия_20206[[#This Row],[Units (in 1000)]]&gt;$R$7,Копия_20206[[#This Row],[Units (in 1000)]]&lt;$R$6),"outlier","not outlier")</f>
        <v>not outlier</v>
      </c>
      <c r="K1035" s="4" t="str">
        <f>IF(OR(Копия_20206[[#This Row],[Value (in 1000 rub)]]&gt;$S$7,Копия_20206[[#This Row],[Value (in 1000 rub)]]&lt;$S$6),"outlier","not outlier")</f>
        <v>not outlier</v>
      </c>
      <c r="L1035" s="4" t="str">
        <f>IF(OR(Копия_20206[[#This Row],[Volume (in 1000 kg)]]&gt;$T$7,Копия_20206[[#This Row],[Volume (in 1000 kg)]]&lt;$T$6),"outlier","not outlier")</f>
        <v>not outlier</v>
      </c>
      <c r="M1035" s="4" t="str">
        <f>IF(OR(Копия_20206[[#This Row],[Number of stores]]&gt;$U$7,Копия_20206[[#This Row],[Number of stores]]&lt;$U$6),"outlier","not outlier")</f>
        <v>not outlier</v>
      </c>
    </row>
    <row r="1036" spans="1:13" x14ac:dyDescent="0.25">
      <c r="A1036">
        <v>2021</v>
      </c>
      <c r="B1036">
        <v>5</v>
      </c>
      <c r="C1036" s="1" t="s">
        <v>25</v>
      </c>
      <c r="D1036" s="1" t="s">
        <v>9</v>
      </c>
      <c r="E1036" s="1" t="s">
        <v>18</v>
      </c>
      <c r="F1036" s="4">
        <v>8.8641000000000005</v>
      </c>
      <c r="G1036" s="4">
        <v>751.66309999999999</v>
      </c>
      <c r="H1036" s="4">
        <v>1.7727999999999999</v>
      </c>
      <c r="I1036">
        <v>1521</v>
      </c>
      <c r="J1036" s="4" t="str">
        <f>IF(OR(Копия_20206[[#This Row],[Units (in 1000)]]&gt;$R$7,Копия_20206[[#This Row],[Units (in 1000)]]&lt;$R$6),"outlier","not outlier")</f>
        <v>not outlier</v>
      </c>
      <c r="K1036" s="4" t="str">
        <f>IF(OR(Копия_20206[[#This Row],[Value (in 1000 rub)]]&gt;$S$7,Копия_20206[[#This Row],[Value (in 1000 rub)]]&lt;$S$6),"outlier","not outlier")</f>
        <v>not outlier</v>
      </c>
      <c r="L1036" s="4" t="str">
        <f>IF(OR(Копия_20206[[#This Row],[Volume (in 1000 kg)]]&gt;$T$7,Копия_20206[[#This Row],[Volume (in 1000 kg)]]&lt;$T$6),"outlier","not outlier")</f>
        <v>not outlier</v>
      </c>
      <c r="M1036" s="4" t="str">
        <f>IF(OR(Копия_20206[[#This Row],[Number of stores]]&gt;$U$7,Копия_20206[[#This Row],[Number of stores]]&lt;$U$6),"outlier","not outlier")</f>
        <v>not outlier</v>
      </c>
    </row>
    <row r="1037" spans="1:13" x14ac:dyDescent="0.25">
      <c r="A1037">
        <v>2021</v>
      </c>
      <c r="B1037">
        <v>5</v>
      </c>
      <c r="C1037" s="1" t="s">
        <v>29</v>
      </c>
      <c r="D1037" s="1" t="s">
        <v>9</v>
      </c>
      <c r="E1037" s="1" t="s">
        <v>18</v>
      </c>
      <c r="F1037" s="4">
        <v>17.621700000000001</v>
      </c>
      <c r="G1037" s="4">
        <v>1321.7207000000001</v>
      </c>
      <c r="H1037" s="4">
        <v>3.5244</v>
      </c>
      <c r="I1037">
        <v>1773</v>
      </c>
      <c r="J1037" s="4" t="str">
        <f>IF(OR(Копия_20206[[#This Row],[Units (in 1000)]]&gt;$R$7,Копия_20206[[#This Row],[Units (in 1000)]]&lt;$R$6),"outlier","not outlier")</f>
        <v>not outlier</v>
      </c>
      <c r="K1037" s="4" t="str">
        <f>IF(OR(Копия_20206[[#This Row],[Value (in 1000 rub)]]&gt;$S$7,Копия_20206[[#This Row],[Value (in 1000 rub)]]&lt;$S$6),"outlier","not outlier")</f>
        <v>not outlier</v>
      </c>
      <c r="L1037" s="4" t="str">
        <f>IF(OR(Копия_20206[[#This Row],[Volume (in 1000 kg)]]&gt;$T$7,Копия_20206[[#This Row],[Volume (in 1000 kg)]]&lt;$T$6),"outlier","not outlier")</f>
        <v>not outlier</v>
      </c>
      <c r="M1037" s="4" t="str">
        <f>IF(OR(Копия_20206[[#This Row],[Number of stores]]&gt;$U$7,Копия_20206[[#This Row],[Number of stores]]&lt;$U$6),"outlier","not outlier")</f>
        <v>not outlier</v>
      </c>
    </row>
    <row r="1038" spans="1:13" x14ac:dyDescent="0.25">
      <c r="A1038">
        <v>2021</v>
      </c>
      <c r="B1038">
        <v>6</v>
      </c>
      <c r="C1038" s="1" t="s">
        <v>8</v>
      </c>
      <c r="D1038" s="1" t="s">
        <v>9</v>
      </c>
      <c r="E1038" s="1" t="s">
        <v>18</v>
      </c>
      <c r="F1038" s="4">
        <v>20.148199999999999</v>
      </c>
      <c r="G1038" s="4">
        <v>1271.7483</v>
      </c>
      <c r="H1038" s="4">
        <v>4.0296000000000003</v>
      </c>
      <c r="I1038">
        <v>588</v>
      </c>
      <c r="J1038" s="4" t="str">
        <f>IF(OR(Копия_20206[[#This Row],[Units (in 1000)]]&gt;$R$7,Копия_20206[[#This Row],[Units (in 1000)]]&lt;$R$6),"outlier","not outlier")</f>
        <v>not outlier</v>
      </c>
      <c r="K1038" s="4" t="str">
        <f>IF(OR(Копия_20206[[#This Row],[Value (in 1000 rub)]]&gt;$S$7,Копия_20206[[#This Row],[Value (in 1000 rub)]]&lt;$S$6),"outlier","not outlier")</f>
        <v>not outlier</v>
      </c>
      <c r="L1038" s="4" t="str">
        <f>IF(OR(Копия_20206[[#This Row],[Volume (in 1000 kg)]]&gt;$T$7,Копия_20206[[#This Row],[Volume (in 1000 kg)]]&lt;$T$6),"outlier","not outlier")</f>
        <v>not outlier</v>
      </c>
      <c r="M1038" s="4" t="str">
        <f>IF(OR(Копия_20206[[#This Row],[Number of stores]]&gt;$U$7,Копия_20206[[#This Row],[Number of stores]]&lt;$U$6),"outlier","not outlier")</f>
        <v>not outlier</v>
      </c>
    </row>
    <row r="1039" spans="1:13" x14ac:dyDescent="0.25">
      <c r="A1039">
        <v>2021</v>
      </c>
      <c r="B1039">
        <v>6</v>
      </c>
      <c r="C1039" s="1" t="s">
        <v>25</v>
      </c>
      <c r="D1039" s="1" t="s">
        <v>9</v>
      </c>
      <c r="E1039" s="1" t="s">
        <v>18</v>
      </c>
      <c r="F1039" s="4">
        <v>15.7034</v>
      </c>
      <c r="G1039" s="4">
        <v>1119.4306999999999</v>
      </c>
      <c r="H1039" s="4">
        <v>3.1406999999999998</v>
      </c>
      <c r="I1039">
        <v>1986</v>
      </c>
      <c r="J1039" s="4" t="str">
        <f>IF(OR(Копия_20206[[#This Row],[Units (in 1000)]]&gt;$R$7,Копия_20206[[#This Row],[Units (in 1000)]]&lt;$R$6),"outlier","not outlier")</f>
        <v>not outlier</v>
      </c>
      <c r="K1039" s="4" t="str">
        <f>IF(OR(Копия_20206[[#This Row],[Value (in 1000 rub)]]&gt;$S$7,Копия_20206[[#This Row],[Value (in 1000 rub)]]&lt;$S$6),"outlier","not outlier")</f>
        <v>not outlier</v>
      </c>
      <c r="L1039" s="4" t="str">
        <f>IF(OR(Копия_20206[[#This Row],[Volume (in 1000 kg)]]&gt;$T$7,Копия_20206[[#This Row],[Volume (in 1000 kg)]]&lt;$T$6),"outlier","not outlier")</f>
        <v>not outlier</v>
      </c>
      <c r="M1039" s="4" t="str">
        <f>IF(OR(Копия_20206[[#This Row],[Number of stores]]&gt;$U$7,Копия_20206[[#This Row],[Number of stores]]&lt;$U$6),"outlier","not outlier")</f>
        <v>not outlier</v>
      </c>
    </row>
    <row r="1040" spans="1:13" x14ac:dyDescent="0.25">
      <c r="A1040">
        <v>2021</v>
      </c>
      <c r="B1040">
        <v>6</v>
      </c>
      <c r="C1040" s="1" t="s">
        <v>29</v>
      </c>
      <c r="D1040" s="1" t="s">
        <v>9</v>
      </c>
      <c r="E1040" s="1" t="s">
        <v>18</v>
      </c>
      <c r="F1040" s="4">
        <v>36.235700000000001</v>
      </c>
      <c r="G1040" s="4">
        <v>2409.2682</v>
      </c>
      <c r="H1040" s="4">
        <v>7.2472000000000003</v>
      </c>
      <c r="I1040">
        <v>3011</v>
      </c>
      <c r="J1040" s="4" t="str">
        <f>IF(OR(Копия_20206[[#This Row],[Units (in 1000)]]&gt;$R$7,Копия_20206[[#This Row],[Units (in 1000)]]&lt;$R$6),"outlier","not outlier")</f>
        <v>outlier</v>
      </c>
      <c r="K1040" s="4" t="str">
        <f>IF(OR(Копия_20206[[#This Row],[Value (in 1000 rub)]]&gt;$S$7,Копия_20206[[#This Row],[Value (in 1000 rub)]]&lt;$S$6),"outlier","not outlier")</f>
        <v>outlier</v>
      </c>
      <c r="L1040" s="4" t="str">
        <f>IF(OR(Копия_20206[[#This Row],[Volume (in 1000 kg)]]&gt;$T$7,Копия_20206[[#This Row],[Volume (in 1000 kg)]]&lt;$T$6),"outlier","not outlier")</f>
        <v>not outlier</v>
      </c>
      <c r="M1040" s="4" t="str">
        <f>IF(OR(Копия_20206[[#This Row],[Number of stores]]&gt;$U$7,Копия_20206[[#This Row],[Number of stores]]&lt;$U$6),"outlier","not outlier")</f>
        <v>outlier</v>
      </c>
    </row>
    <row r="1041" spans="1:13" x14ac:dyDescent="0.25">
      <c r="A1041">
        <v>2021</v>
      </c>
      <c r="B1041">
        <v>7</v>
      </c>
      <c r="C1041" s="1" t="s">
        <v>8</v>
      </c>
      <c r="D1041" s="1" t="s">
        <v>9</v>
      </c>
      <c r="E1041" s="1" t="s">
        <v>18</v>
      </c>
      <c r="F1041" s="4">
        <v>25.835699999999999</v>
      </c>
      <c r="G1041" s="4">
        <v>1472.9105</v>
      </c>
      <c r="H1041" s="4">
        <v>5.1670999999999996</v>
      </c>
      <c r="I1041">
        <v>689</v>
      </c>
      <c r="J1041" s="4" t="str">
        <f>IF(OR(Копия_20206[[#This Row],[Units (in 1000)]]&gt;$R$7,Копия_20206[[#This Row],[Units (in 1000)]]&lt;$R$6),"outlier","not outlier")</f>
        <v>outlier</v>
      </c>
      <c r="K1041" s="4" t="str">
        <f>IF(OR(Копия_20206[[#This Row],[Value (in 1000 rub)]]&gt;$S$7,Копия_20206[[#This Row],[Value (in 1000 rub)]]&lt;$S$6),"outlier","not outlier")</f>
        <v>not outlier</v>
      </c>
      <c r="L1041" s="4" t="str">
        <f>IF(OR(Копия_20206[[#This Row],[Volume (in 1000 kg)]]&gt;$T$7,Копия_20206[[#This Row],[Volume (in 1000 kg)]]&lt;$T$6),"outlier","not outlier")</f>
        <v>not outlier</v>
      </c>
      <c r="M1041" s="4" t="str">
        <f>IF(OR(Копия_20206[[#This Row],[Number of stores]]&gt;$U$7,Копия_20206[[#This Row],[Number of stores]]&lt;$U$6),"outlier","not outlier")</f>
        <v>not outlier</v>
      </c>
    </row>
    <row r="1042" spans="1:13" x14ac:dyDescent="0.25">
      <c r="A1042">
        <v>2021</v>
      </c>
      <c r="B1042">
        <v>7</v>
      </c>
      <c r="C1042" s="1" t="s">
        <v>25</v>
      </c>
      <c r="D1042" s="1" t="s">
        <v>9</v>
      </c>
      <c r="E1042" s="1" t="s">
        <v>18</v>
      </c>
      <c r="F1042" s="4">
        <v>21.290500000000002</v>
      </c>
      <c r="G1042" s="4">
        <v>1292.4159</v>
      </c>
      <c r="H1042" s="4">
        <v>4.2580999999999998</v>
      </c>
      <c r="I1042">
        <v>2136</v>
      </c>
      <c r="J1042" s="4" t="str">
        <f>IF(OR(Копия_20206[[#This Row],[Units (in 1000)]]&gt;$R$7,Копия_20206[[#This Row],[Units (in 1000)]]&lt;$R$6),"outlier","not outlier")</f>
        <v>not outlier</v>
      </c>
      <c r="K1042" s="4" t="str">
        <f>IF(OR(Копия_20206[[#This Row],[Value (in 1000 rub)]]&gt;$S$7,Копия_20206[[#This Row],[Value (in 1000 rub)]]&lt;$S$6),"outlier","not outlier")</f>
        <v>not outlier</v>
      </c>
      <c r="L1042" s="4" t="str">
        <f>IF(OR(Копия_20206[[#This Row],[Volume (in 1000 kg)]]&gt;$T$7,Копия_20206[[#This Row],[Volume (in 1000 kg)]]&lt;$T$6),"outlier","not outlier")</f>
        <v>not outlier</v>
      </c>
      <c r="M1042" s="4" t="str">
        <f>IF(OR(Копия_20206[[#This Row],[Number of stores]]&gt;$U$7,Копия_20206[[#This Row],[Number of stores]]&lt;$U$6),"outlier","not outlier")</f>
        <v>not outlier</v>
      </c>
    </row>
    <row r="1043" spans="1:13" x14ac:dyDescent="0.25">
      <c r="A1043">
        <v>2021</v>
      </c>
      <c r="B1043">
        <v>7</v>
      </c>
      <c r="C1043" s="1" t="s">
        <v>29</v>
      </c>
      <c r="D1043" s="1" t="s">
        <v>9</v>
      </c>
      <c r="E1043" s="1" t="s">
        <v>18</v>
      </c>
      <c r="F1043" s="4">
        <v>44.102499999999999</v>
      </c>
      <c r="G1043" s="4">
        <v>2610.5358000000001</v>
      </c>
      <c r="H1043" s="4">
        <v>8.8203999999999994</v>
      </c>
      <c r="I1043">
        <v>3823</v>
      </c>
      <c r="J1043" s="4" t="str">
        <f>IF(OR(Копия_20206[[#This Row],[Units (in 1000)]]&gt;$R$7,Копия_20206[[#This Row],[Units (in 1000)]]&lt;$R$6),"outlier","not outlier")</f>
        <v>outlier</v>
      </c>
      <c r="K1043" s="4" t="str">
        <f>IF(OR(Копия_20206[[#This Row],[Value (in 1000 rub)]]&gt;$S$7,Копия_20206[[#This Row],[Value (in 1000 rub)]]&lt;$S$6),"outlier","not outlier")</f>
        <v>outlier</v>
      </c>
      <c r="L1043" s="4" t="str">
        <f>IF(OR(Копия_20206[[#This Row],[Volume (in 1000 kg)]]&gt;$T$7,Копия_20206[[#This Row],[Volume (in 1000 kg)]]&lt;$T$6),"outlier","not outlier")</f>
        <v>outlier</v>
      </c>
      <c r="M1043" s="4" t="str">
        <f>IF(OR(Копия_20206[[#This Row],[Number of stores]]&gt;$U$7,Копия_20206[[#This Row],[Number of stores]]&lt;$U$6),"outlier","not outlier")</f>
        <v>outlier</v>
      </c>
    </row>
    <row r="1044" spans="1:13" x14ac:dyDescent="0.25">
      <c r="A1044">
        <v>2021</v>
      </c>
      <c r="B1044">
        <v>8</v>
      </c>
      <c r="C1044" s="1" t="s">
        <v>8</v>
      </c>
      <c r="D1044" s="1" t="s">
        <v>9</v>
      </c>
      <c r="E1044" s="1" t="s">
        <v>18</v>
      </c>
      <c r="F1044" s="4">
        <v>19.4161</v>
      </c>
      <c r="G1044" s="4">
        <v>1174.4152999999999</v>
      </c>
      <c r="H1044" s="4">
        <v>3.8833000000000002</v>
      </c>
      <c r="I1044">
        <v>654</v>
      </c>
      <c r="J1044" s="4" t="str">
        <f>IF(OR(Копия_20206[[#This Row],[Units (in 1000)]]&gt;$R$7,Копия_20206[[#This Row],[Units (in 1000)]]&lt;$R$6),"outlier","not outlier")</f>
        <v>not outlier</v>
      </c>
      <c r="K1044" s="4" t="str">
        <f>IF(OR(Копия_20206[[#This Row],[Value (in 1000 rub)]]&gt;$S$7,Копия_20206[[#This Row],[Value (in 1000 rub)]]&lt;$S$6),"outlier","not outlier")</f>
        <v>not outlier</v>
      </c>
      <c r="L1044" s="4" t="str">
        <f>IF(OR(Копия_20206[[#This Row],[Volume (in 1000 kg)]]&gt;$T$7,Копия_20206[[#This Row],[Volume (in 1000 kg)]]&lt;$T$6),"outlier","not outlier")</f>
        <v>not outlier</v>
      </c>
      <c r="M1044" s="4" t="str">
        <f>IF(OR(Копия_20206[[#This Row],[Number of stores]]&gt;$U$7,Копия_20206[[#This Row],[Number of stores]]&lt;$U$6),"outlier","not outlier")</f>
        <v>not outlier</v>
      </c>
    </row>
    <row r="1045" spans="1:13" x14ac:dyDescent="0.25">
      <c r="A1045">
        <v>2021</v>
      </c>
      <c r="B1045">
        <v>8</v>
      </c>
      <c r="C1045" s="1" t="s">
        <v>25</v>
      </c>
      <c r="D1045" s="1" t="s">
        <v>9</v>
      </c>
      <c r="E1045" s="1" t="s">
        <v>18</v>
      </c>
      <c r="F1045" s="4">
        <v>22.102499999999999</v>
      </c>
      <c r="G1045" s="4">
        <v>1298.0841</v>
      </c>
      <c r="H1045" s="4">
        <v>4.4204999999999997</v>
      </c>
      <c r="I1045">
        <v>2197</v>
      </c>
      <c r="J1045" s="4" t="str">
        <f>IF(OR(Копия_20206[[#This Row],[Units (in 1000)]]&gt;$R$7,Копия_20206[[#This Row],[Units (in 1000)]]&lt;$R$6),"outlier","not outlier")</f>
        <v>not outlier</v>
      </c>
      <c r="K1045" s="4" t="str">
        <f>IF(OR(Копия_20206[[#This Row],[Value (in 1000 rub)]]&gt;$S$7,Копия_20206[[#This Row],[Value (in 1000 rub)]]&lt;$S$6),"outlier","not outlier")</f>
        <v>not outlier</v>
      </c>
      <c r="L1045" s="4" t="str">
        <f>IF(OR(Копия_20206[[#This Row],[Volume (in 1000 kg)]]&gt;$T$7,Копия_20206[[#This Row],[Volume (in 1000 kg)]]&lt;$T$6),"outlier","not outlier")</f>
        <v>not outlier</v>
      </c>
      <c r="M1045" s="4" t="str">
        <f>IF(OR(Копия_20206[[#This Row],[Number of stores]]&gt;$U$7,Копия_20206[[#This Row],[Number of stores]]&lt;$U$6),"outlier","not outlier")</f>
        <v>not outlier</v>
      </c>
    </row>
    <row r="1046" spans="1:13" x14ac:dyDescent="0.25">
      <c r="A1046">
        <v>2021</v>
      </c>
      <c r="B1046">
        <v>8</v>
      </c>
      <c r="C1046" s="1" t="s">
        <v>29</v>
      </c>
      <c r="D1046" s="1" t="s">
        <v>9</v>
      </c>
      <c r="E1046" s="1" t="s">
        <v>18</v>
      </c>
      <c r="F1046" s="4">
        <v>49.067599999999999</v>
      </c>
      <c r="G1046" s="4">
        <v>2683.1192999999998</v>
      </c>
      <c r="H1046" s="4">
        <v>9.8135999999999992</v>
      </c>
      <c r="I1046">
        <v>4198</v>
      </c>
      <c r="J1046" s="4" t="str">
        <f>IF(OR(Копия_20206[[#This Row],[Units (in 1000)]]&gt;$R$7,Копия_20206[[#This Row],[Units (in 1000)]]&lt;$R$6),"outlier","not outlier")</f>
        <v>outlier</v>
      </c>
      <c r="K1046" s="4" t="str">
        <f>IF(OR(Копия_20206[[#This Row],[Value (in 1000 rub)]]&gt;$S$7,Копия_20206[[#This Row],[Value (in 1000 rub)]]&lt;$S$6),"outlier","not outlier")</f>
        <v>outlier</v>
      </c>
      <c r="L1046" s="4" t="str">
        <f>IF(OR(Копия_20206[[#This Row],[Volume (in 1000 kg)]]&gt;$T$7,Копия_20206[[#This Row],[Volume (in 1000 kg)]]&lt;$T$6),"outlier","not outlier")</f>
        <v>outlier</v>
      </c>
      <c r="M1046" s="4" t="str">
        <f>IF(OR(Копия_20206[[#This Row],[Number of stores]]&gt;$U$7,Копия_20206[[#This Row],[Number of stores]]&lt;$U$6),"outlier","not outlier")</f>
        <v>outlier</v>
      </c>
    </row>
    <row r="1047" spans="1:13" x14ac:dyDescent="0.25">
      <c r="A1047">
        <v>2021</v>
      </c>
      <c r="B1047">
        <v>9</v>
      </c>
      <c r="C1047" s="1" t="s">
        <v>8</v>
      </c>
      <c r="D1047" s="1" t="s">
        <v>9</v>
      </c>
      <c r="E1047" s="1" t="s">
        <v>18</v>
      </c>
      <c r="F1047" s="4">
        <v>17.616599999999998</v>
      </c>
      <c r="G1047" s="4">
        <v>1100.4579000000001</v>
      </c>
      <c r="H1047" s="4">
        <v>3.5234000000000001</v>
      </c>
      <c r="I1047">
        <v>563</v>
      </c>
      <c r="J1047" s="4" t="str">
        <f>IF(OR(Копия_20206[[#This Row],[Units (in 1000)]]&gt;$R$7,Копия_20206[[#This Row],[Units (in 1000)]]&lt;$R$6),"outlier","not outlier")</f>
        <v>not outlier</v>
      </c>
      <c r="K1047" s="4" t="str">
        <f>IF(OR(Копия_20206[[#This Row],[Value (in 1000 rub)]]&gt;$S$7,Копия_20206[[#This Row],[Value (in 1000 rub)]]&lt;$S$6),"outlier","not outlier")</f>
        <v>not outlier</v>
      </c>
      <c r="L1047" s="4" t="str">
        <f>IF(OR(Копия_20206[[#This Row],[Volume (in 1000 kg)]]&gt;$T$7,Копия_20206[[#This Row],[Volume (in 1000 kg)]]&lt;$T$6),"outlier","not outlier")</f>
        <v>not outlier</v>
      </c>
      <c r="M1047" s="4" t="str">
        <f>IF(OR(Копия_20206[[#This Row],[Number of stores]]&gt;$U$7,Копия_20206[[#This Row],[Number of stores]]&lt;$U$6),"outlier","not outlier")</f>
        <v>not outlier</v>
      </c>
    </row>
    <row r="1048" spans="1:13" x14ac:dyDescent="0.25">
      <c r="A1048">
        <v>2021</v>
      </c>
      <c r="B1048">
        <v>9</v>
      </c>
      <c r="C1048" s="1" t="s">
        <v>25</v>
      </c>
      <c r="D1048" s="1" t="s">
        <v>9</v>
      </c>
      <c r="E1048" s="1" t="s">
        <v>18</v>
      </c>
      <c r="F1048" s="4">
        <v>19.039000000000001</v>
      </c>
      <c r="G1048" s="4">
        <v>1265.2026000000001</v>
      </c>
      <c r="H1048" s="4">
        <v>3.8079000000000001</v>
      </c>
      <c r="I1048">
        <v>2540</v>
      </c>
      <c r="J1048" s="4" t="str">
        <f>IF(OR(Копия_20206[[#This Row],[Units (in 1000)]]&gt;$R$7,Копия_20206[[#This Row],[Units (in 1000)]]&lt;$R$6),"outlier","not outlier")</f>
        <v>not outlier</v>
      </c>
      <c r="K1048" s="4" t="str">
        <f>IF(OR(Копия_20206[[#This Row],[Value (in 1000 rub)]]&gt;$S$7,Копия_20206[[#This Row],[Value (in 1000 rub)]]&lt;$S$6),"outlier","not outlier")</f>
        <v>not outlier</v>
      </c>
      <c r="L1048" s="4" t="str">
        <f>IF(OR(Копия_20206[[#This Row],[Volume (in 1000 kg)]]&gt;$T$7,Копия_20206[[#This Row],[Volume (in 1000 kg)]]&lt;$T$6),"outlier","not outlier")</f>
        <v>not outlier</v>
      </c>
      <c r="M1048" s="4" t="str">
        <f>IF(OR(Копия_20206[[#This Row],[Number of stores]]&gt;$U$7,Копия_20206[[#This Row],[Number of stores]]&lt;$U$6),"outlier","not outlier")</f>
        <v>not outlier</v>
      </c>
    </row>
    <row r="1049" spans="1:13" x14ac:dyDescent="0.25">
      <c r="A1049">
        <v>2021</v>
      </c>
      <c r="B1049">
        <v>9</v>
      </c>
      <c r="C1049" s="1" t="s">
        <v>29</v>
      </c>
      <c r="D1049" s="1" t="s">
        <v>9</v>
      </c>
      <c r="E1049" s="1" t="s">
        <v>18</v>
      </c>
      <c r="F1049" s="4">
        <v>29.4026</v>
      </c>
      <c r="G1049" s="4">
        <v>1831.2859000000001</v>
      </c>
      <c r="H1049" s="4">
        <v>5.8804999999999996</v>
      </c>
      <c r="I1049">
        <v>3746</v>
      </c>
      <c r="J1049" s="4" t="str">
        <f>IF(OR(Копия_20206[[#This Row],[Units (in 1000)]]&gt;$R$7,Копия_20206[[#This Row],[Units (in 1000)]]&lt;$R$6),"outlier","not outlier")</f>
        <v>outlier</v>
      </c>
      <c r="K1049" s="4" t="str">
        <f>IF(OR(Копия_20206[[#This Row],[Value (in 1000 rub)]]&gt;$S$7,Копия_20206[[#This Row],[Value (in 1000 rub)]]&lt;$S$6),"outlier","not outlier")</f>
        <v>not outlier</v>
      </c>
      <c r="L1049" s="4" t="str">
        <f>IF(OR(Копия_20206[[#This Row],[Volume (in 1000 kg)]]&gt;$T$7,Копия_20206[[#This Row],[Volume (in 1000 kg)]]&lt;$T$6),"outlier","not outlier")</f>
        <v>not outlier</v>
      </c>
      <c r="M1049" s="4" t="str">
        <f>IF(OR(Копия_20206[[#This Row],[Number of stores]]&gt;$U$7,Копия_20206[[#This Row],[Number of stores]]&lt;$U$6),"outlier","not outlier")</f>
        <v>outlier</v>
      </c>
    </row>
    <row r="1050" spans="1:13" x14ac:dyDescent="0.25">
      <c r="A1050">
        <v>2021</v>
      </c>
      <c r="B1050">
        <v>10</v>
      </c>
      <c r="C1050" s="1" t="s">
        <v>8</v>
      </c>
      <c r="D1050" s="1" t="s">
        <v>9</v>
      </c>
      <c r="E1050" s="1" t="s">
        <v>18</v>
      </c>
      <c r="F1050" s="4">
        <v>12.0022</v>
      </c>
      <c r="G1050" s="4">
        <v>833.89380000000006</v>
      </c>
      <c r="H1050" s="4">
        <v>2.4005000000000001</v>
      </c>
      <c r="I1050">
        <v>468</v>
      </c>
      <c r="J1050" s="4" t="str">
        <f>IF(OR(Копия_20206[[#This Row],[Units (in 1000)]]&gt;$R$7,Копия_20206[[#This Row],[Units (in 1000)]]&lt;$R$6),"outlier","not outlier")</f>
        <v>not outlier</v>
      </c>
      <c r="K1050" s="4" t="str">
        <f>IF(OR(Копия_20206[[#This Row],[Value (in 1000 rub)]]&gt;$S$7,Копия_20206[[#This Row],[Value (in 1000 rub)]]&lt;$S$6),"outlier","not outlier")</f>
        <v>not outlier</v>
      </c>
      <c r="L1050" s="4" t="str">
        <f>IF(OR(Копия_20206[[#This Row],[Volume (in 1000 kg)]]&gt;$T$7,Копия_20206[[#This Row],[Volume (in 1000 kg)]]&lt;$T$6),"outlier","not outlier")</f>
        <v>not outlier</v>
      </c>
      <c r="M1050" s="4" t="str">
        <f>IF(OR(Копия_20206[[#This Row],[Number of stores]]&gt;$U$7,Копия_20206[[#This Row],[Number of stores]]&lt;$U$6),"outlier","not outlier")</f>
        <v>not outlier</v>
      </c>
    </row>
    <row r="1051" spans="1:13" x14ac:dyDescent="0.25">
      <c r="A1051">
        <v>2021</v>
      </c>
      <c r="B1051">
        <v>10</v>
      </c>
      <c r="C1051" s="1" t="s">
        <v>25</v>
      </c>
      <c r="D1051" s="1" t="s">
        <v>9</v>
      </c>
      <c r="E1051" s="1" t="s">
        <v>18</v>
      </c>
      <c r="F1051" s="4">
        <v>13.687900000000001</v>
      </c>
      <c r="G1051" s="4">
        <v>867.91150000000005</v>
      </c>
      <c r="H1051" s="4">
        <v>2.7376</v>
      </c>
      <c r="I1051">
        <v>1703</v>
      </c>
      <c r="J1051" s="4" t="str">
        <f>IF(OR(Копия_20206[[#This Row],[Units (in 1000)]]&gt;$R$7,Копия_20206[[#This Row],[Units (in 1000)]]&lt;$R$6),"outlier","not outlier")</f>
        <v>not outlier</v>
      </c>
      <c r="K1051" s="4" t="str">
        <f>IF(OR(Копия_20206[[#This Row],[Value (in 1000 rub)]]&gt;$S$7,Копия_20206[[#This Row],[Value (in 1000 rub)]]&lt;$S$6),"outlier","not outlier")</f>
        <v>not outlier</v>
      </c>
      <c r="L1051" s="4" t="str">
        <f>IF(OR(Копия_20206[[#This Row],[Volume (in 1000 kg)]]&gt;$T$7,Копия_20206[[#This Row],[Volume (in 1000 kg)]]&lt;$T$6),"outlier","not outlier")</f>
        <v>not outlier</v>
      </c>
      <c r="M1051" s="4" t="str">
        <f>IF(OR(Копия_20206[[#This Row],[Number of stores]]&gt;$U$7,Копия_20206[[#This Row],[Number of stores]]&lt;$U$6),"outlier","not outlier")</f>
        <v>not outlier</v>
      </c>
    </row>
    <row r="1052" spans="1:13" x14ac:dyDescent="0.25">
      <c r="A1052">
        <v>2021</v>
      </c>
      <c r="B1052">
        <v>10</v>
      </c>
      <c r="C1052" s="1" t="s">
        <v>29</v>
      </c>
      <c r="D1052" s="1" t="s">
        <v>9</v>
      </c>
      <c r="E1052" s="1" t="s">
        <v>18</v>
      </c>
      <c r="F1052" s="4">
        <v>27.9039</v>
      </c>
      <c r="G1052" s="4">
        <v>1875.1750999999999</v>
      </c>
      <c r="H1052" s="4">
        <v>5.5807000000000002</v>
      </c>
      <c r="I1052">
        <v>2625</v>
      </c>
      <c r="J1052" s="4" t="str">
        <f>IF(OR(Копия_20206[[#This Row],[Units (in 1000)]]&gt;$R$7,Копия_20206[[#This Row],[Units (in 1000)]]&lt;$R$6),"outlier","not outlier")</f>
        <v>outlier</v>
      </c>
      <c r="K1052" s="4" t="str">
        <f>IF(OR(Копия_20206[[#This Row],[Value (in 1000 rub)]]&gt;$S$7,Копия_20206[[#This Row],[Value (in 1000 rub)]]&lt;$S$6),"outlier","not outlier")</f>
        <v>not outlier</v>
      </c>
      <c r="L1052" s="4" t="str">
        <f>IF(OR(Копия_20206[[#This Row],[Volume (in 1000 kg)]]&gt;$T$7,Копия_20206[[#This Row],[Volume (in 1000 kg)]]&lt;$T$6),"outlier","not outlier")</f>
        <v>not outlier</v>
      </c>
      <c r="M1052" s="4" t="str">
        <f>IF(OR(Копия_20206[[#This Row],[Number of stores]]&gt;$U$7,Копия_20206[[#This Row],[Number of stores]]&lt;$U$6),"outlier","not outlier")</f>
        <v>not outlier</v>
      </c>
    </row>
    <row r="1053" spans="1:13" x14ac:dyDescent="0.25">
      <c r="A1053">
        <v>2021</v>
      </c>
      <c r="B1053">
        <v>11</v>
      </c>
      <c r="C1053" s="1" t="s">
        <v>8</v>
      </c>
      <c r="D1053" s="1" t="s">
        <v>9</v>
      </c>
      <c r="E1053" s="1" t="s">
        <v>18</v>
      </c>
      <c r="F1053" s="4">
        <v>13.213900000000001</v>
      </c>
      <c r="G1053" s="4">
        <v>894.75490000000002</v>
      </c>
      <c r="H1053" s="4">
        <v>2.6427999999999998</v>
      </c>
      <c r="I1053">
        <v>461</v>
      </c>
      <c r="J1053" s="4" t="str">
        <f>IF(OR(Копия_20206[[#This Row],[Units (in 1000)]]&gt;$R$7,Копия_20206[[#This Row],[Units (in 1000)]]&lt;$R$6),"outlier","not outlier")</f>
        <v>not outlier</v>
      </c>
      <c r="K1053" s="4" t="str">
        <f>IF(OR(Копия_20206[[#This Row],[Value (in 1000 rub)]]&gt;$S$7,Копия_20206[[#This Row],[Value (in 1000 rub)]]&lt;$S$6),"outlier","not outlier")</f>
        <v>not outlier</v>
      </c>
      <c r="L1053" s="4" t="str">
        <f>IF(OR(Копия_20206[[#This Row],[Volume (in 1000 kg)]]&gt;$T$7,Копия_20206[[#This Row],[Volume (in 1000 kg)]]&lt;$T$6),"outlier","not outlier")</f>
        <v>not outlier</v>
      </c>
      <c r="M1053" s="4" t="str">
        <f>IF(OR(Копия_20206[[#This Row],[Number of stores]]&gt;$U$7,Копия_20206[[#This Row],[Number of stores]]&lt;$U$6),"outlier","not outlier")</f>
        <v>not outlier</v>
      </c>
    </row>
    <row r="1054" spans="1:13" x14ac:dyDescent="0.25">
      <c r="A1054">
        <v>2021</v>
      </c>
      <c r="B1054">
        <v>11</v>
      </c>
      <c r="C1054" s="1" t="s">
        <v>25</v>
      </c>
      <c r="D1054" s="1" t="s">
        <v>9</v>
      </c>
      <c r="E1054" s="1" t="s">
        <v>18</v>
      </c>
      <c r="F1054" s="4">
        <v>11.472799999999999</v>
      </c>
      <c r="G1054" s="4">
        <v>749.05759999999998</v>
      </c>
      <c r="H1054" s="4">
        <v>2.2945000000000002</v>
      </c>
      <c r="I1054">
        <v>1710</v>
      </c>
      <c r="J1054" s="4" t="str">
        <f>IF(OR(Копия_20206[[#This Row],[Units (in 1000)]]&gt;$R$7,Копия_20206[[#This Row],[Units (in 1000)]]&lt;$R$6),"outlier","not outlier")</f>
        <v>not outlier</v>
      </c>
      <c r="K1054" s="4" t="str">
        <f>IF(OR(Копия_20206[[#This Row],[Value (in 1000 rub)]]&gt;$S$7,Копия_20206[[#This Row],[Value (in 1000 rub)]]&lt;$S$6),"outlier","not outlier")</f>
        <v>not outlier</v>
      </c>
      <c r="L1054" s="4" t="str">
        <f>IF(OR(Копия_20206[[#This Row],[Volume (in 1000 kg)]]&gt;$T$7,Копия_20206[[#This Row],[Volume (in 1000 kg)]]&lt;$T$6),"outlier","not outlier")</f>
        <v>not outlier</v>
      </c>
      <c r="M1054" s="4" t="str">
        <f>IF(OR(Копия_20206[[#This Row],[Number of stores]]&gt;$U$7,Копия_20206[[#This Row],[Number of stores]]&lt;$U$6),"outlier","not outlier")</f>
        <v>not outlier</v>
      </c>
    </row>
    <row r="1055" spans="1:13" x14ac:dyDescent="0.25">
      <c r="A1055">
        <v>2021</v>
      </c>
      <c r="B1055">
        <v>11</v>
      </c>
      <c r="C1055" s="1" t="s">
        <v>29</v>
      </c>
      <c r="D1055" s="1" t="s">
        <v>9</v>
      </c>
      <c r="E1055" s="1" t="s">
        <v>18</v>
      </c>
      <c r="F1055" s="4">
        <v>17.948599999999999</v>
      </c>
      <c r="G1055" s="4">
        <v>1339.4530999999999</v>
      </c>
      <c r="H1055" s="4">
        <v>3.5895999999999999</v>
      </c>
      <c r="I1055">
        <v>2387</v>
      </c>
      <c r="J1055" s="4" t="str">
        <f>IF(OR(Копия_20206[[#This Row],[Units (in 1000)]]&gt;$R$7,Копия_20206[[#This Row],[Units (in 1000)]]&lt;$R$6),"outlier","not outlier")</f>
        <v>not outlier</v>
      </c>
      <c r="K1055" s="4" t="str">
        <f>IF(OR(Копия_20206[[#This Row],[Value (in 1000 rub)]]&gt;$S$7,Копия_20206[[#This Row],[Value (in 1000 rub)]]&lt;$S$6),"outlier","not outlier")</f>
        <v>not outlier</v>
      </c>
      <c r="L1055" s="4" t="str">
        <f>IF(OR(Копия_20206[[#This Row],[Volume (in 1000 kg)]]&gt;$T$7,Копия_20206[[#This Row],[Volume (in 1000 kg)]]&lt;$T$6),"outlier","not outlier")</f>
        <v>not outlier</v>
      </c>
      <c r="M1055" s="4" t="str">
        <f>IF(OR(Копия_20206[[#This Row],[Number of stores]]&gt;$U$7,Копия_20206[[#This Row],[Number of stores]]&lt;$U$6),"outlier","not outlier")</f>
        <v>not outlier</v>
      </c>
    </row>
    <row r="1056" spans="1:13" x14ac:dyDescent="0.25">
      <c r="A1056">
        <v>2021</v>
      </c>
      <c r="B1056">
        <v>12</v>
      </c>
      <c r="C1056" s="1" t="s">
        <v>8</v>
      </c>
      <c r="D1056" s="1" t="s">
        <v>9</v>
      </c>
      <c r="E1056" s="1" t="s">
        <v>18</v>
      </c>
      <c r="F1056" s="4">
        <v>10.590299999999999</v>
      </c>
      <c r="G1056" s="4">
        <v>748.85789999999997</v>
      </c>
      <c r="H1056" s="4">
        <v>2.1179999999999999</v>
      </c>
      <c r="I1056">
        <v>428</v>
      </c>
      <c r="J1056" s="4" t="str">
        <f>IF(OR(Копия_20206[[#This Row],[Units (in 1000)]]&gt;$R$7,Копия_20206[[#This Row],[Units (in 1000)]]&lt;$R$6),"outlier","not outlier")</f>
        <v>not outlier</v>
      </c>
      <c r="K1056" s="4" t="str">
        <f>IF(OR(Копия_20206[[#This Row],[Value (in 1000 rub)]]&gt;$S$7,Копия_20206[[#This Row],[Value (in 1000 rub)]]&lt;$S$6),"outlier","not outlier")</f>
        <v>not outlier</v>
      </c>
      <c r="L1056" s="4" t="str">
        <f>IF(OR(Копия_20206[[#This Row],[Volume (in 1000 kg)]]&gt;$T$7,Копия_20206[[#This Row],[Volume (in 1000 kg)]]&lt;$T$6),"outlier","not outlier")</f>
        <v>not outlier</v>
      </c>
      <c r="M1056" s="4" t="str">
        <f>IF(OR(Копия_20206[[#This Row],[Number of stores]]&gt;$U$7,Копия_20206[[#This Row],[Number of stores]]&lt;$U$6),"outlier","not outlier")</f>
        <v>not outlier</v>
      </c>
    </row>
    <row r="1057" spans="1:13" x14ac:dyDescent="0.25">
      <c r="A1057">
        <v>2021</v>
      </c>
      <c r="B1057">
        <v>12</v>
      </c>
      <c r="C1057" s="1" t="s">
        <v>25</v>
      </c>
      <c r="D1057" s="1" t="s">
        <v>9</v>
      </c>
      <c r="E1057" s="1" t="s">
        <v>18</v>
      </c>
      <c r="F1057" s="4">
        <v>7.8182</v>
      </c>
      <c r="G1057" s="4">
        <v>549.34429999999998</v>
      </c>
      <c r="H1057" s="4">
        <v>1.5636000000000001</v>
      </c>
      <c r="I1057">
        <v>1053</v>
      </c>
      <c r="J1057" s="4" t="str">
        <f>IF(OR(Копия_20206[[#This Row],[Units (in 1000)]]&gt;$R$7,Копия_20206[[#This Row],[Units (in 1000)]]&lt;$R$6),"outlier","not outlier")</f>
        <v>not outlier</v>
      </c>
      <c r="K1057" s="4" t="str">
        <f>IF(OR(Копия_20206[[#This Row],[Value (in 1000 rub)]]&gt;$S$7,Копия_20206[[#This Row],[Value (in 1000 rub)]]&lt;$S$6),"outlier","not outlier")</f>
        <v>not outlier</v>
      </c>
      <c r="L1057" s="4" t="str">
        <f>IF(OR(Копия_20206[[#This Row],[Volume (in 1000 kg)]]&gt;$T$7,Копия_20206[[#This Row],[Volume (in 1000 kg)]]&lt;$T$6),"outlier","not outlier")</f>
        <v>not outlier</v>
      </c>
      <c r="M1057" s="4" t="str">
        <f>IF(OR(Копия_20206[[#This Row],[Number of stores]]&gt;$U$7,Копия_20206[[#This Row],[Number of stores]]&lt;$U$6),"outlier","not outlier")</f>
        <v>not outlier</v>
      </c>
    </row>
    <row r="1058" spans="1:13" x14ac:dyDescent="0.25">
      <c r="A1058">
        <v>2021</v>
      </c>
      <c r="B1058">
        <v>12</v>
      </c>
      <c r="C1058" s="1" t="s">
        <v>29</v>
      </c>
      <c r="D1058" s="1" t="s">
        <v>9</v>
      </c>
      <c r="E1058" s="1" t="s">
        <v>18</v>
      </c>
      <c r="F1058" s="4">
        <v>25.2956</v>
      </c>
      <c r="G1058" s="4">
        <v>1721.9885999999999</v>
      </c>
      <c r="H1058" s="4">
        <v>5.0590999999999999</v>
      </c>
      <c r="I1058">
        <v>2407</v>
      </c>
      <c r="J1058" s="4" t="str">
        <f>IF(OR(Копия_20206[[#This Row],[Units (in 1000)]]&gt;$R$7,Копия_20206[[#This Row],[Units (in 1000)]]&lt;$R$6),"outlier","not outlier")</f>
        <v>outlier</v>
      </c>
      <c r="K1058" s="4" t="str">
        <f>IF(OR(Копия_20206[[#This Row],[Value (in 1000 rub)]]&gt;$S$7,Копия_20206[[#This Row],[Value (in 1000 rub)]]&lt;$S$6),"outlier","not outlier")</f>
        <v>not outlier</v>
      </c>
      <c r="L1058" s="4" t="str">
        <f>IF(OR(Копия_20206[[#This Row],[Volume (in 1000 kg)]]&gt;$T$7,Копия_20206[[#This Row],[Volume (in 1000 kg)]]&lt;$T$6),"outlier","not outlier")</f>
        <v>not outlier</v>
      </c>
      <c r="M1058" s="4" t="str">
        <f>IF(OR(Копия_20206[[#This Row],[Number of stores]]&gt;$U$7,Копия_20206[[#This Row],[Number of stores]]&lt;$U$6),"outlier","not outlier")</f>
        <v>not outlier</v>
      </c>
    </row>
    <row r="1059" spans="1:13" x14ac:dyDescent="0.25">
      <c r="A1059">
        <v>2021</v>
      </c>
      <c r="B1059">
        <v>1</v>
      </c>
      <c r="C1059" s="1" t="s">
        <v>25</v>
      </c>
      <c r="D1059" s="1" t="s">
        <v>27</v>
      </c>
      <c r="E1059" s="1" t="s">
        <v>11</v>
      </c>
      <c r="F1059" s="4">
        <v>0.31940000000000002</v>
      </c>
      <c r="G1059" s="4">
        <v>68.459952999999999</v>
      </c>
      <c r="H1059" s="4">
        <v>0.11169999999999999</v>
      </c>
      <c r="I1059">
        <v>121</v>
      </c>
      <c r="J1059" s="4" t="str">
        <f>IF(OR(Копия_20206[[#This Row],[Units (in 1000)]]&gt;$R$7,Копия_20206[[#This Row],[Units (in 1000)]]&lt;$R$6),"outlier","not outlier")</f>
        <v>not outlier</v>
      </c>
      <c r="K1059" s="4" t="str">
        <f>IF(OR(Копия_20206[[#This Row],[Value (in 1000 rub)]]&gt;$S$7,Копия_20206[[#This Row],[Value (in 1000 rub)]]&lt;$S$6),"outlier","not outlier")</f>
        <v>not outlier</v>
      </c>
      <c r="L1059" s="4" t="str">
        <f>IF(OR(Копия_20206[[#This Row],[Volume (in 1000 kg)]]&gt;$T$7,Копия_20206[[#This Row],[Volume (in 1000 kg)]]&lt;$T$6),"outlier","not outlier")</f>
        <v>not outlier</v>
      </c>
      <c r="M1059" s="4" t="str">
        <f>IF(OR(Копия_20206[[#This Row],[Number of stores]]&gt;$U$7,Копия_20206[[#This Row],[Number of stores]]&lt;$U$6),"outlier","not outlier")</f>
        <v>not outlier</v>
      </c>
    </row>
    <row r="1060" spans="1:13" x14ac:dyDescent="0.25">
      <c r="A1060">
        <v>2021</v>
      </c>
      <c r="B1060">
        <v>5</v>
      </c>
      <c r="C1060" s="1" t="s">
        <v>25</v>
      </c>
      <c r="D1060" s="1" t="s">
        <v>40</v>
      </c>
      <c r="E1060" s="1" t="s">
        <v>12</v>
      </c>
      <c r="F1060" s="4">
        <v>1.0727</v>
      </c>
      <c r="G1060" s="4">
        <v>91.027754000000002</v>
      </c>
      <c r="H1060" s="4">
        <v>0.42909999999999998</v>
      </c>
      <c r="I1060">
        <v>0</v>
      </c>
      <c r="J1060" s="4" t="str">
        <f>IF(OR(Копия_20206[[#This Row],[Units (in 1000)]]&gt;$R$7,Копия_20206[[#This Row],[Units (in 1000)]]&lt;$R$6),"outlier","not outlier")</f>
        <v>not outlier</v>
      </c>
      <c r="K1060" s="4" t="str">
        <f>IF(OR(Копия_20206[[#This Row],[Value (in 1000 rub)]]&gt;$S$7,Копия_20206[[#This Row],[Value (in 1000 rub)]]&lt;$S$6),"outlier","not outlier")</f>
        <v>not outlier</v>
      </c>
      <c r="L1060" s="4" t="str">
        <f>IF(OR(Копия_20206[[#This Row],[Volume (in 1000 kg)]]&gt;$T$7,Копия_20206[[#This Row],[Volume (in 1000 kg)]]&lt;$T$6),"outlier","not outlier")</f>
        <v>not outlier</v>
      </c>
      <c r="M1060" s="4" t="str">
        <f>IF(OR(Копия_20206[[#This Row],[Number of stores]]&gt;$U$7,Копия_20206[[#This Row],[Number of stores]]&lt;$U$6),"outlier","not outlier")</f>
        <v>not outlier</v>
      </c>
    </row>
    <row r="1061" spans="1:13" x14ac:dyDescent="0.25">
      <c r="A1061">
        <v>2021</v>
      </c>
      <c r="B1061">
        <v>6</v>
      </c>
      <c r="C1061" s="1" t="s">
        <v>25</v>
      </c>
      <c r="D1061" s="1" t="s">
        <v>40</v>
      </c>
      <c r="E1061" s="1" t="s">
        <v>12</v>
      </c>
      <c r="F1061" s="4">
        <v>1.6225000000000001</v>
      </c>
      <c r="G1061" s="4">
        <v>152.93680000000001</v>
      </c>
      <c r="H1061" s="4">
        <v>0.64900000000000002</v>
      </c>
      <c r="I1061">
        <v>0</v>
      </c>
      <c r="J1061" s="4" t="str">
        <f>IF(OR(Копия_20206[[#This Row],[Units (in 1000)]]&gt;$R$7,Копия_20206[[#This Row],[Units (in 1000)]]&lt;$R$6),"outlier","not outlier")</f>
        <v>not outlier</v>
      </c>
      <c r="K1061" s="4" t="str">
        <f>IF(OR(Копия_20206[[#This Row],[Value (in 1000 rub)]]&gt;$S$7,Копия_20206[[#This Row],[Value (in 1000 rub)]]&lt;$S$6),"outlier","not outlier")</f>
        <v>not outlier</v>
      </c>
      <c r="L1061" s="4" t="str">
        <f>IF(OR(Копия_20206[[#This Row],[Volume (in 1000 kg)]]&gt;$T$7,Копия_20206[[#This Row],[Volume (in 1000 kg)]]&lt;$T$6),"outlier","not outlier")</f>
        <v>not outlier</v>
      </c>
      <c r="M1061" s="4" t="str">
        <f>IF(OR(Копия_20206[[#This Row],[Number of stores]]&gt;$U$7,Копия_20206[[#This Row],[Number of stores]]&lt;$U$6),"outlier","not outlier")</f>
        <v>not outlier</v>
      </c>
    </row>
    <row r="1062" spans="1:13" x14ac:dyDescent="0.25">
      <c r="A1062">
        <v>2021</v>
      </c>
      <c r="B1062">
        <v>7</v>
      </c>
      <c r="C1062" s="1" t="s">
        <v>25</v>
      </c>
      <c r="D1062" s="1" t="s">
        <v>40</v>
      </c>
      <c r="E1062" s="1" t="s">
        <v>12</v>
      </c>
      <c r="F1062" s="4">
        <v>1.7793000000000001</v>
      </c>
      <c r="G1062" s="4">
        <v>180.530733</v>
      </c>
      <c r="H1062" s="4">
        <v>0.7117</v>
      </c>
      <c r="I1062">
        <v>549</v>
      </c>
      <c r="J1062" s="4" t="str">
        <f>IF(OR(Копия_20206[[#This Row],[Units (in 1000)]]&gt;$R$7,Копия_20206[[#This Row],[Units (in 1000)]]&lt;$R$6),"outlier","not outlier")</f>
        <v>not outlier</v>
      </c>
      <c r="K1062" s="4" t="str">
        <f>IF(OR(Копия_20206[[#This Row],[Value (in 1000 rub)]]&gt;$S$7,Копия_20206[[#This Row],[Value (in 1000 rub)]]&lt;$S$6),"outlier","not outlier")</f>
        <v>not outlier</v>
      </c>
      <c r="L1062" s="4" t="str">
        <f>IF(OR(Копия_20206[[#This Row],[Volume (in 1000 kg)]]&gt;$T$7,Копия_20206[[#This Row],[Volume (in 1000 kg)]]&lt;$T$6),"outlier","not outlier")</f>
        <v>not outlier</v>
      </c>
      <c r="M1062" s="4" t="str">
        <f>IF(OR(Копия_20206[[#This Row],[Number of stores]]&gt;$U$7,Копия_20206[[#This Row],[Number of stores]]&lt;$U$6),"outlier","not outlier")</f>
        <v>not outlier</v>
      </c>
    </row>
    <row r="1063" spans="1:13" x14ac:dyDescent="0.25">
      <c r="A1063">
        <v>2021</v>
      </c>
      <c r="B1063">
        <v>8</v>
      </c>
      <c r="C1063" s="1" t="s">
        <v>25</v>
      </c>
      <c r="D1063" s="1" t="s">
        <v>40</v>
      </c>
      <c r="E1063" s="1" t="s">
        <v>12</v>
      </c>
      <c r="F1063" s="4">
        <v>1.4000999999999999</v>
      </c>
      <c r="G1063" s="4">
        <v>153.40021400000001</v>
      </c>
      <c r="H1063" s="4">
        <v>0.56000000000000005</v>
      </c>
      <c r="I1063">
        <v>410</v>
      </c>
      <c r="J1063" s="4" t="str">
        <f>IF(OR(Копия_20206[[#This Row],[Units (in 1000)]]&gt;$R$7,Копия_20206[[#This Row],[Units (in 1000)]]&lt;$R$6),"outlier","not outlier")</f>
        <v>not outlier</v>
      </c>
      <c r="K1063" s="4" t="str">
        <f>IF(OR(Копия_20206[[#This Row],[Value (in 1000 rub)]]&gt;$S$7,Копия_20206[[#This Row],[Value (in 1000 rub)]]&lt;$S$6),"outlier","not outlier")</f>
        <v>not outlier</v>
      </c>
      <c r="L1063" s="4" t="str">
        <f>IF(OR(Копия_20206[[#This Row],[Volume (in 1000 kg)]]&gt;$T$7,Копия_20206[[#This Row],[Volume (in 1000 kg)]]&lt;$T$6),"outlier","not outlier")</f>
        <v>not outlier</v>
      </c>
      <c r="M1063" s="4" t="str">
        <f>IF(OR(Копия_20206[[#This Row],[Number of stores]]&gt;$U$7,Копия_20206[[#This Row],[Number of stores]]&lt;$U$6),"outlier","not outlier")</f>
        <v>not outlier</v>
      </c>
    </row>
    <row r="1064" spans="1:13" x14ac:dyDescent="0.25">
      <c r="A1064">
        <v>2021</v>
      </c>
      <c r="B1064">
        <v>9</v>
      </c>
      <c r="C1064" s="1" t="s">
        <v>25</v>
      </c>
      <c r="D1064" s="1" t="s">
        <v>40</v>
      </c>
      <c r="E1064" s="1" t="s">
        <v>12</v>
      </c>
      <c r="F1064" s="4">
        <v>2.0364</v>
      </c>
      <c r="G1064" s="4">
        <v>183.71554599999999</v>
      </c>
      <c r="H1064" s="4">
        <v>0.81459999999999999</v>
      </c>
      <c r="I1064">
        <v>575</v>
      </c>
      <c r="J1064" s="4" t="str">
        <f>IF(OR(Копия_20206[[#This Row],[Units (in 1000)]]&gt;$R$7,Копия_20206[[#This Row],[Units (in 1000)]]&lt;$R$6),"outlier","not outlier")</f>
        <v>not outlier</v>
      </c>
      <c r="K1064" s="4" t="str">
        <f>IF(OR(Копия_20206[[#This Row],[Value (in 1000 rub)]]&gt;$S$7,Копия_20206[[#This Row],[Value (in 1000 rub)]]&lt;$S$6),"outlier","not outlier")</f>
        <v>not outlier</v>
      </c>
      <c r="L1064" s="4" t="str">
        <f>IF(OR(Копия_20206[[#This Row],[Volume (in 1000 kg)]]&gt;$T$7,Копия_20206[[#This Row],[Volume (in 1000 kg)]]&lt;$T$6),"outlier","not outlier")</f>
        <v>not outlier</v>
      </c>
      <c r="M1064" s="4" t="str">
        <f>IF(OR(Копия_20206[[#This Row],[Number of stores]]&gt;$U$7,Копия_20206[[#This Row],[Number of stores]]&lt;$U$6),"outlier","not outlier")</f>
        <v>not outlier</v>
      </c>
    </row>
    <row r="1065" spans="1:13" x14ac:dyDescent="0.25">
      <c r="A1065">
        <v>2021</v>
      </c>
      <c r="B1065">
        <v>10</v>
      </c>
      <c r="C1065" s="1" t="s">
        <v>25</v>
      </c>
      <c r="D1065" s="1" t="s">
        <v>40</v>
      </c>
      <c r="E1065" s="1" t="s">
        <v>12</v>
      </c>
      <c r="F1065" s="4">
        <v>2.6855000000000002</v>
      </c>
      <c r="G1065" s="4">
        <v>198.28060199999999</v>
      </c>
      <c r="H1065" s="4">
        <v>1.0742</v>
      </c>
      <c r="I1065">
        <v>686</v>
      </c>
      <c r="J1065" s="4" t="str">
        <f>IF(OR(Копия_20206[[#This Row],[Units (in 1000)]]&gt;$R$7,Копия_20206[[#This Row],[Units (in 1000)]]&lt;$R$6),"outlier","not outlier")</f>
        <v>not outlier</v>
      </c>
      <c r="K1065" s="4" t="str">
        <f>IF(OR(Копия_20206[[#This Row],[Value (in 1000 rub)]]&gt;$S$7,Копия_20206[[#This Row],[Value (in 1000 rub)]]&lt;$S$6),"outlier","not outlier")</f>
        <v>not outlier</v>
      </c>
      <c r="L1065" s="4" t="str">
        <f>IF(OR(Копия_20206[[#This Row],[Volume (in 1000 kg)]]&gt;$T$7,Копия_20206[[#This Row],[Volume (in 1000 kg)]]&lt;$T$6),"outlier","not outlier")</f>
        <v>not outlier</v>
      </c>
      <c r="M1065" s="4" t="str">
        <f>IF(OR(Копия_20206[[#This Row],[Number of stores]]&gt;$U$7,Копия_20206[[#This Row],[Number of stores]]&lt;$U$6),"outlier","not outlier")</f>
        <v>not outlier</v>
      </c>
    </row>
    <row r="1066" spans="1:13" x14ac:dyDescent="0.25">
      <c r="A1066">
        <v>2021</v>
      </c>
      <c r="B1066">
        <v>11</v>
      </c>
      <c r="C1066" s="1" t="s">
        <v>25</v>
      </c>
      <c r="D1066" s="1" t="s">
        <v>40</v>
      </c>
      <c r="E1066" s="1" t="s">
        <v>12</v>
      </c>
      <c r="F1066" s="4">
        <v>2.0802999999999998</v>
      </c>
      <c r="G1066" s="4">
        <v>150.476249</v>
      </c>
      <c r="H1066" s="4">
        <v>0.83209999999999995</v>
      </c>
      <c r="I1066">
        <v>660</v>
      </c>
      <c r="J1066" s="4" t="str">
        <f>IF(OR(Копия_20206[[#This Row],[Units (in 1000)]]&gt;$R$7,Копия_20206[[#This Row],[Units (in 1000)]]&lt;$R$6),"outlier","not outlier")</f>
        <v>not outlier</v>
      </c>
      <c r="K1066" s="4" t="str">
        <f>IF(OR(Копия_20206[[#This Row],[Value (in 1000 rub)]]&gt;$S$7,Копия_20206[[#This Row],[Value (in 1000 rub)]]&lt;$S$6),"outlier","not outlier")</f>
        <v>not outlier</v>
      </c>
      <c r="L1066" s="4" t="str">
        <f>IF(OR(Копия_20206[[#This Row],[Volume (in 1000 kg)]]&gt;$T$7,Копия_20206[[#This Row],[Volume (in 1000 kg)]]&lt;$T$6),"outlier","not outlier")</f>
        <v>not outlier</v>
      </c>
      <c r="M1066" s="4" t="str">
        <f>IF(OR(Копия_20206[[#This Row],[Number of stores]]&gt;$U$7,Копия_20206[[#This Row],[Number of stores]]&lt;$U$6),"outlier","not outlier")</f>
        <v>not outlier</v>
      </c>
    </row>
    <row r="1067" spans="1:13" x14ac:dyDescent="0.25">
      <c r="A1067">
        <v>2021</v>
      </c>
      <c r="B1067">
        <v>2</v>
      </c>
      <c r="C1067" s="1" t="s">
        <v>8</v>
      </c>
      <c r="D1067" s="1" t="s">
        <v>34</v>
      </c>
      <c r="E1067" s="1" t="s">
        <v>12</v>
      </c>
      <c r="F1067" s="4">
        <v>0.2056</v>
      </c>
      <c r="G1067" s="4">
        <v>41.075017000000003</v>
      </c>
      <c r="H1067" s="4">
        <v>8.2299999999999998E-2</v>
      </c>
      <c r="I1067">
        <v>62</v>
      </c>
      <c r="J1067" s="4" t="str">
        <f>IF(OR(Копия_20206[[#This Row],[Units (in 1000)]]&gt;$R$7,Копия_20206[[#This Row],[Units (in 1000)]]&lt;$R$6),"outlier","not outlier")</f>
        <v>not outlier</v>
      </c>
      <c r="K1067" s="4" t="str">
        <f>IF(OR(Копия_20206[[#This Row],[Value (in 1000 rub)]]&gt;$S$7,Копия_20206[[#This Row],[Value (in 1000 rub)]]&lt;$S$6),"outlier","not outlier")</f>
        <v>not outlier</v>
      </c>
      <c r="L1067" s="4" t="str">
        <f>IF(OR(Копия_20206[[#This Row],[Volume (in 1000 kg)]]&gt;$T$7,Копия_20206[[#This Row],[Volume (in 1000 kg)]]&lt;$T$6),"outlier","not outlier")</f>
        <v>not outlier</v>
      </c>
      <c r="M1067" s="4" t="str">
        <f>IF(OR(Копия_20206[[#This Row],[Number of stores]]&gt;$U$7,Копия_20206[[#This Row],[Number of stores]]&lt;$U$6),"outlier","not outlier")</f>
        <v>not outlier</v>
      </c>
    </row>
    <row r="1068" spans="1:13" x14ac:dyDescent="0.25">
      <c r="A1068">
        <v>2021</v>
      </c>
      <c r="B1068">
        <v>3</v>
      </c>
      <c r="C1068" s="1" t="s">
        <v>8</v>
      </c>
      <c r="D1068" s="1" t="s">
        <v>34</v>
      </c>
      <c r="E1068" s="1" t="s">
        <v>12</v>
      </c>
      <c r="F1068" s="4">
        <v>0.2084</v>
      </c>
      <c r="G1068" s="4">
        <v>42.177222999999998</v>
      </c>
      <c r="H1068" s="4">
        <v>8.3299999999999999E-2</v>
      </c>
      <c r="I1068">
        <v>56</v>
      </c>
      <c r="J1068" s="4" t="str">
        <f>IF(OR(Копия_20206[[#This Row],[Units (in 1000)]]&gt;$R$7,Копия_20206[[#This Row],[Units (in 1000)]]&lt;$R$6),"outlier","not outlier")</f>
        <v>not outlier</v>
      </c>
      <c r="K1068" s="4" t="str">
        <f>IF(OR(Копия_20206[[#This Row],[Value (in 1000 rub)]]&gt;$S$7,Копия_20206[[#This Row],[Value (in 1000 rub)]]&lt;$S$6),"outlier","not outlier")</f>
        <v>not outlier</v>
      </c>
      <c r="L1068" s="4" t="str">
        <f>IF(OR(Копия_20206[[#This Row],[Volume (in 1000 kg)]]&gt;$T$7,Копия_20206[[#This Row],[Volume (in 1000 kg)]]&lt;$T$6),"outlier","not outlier")</f>
        <v>not outlier</v>
      </c>
      <c r="M1068" s="4" t="str">
        <f>IF(OR(Копия_20206[[#This Row],[Number of stores]]&gt;$U$7,Копия_20206[[#This Row],[Number of stores]]&lt;$U$6),"outlier","not outlier")</f>
        <v>not outlier</v>
      </c>
    </row>
    <row r="1069" spans="1:13" x14ac:dyDescent="0.25">
      <c r="A1069">
        <v>2021</v>
      </c>
      <c r="B1069">
        <v>4</v>
      </c>
      <c r="C1069" s="1" t="s">
        <v>8</v>
      </c>
      <c r="D1069" s="1" t="s">
        <v>34</v>
      </c>
      <c r="E1069" s="1" t="s">
        <v>12</v>
      </c>
      <c r="F1069" s="4">
        <v>0.21260000000000001</v>
      </c>
      <c r="G1069" s="4">
        <v>42.238225</v>
      </c>
      <c r="H1069" s="4">
        <v>8.5000000000000006E-2</v>
      </c>
      <c r="I1069">
        <v>0</v>
      </c>
      <c r="J1069" s="4" t="str">
        <f>IF(OR(Копия_20206[[#This Row],[Units (in 1000)]]&gt;$R$7,Копия_20206[[#This Row],[Units (in 1000)]]&lt;$R$6),"outlier","not outlier")</f>
        <v>not outlier</v>
      </c>
      <c r="K1069" s="4" t="str">
        <f>IF(OR(Копия_20206[[#This Row],[Value (in 1000 rub)]]&gt;$S$7,Копия_20206[[#This Row],[Value (in 1000 rub)]]&lt;$S$6),"outlier","not outlier")</f>
        <v>not outlier</v>
      </c>
      <c r="L1069" s="4" t="str">
        <f>IF(OR(Копия_20206[[#This Row],[Volume (in 1000 kg)]]&gt;$T$7,Копия_20206[[#This Row],[Volume (in 1000 kg)]]&lt;$T$6),"outlier","not outlier")</f>
        <v>not outlier</v>
      </c>
      <c r="M1069" s="4" t="str">
        <f>IF(OR(Копия_20206[[#This Row],[Number of stores]]&gt;$U$7,Копия_20206[[#This Row],[Number of stores]]&lt;$U$6),"outlier","not outlier")</f>
        <v>not outlier</v>
      </c>
    </row>
    <row r="1070" spans="1:13" x14ac:dyDescent="0.25">
      <c r="A1070">
        <v>2021</v>
      </c>
      <c r="B1070">
        <v>5</v>
      </c>
      <c r="C1070" s="1" t="s">
        <v>8</v>
      </c>
      <c r="D1070" s="1" t="s">
        <v>34</v>
      </c>
      <c r="E1070" s="1" t="s">
        <v>12</v>
      </c>
      <c r="F1070" s="4">
        <v>0.25380000000000003</v>
      </c>
      <c r="G1070" s="4">
        <v>44.394432000000002</v>
      </c>
      <c r="H1070" s="4">
        <v>0.10150000000000001</v>
      </c>
      <c r="I1070">
        <v>0</v>
      </c>
      <c r="J1070" s="4" t="str">
        <f>IF(OR(Копия_20206[[#This Row],[Units (in 1000)]]&gt;$R$7,Копия_20206[[#This Row],[Units (in 1000)]]&lt;$R$6),"outlier","not outlier")</f>
        <v>not outlier</v>
      </c>
      <c r="K1070" s="4" t="str">
        <f>IF(OR(Копия_20206[[#This Row],[Value (in 1000 rub)]]&gt;$S$7,Копия_20206[[#This Row],[Value (in 1000 rub)]]&lt;$S$6),"outlier","not outlier")</f>
        <v>not outlier</v>
      </c>
      <c r="L1070" s="4" t="str">
        <f>IF(OR(Копия_20206[[#This Row],[Volume (in 1000 kg)]]&gt;$T$7,Копия_20206[[#This Row],[Volume (in 1000 kg)]]&lt;$T$6),"outlier","not outlier")</f>
        <v>not outlier</v>
      </c>
      <c r="M1070" s="4" t="str">
        <f>IF(OR(Копия_20206[[#This Row],[Number of stores]]&gt;$U$7,Копия_20206[[#This Row],[Number of stores]]&lt;$U$6),"outlier","not outlier")</f>
        <v>not outlier</v>
      </c>
    </row>
    <row r="1071" spans="1:13" x14ac:dyDescent="0.25">
      <c r="A1071">
        <v>2021</v>
      </c>
      <c r="B1071">
        <v>10</v>
      </c>
      <c r="C1071" s="1" t="s">
        <v>8</v>
      </c>
      <c r="D1071" s="1" t="s">
        <v>34</v>
      </c>
      <c r="E1071" s="1" t="s">
        <v>12</v>
      </c>
      <c r="F1071" s="4">
        <v>0.18029999999999999</v>
      </c>
      <c r="G1071" s="4">
        <v>33.354405</v>
      </c>
      <c r="H1071" s="4">
        <v>7.2099999999999997E-2</v>
      </c>
      <c r="I1071">
        <v>54</v>
      </c>
      <c r="J1071" s="4" t="str">
        <f>IF(OR(Копия_20206[[#This Row],[Units (in 1000)]]&gt;$R$7,Копия_20206[[#This Row],[Units (in 1000)]]&lt;$R$6),"outlier","not outlier")</f>
        <v>not outlier</v>
      </c>
      <c r="K1071" s="4" t="str">
        <f>IF(OR(Копия_20206[[#This Row],[Value (in 1000 rub)]]&gt;$S$7,Копия_20206[[#This Row],[Value (in 1000 rub)]]&lt;$S$6),"outlier","not outlier")</f>
        <v>not outlier</v>
      </c>
      <c r="L1071" s="4" t="str">
        <f>IF(OR(Копия_20206[[#This Row],[Volume (in 1000 kg)]]&gt;$T$7,Копия_20206[[#This Row],[Volume (in 1000 kg)]]&lt;$T$6),"outlier","not outlier")</f>
        <v>not outlier</v>
      </c>
      <c r="M1071" s="4" t="str">
        <f>IF(OR(Копия_20206[[#This Row],[Number of stores]]&gt;$U$7,Копия_20206[[#This Row],[Number of stores]]&lt;$U$6),"outlier","not outlier")</f>
        <v>not outlier</v>
      </c>
    </row>
    <row r="1072" spans="1:13" x14ac:dyDescent="0.25">
      <c r="A1072">
        <v>2021</v>
      </c>
      <c r="B1072">
        <v>11</v>
      </c>
      <c r="C1072" s="1" t="s">
        <v>8</v>
      </c>
      <c r="D1072" s="1" t="s">
        <v>34</v>
      </c>
      <c r="E1072" s="1" t="s">
        <v>12</v>
      </c>
      <c r="F1072" s="4">
        <v>0.14430000000000001</v>
      </c>
      <c r="G1072" s="4">
        <v>26.838242999999999</v>
      </c>
      <c r="H1072" s="4">
        <v>5.7700000000000001E-2</v>
      </c>
      <c r="I1072">
        <v>53</v>
      </c>
      <c r="J1072" s="4" t="str">
        <f>IF(OR(Копия_20206[[#This Row],[Units (in 1000)]]&gt;$R$7,Копия_20206[[#This Row],[Units (in 1000)]]&lt;$R$6),"outlier","not outlier")</f>
        <v>not outlier</v>
      </c>
      <c r="K1072" s="4" t="str">
        <f>IF(OR(Копия_20206[[#This Row],[Value (in 1000 rub)]]&gt;$S$7,Копия_20206[[#This Row],[Value (in 1000 rub)]]&lt;$S$6),"outlier","not outlier")</f>
        <v>not outlier</v>
      </c>
      <c r="L1072" s="4" t="str">
        <f>IF(OR(Копия_20206[[#This Row],[Volume (in 1000 kg)]]&gt;$T$7,Копия_20206[[#This Row],[Volume (in 1000 kg)]]&lt;$T$6),"outlier","not outlier")</f>
        <v>not outlier</v>
      </c>
      <c r="M1072" s="4" t="str">
        <f>IF(OR(Копия_20206[[#This Row],[Number of stores]]&gt;$U$7,Копия_20206[[#This Row],[Number of stores]]&lt;$U$6),"outlier","not outlier")</f>
        <v>not outlier</v>
      </c>
    </row>
    <row r="1073" spans="1:13" x14ac:dyDescent="0.25">
      <c r="A1073">
        <v>2021</v>
      </c>
      <c r="B1073">
        <v>4</v>
      </c>
      <c r="C1073" s="1" t="s">
        <v>25</v>
      </c>
      <c r="D1073" s="1" t="s">
        <v>37</v>
      </c>
      <c r="E1073" s="1" t="s">
        <v>35</v>
      </c>
      <c r="F1073" s="4">
        <v>3.3595000000000002</v>
      </c>
      <c r="G1073" s="4">
        <v>300.15178500000002</v>
      </c>
      <c r="H1073" s="4">
        <v>1.075</v>
      </c>
      <c r="I1073">
        <v>3105</v>
      </c>
      <c r="J1073" s="4" t="str">
        <f>IF(OR(Копия_20206[[#This Row],[Units (in 1000)]]&gt;$R$7,Копия_20206[[#This Row],[Units (in 1000)]]&lt;$R$6),"outlier","not outlier")</f>
        <v>not outlier</v>
      </c>
      <c r="K1073" s="4" t="str">
        <f>IF(OR(Копия_20206[[#This Row],[Value (in 1000 rub)]]&gt;$S$7,Копия_20206[[#This Row],[Value (in 1000 rub)]]&lt;$S$6),"outlier","not outlier")</f>
        <v>not outlier</v>
      </c>
      <c r="L1073" s="4" t="str">
        <f>IF(OR(Копия_20206[[#This Row],[Volume (in 1000 kg)]]&gt;$T$7,Копия_20206[[#This Row],[Volume (in 1000 kg)]]&lt;$T$6),"outlier","not outlier")</f>
        <v>not outlier</v>
      </c>
      <c r="M1073" s="4" t="str">
        <f>IF(OR(Копия_20206[[#This Row],[Number of stores]]&gt;$U$7,Копия_20206[[#This Row],[Number of stores]]&lt;$U$6),"outlier","not outlier")</f>
        <v>outlier</v>
      </c>
    </row>
    <row r="1074" spans="1:13" x14ac:dyDescent="0.25">
      <c r="A1074">
        <v>2021</v>
      </c>
      <c r="B1074">
        <v>4</v>
      </c>
      <c r="C1074" s="1" t="s">
        <v>29</v>
      </c>
      <c r="D1074" s="1" t="s">
        <v>37</v>
      </c>
      <c r="E1074" s="1" t="s">
        <v>35</v>
      </c>
      <c r="F1074" s="4">
        <v>5.1391</v>
      </c>
      <c r="G1074" s="4">
        <v>458.18407400000001</v>
      </c>
      <c r="H1074" s="4">
        <v>1.6445000000000001</v>
      </c>
      <c r="I1074">
        <v>3919</v>
      </c>
      <c r="J1074" s="4" t="str">
        <f>IF(OR(Копия_20206[[#This Row],[Units (in 1000)]]&gt;$R$7,Копия_20206[[#This Row],[Units (in 1000)]]&lt;$R$6),"outlier","not outlier")</f>
        <v>not outlier</v>
      </c>
      <c r="K1074" s="4" t="str">
        <f>IF(OR(Копия_20206[[#This Row],[Value (in 1000 rub)]]&gt;$S$7,Копия_20206[[#This Row],[Value (in 1000 rub)]]&lt;$S$6),"outlier","not outlier")</f>
        <v>not outlier</v>
      </c>
      <c r="L1074" s="4" t="str">
        <f>IF(OR(Копия_20206[[#This Row],[Volume (in 1000 kg)]]&gt;$T$7,Копия_20206[[#This Row],[Volume (in 1000 kg)]]&lt;$T$6),"outlier","not outlier")</f>
        <v>not outlier</v>
      </c>
      <c r="M1074" s="4" t="str">
        <f>IF(OR(Копия_20206[[#This Row],[Number of stores]]&gt;$U$7,Копия_20206[[#This Row],[Number of stores]]&lt;$U$6),"outlier","not outlier")</f>
        <v>outlier</v>
      </c>
    </row>
    <row r="1075" spans="1:13" x14ac:dyDescent="0.25">
      <c r="A1075">
        <v>2021</v>
      </c>
      <c r="B1075">
        <v>5</v>
      </c>
      <c r="C1075" s="1" t="s">
        <v>25</v>
      </c>
      <c r="D1075" s="1" t="s">
        <v>37</v>
      </c>
      <c r="E1075" s="1" t="s">
        <v>35</v>
      </c>
      <c r="F1075" s="4">
        <v>3.8908</v>
      </c>
      <c r="G1075" s="4">
        <v>334.68803000000003</v>
      </c>
      <c r="H1075" s="4">
        <v>1.2451000000000001</v>
      </c>
      <c r="I1075">
        <v>3510</v>
      </c>
      <c r="J1075" s="4" t="str">
        <f>IF(OR(Копия_20206[[#This Row],[Units (in 1000)]]&gt;$R$7,Копия_20206[[#This Row],[Units (in 1000)]]&lt;$R$6),"outlier","not outlier")</f>
        <v>not outlier</v>
      </c>
      <c r="K1075" s="4" t="str">
        <f>IF(OR(Копия_20206[[#This Row],[Value (in 1000 rub)]]&gt;$S$7,Копия_20206[[#This Row],[Value (in 1000 rub)]]&lt;$S$6),"outlier","not outlier")</f>
        <v>not outlier</v>
      </c>
      <c r="L1075" s="4" t="str">
        <f>IF(OR(Копия_20206[[#This Row],[Volume (in 1000 kg)]]&gt;$T$7,Копия_20206[[#This Row],[Volume (in 1000 kg)]]&lt;$T$6),"outlier","not outlier")</f>
        <v>not outlier</v>
      </c>
      <c r="M1075" s="4" t="str">
        <f>IF(OR(Копия_20206[[#This Row],[Number of stores]]&gt;$U$7,Копия_20206[[#This Row],[Number of stores]]&lt;$U$6),"outlier","not outlier")</f>
        <v>outlier</v>
      </c>
    </row>
    <row r="1076" spans="1:13" x14ac:dyDescent="0.25">
      <c r="A1076">
        <v>2021</v>
      </c>
      <c r="B1076">
        <v>5</v>
      </c>
      <c r="C1076" s="1" t="s">
        <v>29</v>
      </c>
      <c r="D1076" s="1" t="s">
        <v>37</v>
      </c>
      <c r="E1076" s="1" t="s">
        <v>35</v>
      </c>
      <c r="F1076" s="4">
        <v>4.7962999999999996</v>
      </c>
      <c r="G1076" s="4">
        <v>411.48491000000001</v>
      </c>
      <c r="H1076" s="4">
        <v>1.5347999999999999</v>
      </c>
      <c r="I1076">
        <v>3969</v>
      </c>
      <c r="J1076" s="4" t="str">
        <f>IF(OR(Копия_20206[[#This Row],[Units (in 1000)]]&gt;$R$7,Копия_20206[[#This Row],[Units (in 1000)]]&lt;$R$6),"outlier","not outlier")</f>
        <v>not outlier</v>
      </c>
      <c r="K1076" s="4" t="str">
        <f>IF(OR(Копия_20206[[#This Row],[Value (in 1000 rub)]]&gt;$S$7,Копия_20206[[#This Row],[Value (in 1000 rub)]]&lt;$S$6),"outlier","not outlier")</f>
        <v>not outlier</v>
      </c>
      <c r="L1076" s="4" t="str">
        <f>IF(OR(Копия_20206[[#This Row],[Volume (in 1000 kg)]]&gt;$T$7,Копия_20206[[#This Row],[Volume (in 1000 kg)]]&lt;$T$6),"outlier","not outlier")</f>
        <v>not outlier</v>
      </c>
      <c r="M1076" s="4" t="str">
        <f>IF(OR(Копия_20206[[#This Row],[Number of stores]]&gt;$U$7,Копия_20206[[#This Row],[Number of stores]]&lt;$U$6),"outlier","not outlier")</f>
        <v>outlier</v>
      </c>
    </row>
    <row r="1077" spans="1:13" x14ac:dyDescent="0.25">
      <c r="A1077">
        <v>2021</v>
      </c>
      <c r="B1077">
        <v>6</v>
      </c>
      <c r="C1077" s="1" t="s">
        <v>25</v>
      </c>
      <c r="D1077" s="1" t="s">
        <v>37</v>
      </c>
      <c r="E1077" s="1" t="s">
        <v>35</v>
      </c>
      <c r="F1077" s="4">
        <v>3.7282999999999999</v>
      </c>
      <c r="G1077" s="4">
        <v>271.43171000000001</v>
      </c>
      <c r="H1077" s="4">
        <v>1.1930000000000001</v>
      </c>
      <c r="I1077">
        <v>3378</v>
      </c>
      <c r="J1077" s="4" t="str">
        <f>IF(OR(Копия_20206[[#This Row],[Units (in 1000)]]&gt;$R$7,Копия_20206[[#This Row],[Units (in 1000)]]&lt;$R$6),"outlier","not outlier")</f>
        <v>not outlier</v>
      </c>
      <c r="K1077" s="4" t="str">
        <f>IF(OR(Копия_20206[[#This Row],[Value (in 1000 rub)]]&gt;$S$7,Копия_20206[[#This Row],[Value (in 1000 rub)]]&lt;$S$6),"outlier","not outlier")</f>
        <v>not outlier</v>
      </c>
      <c r="L1077" s="4" t="str">
        <f>IF(OR(Копия_20206[[#This Row],[Volume (in 1000 kg)]]&gt;$T$7,Копия_20206[[#This Row],[Volume (in 1000 kg)]]&lt;$T$6),"outlier","not outlier")</f>
        <v>not outlier</v>
      </c>
      <c r="M1077" s="4" t="str">
        <f>IF(OR(Копия_20206[[#This Row],[Number of stores]]&gt;$U$7,Копия_20206[[#This Row],[Number of stores]]&lt;$U$6),"outlier","not outlier")</f>
        <v>outlier</v>
      </c>
    </row>
    <row r="1078" spans="1:13" x14ac:dyDescent="0.25">
      <c r="A1078">
        <v>2021</v>
      </c>
      <c r="B1078">
        <v>6</v>
      </c>
      <c r="C1078" s="1" t="s">
        <v>29</v>
      </c>
      <c r="D1078" s="1" t="s">
        <v>37</v>
      </c>
      <c r="E1078" s="1" t="s">
        <v>35</v>
      </c>
      <c r="F1078" s="4">
        <v>4.5629999999999997</v>
      </c>
      <c r="G1078" s="4">
        <v>345.88195300000001</v>
      </c>
      <c r="H1078" s="4">
        <v>1.4601</v>
      </c>
      <c r="I1078">
        <v>4110</v>
      </c>
      <c r="J1078" s="4" t="str">
        <f>IF(OR(Копия_20206[[#This Row],[Units (in 1000)]]&gt;$R$7,Копия_20206[[#This Row],[Units (in 1000)]]&lt;$R$6),"outlier","not outlier")</f>
        <v>not outlier</v>
      </c>
      <c r="K1078" s="4" t="str">
        <f>IF(OR(Копия_20206[[#This Row],[Value (in 1000 rub)]]&gt;$S$7,Копия_20206[[#This Row],[Value (in 1000 rub)]]&lt;$S$6),"outlier","not outlier")</f>
        <v>not outlier</v>
      </c>
      <c r="L1078" s="4" t="str">
        <f>IF(OR(Копия_20206[[#This Row],[Volume (in 1000 kg)]]&gt;$T$7,Копия_20206[[#This Row],[Volume (in 1000 kg)]]&lt;$T$6),"outlier","not outlier")</f>
        <v>not outlier</v>
      </c>
      <c r="M1078" s="4" t="str">
        <f>IF(OR(Копия_20206[[#This Row],[Number of stores]]&gt;$U$7,Копия_20206[[#This Row],[Number of stores]]&lt;$U$6),"outlier","not outlier")</f>
        <v>outlier</v>
      </c>
    </row>
    <row r="1079" spans="1:13" x14ac:dyDescent="0.25">
      <c r="A1079">
        <v>2021</v>
      </c>
      <c r="B1079">
        <v>7</v>
      </c>
      <c r="C1079" s="1" t="s">
        <v>8</v>
      </c>
      <c r="D1079" s="1" t="s">
        <v>37</v>
      </c>
      <c r="E1079" s="1" t="s">
        <v>35</v>
      </c>
      <c r="F1079" s="4">
        <v>1.7727999999999999</v>
      </c>
      <c r="G1079" s="4">
        <v>141.873434</v>
      </c>
      <c r="H1079" s="4">
        <v>0.56730000000000003</v>
      </c>
      <c r="I1079">
        <v>369</v>
      </c>
      <c r="J1079" s="4" t="str">
        <f>IF(OR(Копия_20206[[#This Row],[Units (in 1000)]]&gt;$R$7,Копия_20206[[#This Row],[Units (in 1000)]]&lt;$R$6),"outlier","not outlier")</f>
        <v>not outlier</v>
      </c>
      <c r="K1079" s="4" t="str">
        <f>IF(OR(Копия_20206[[#This Row],[Value (in 1000 rub)]]&gt;$S$7,Копия_20206[[#This Row],[Value (in 1000 rub)]]&lt;$S$6),"outlier","not outlier")</f>
        <v>not outlier</v>
      </c>
      <c r="L1079" s="4" t="str">
        <f>IF(OR(Копия_20206[[#This Row],[Volume (in 1000 kg)]]&gt;$T$7,Копия_20206[[#This Row],[Volume (in 1000 kg)]]&lt;$T$6),"outlier","not outlier")</f>
        <v>not outlier</v>
      </c>
      <c r="M1079" s="4" t="str">
        <f>IF(OR(Копия_20206[[#This Row],[Number of stores]]&gt;$U$7,Копия_20206[[#This Row],[Number of stores]]&lt;$U$6),"outlier","not outlier")</f>
        <v>not outlier</v>
      </c>
    </row>
    <row r="1080" spans="1:13" x14ac:dyDescent="0.25">
      <c r="A1080">
        <v>2021</v>
      </c>
      <c r="B1080">
        <v>7</v>
      </c>
      <c r="C1080" s="1" t="s">
        <v>25</v>
      </c>
      <c r="D1080" s="1" t="s">
        <v>37</v>
      </c>
      <c r="E1080" s="1" t="s">
        <v>35</v>
      </c>
      <c r="F1080" s="4">
        <v>8.4135000000000009</v>
      </c>
      <c r="G1080" s="4">
        <v>442.433333</v>
      </c>
      <c r="H1080" s="4">
        <v>2.6922999999999999</v>
      </c>
      <c r="I1080">
        <v>4822</v>
      </c>
      <c r="J1080" s="4" t="str">
        <f>IF(OR(Копия_20206[[#This Row],[Units (in 1000)]]&gt;$R$7,Копия_20206[[#This Row],[Units (in 1000)]]&lt;$R$6),"outlier","not outlier")</f>
        <v>not outlier</v>
      </c>
      <c r="K1080" s="4" t="str">
        <f>IF(OR(Копия_20206[[#This Row],[Value (in 1000 rub)]]&gt;$S$7,Копия_20206[[#This Row],[Value (in 1000 rub)]]&lt;$S$6),"outlier","not outlier")</f>
        <v>not outlier</v>
      </c>
      <c r="L1080" s="4" t="str">
        <f>IF(OR(Копия_20206[[#This Row],[Volume (in 1000 kg)]]&gt;$T$7,Копия_20206[[#This Row],[Volume (in 1000 kg)]]&lt;$T$6),"outlier","not outlier")</f>
        <v>not outlier</v>
      </c>
      <c r="M1080" s="4" t="str">
        <f>IF(OR(Копия_20206[[#This Row],[Number of stores]]&gt;$U$7,Копия_20206[[#This Row],[Number of stores]]&lt;$U$6),"outlier","not outlier")</f>
        <v>outlier</v>
      </c>
    </row>
    <row r="1081" spans="1:13" x14ac:dyDescent="0.25">
      <c r="A1081">
        <v>2021</v>
      </c>
      <c r="B1081">
        <v>7</v>
      </c>
      <c r="C1081" s="1" t="s">
        <v>29</v>
      </c>
      <c r="D1081" s="1" t="s">
        <v>37</v>
      </c>
      <c r="E1081" s="1" t="s">
        <v>35</v>
      </c>
      <c r="F1081" s="4">
        <v>7.5701999999999998</v>
      </c>
      <c r="G1081" s="4">
        <v>412.478904</v>
      </c>
      <c r="H1081" s="4">
        <v>2.4224999999999999</v>
      </c>
      <c r="I1081">
        <v>4586</v>
      </c>
      <c r="J1081" s="4" t="str">
        <f>IF(OR(Копия_20206[[#This Row],[Units (in 1000)]]&gt;$R$7,Копия_20206[[#This Row],[Units (in 1000)]]&lt;$R$6),"outlier","not outlier")</f>
        <v>not outlier</v>
      </c>
      <c r="K1081" s="4" t="str">
        <f>IF(OR(Копия_20206[[#This Row],[Value (in 1000 rub)]]&gt;$S$7,Копия_20206[[#This Row],[Value (in 1000 rub)]]&lt;$S$6),"outlier","not outlier")</f>
        <v>not outlier</v>
      </c>
      <c r="L1081" s="4" t="str">
        <f>IF(OR(Копия_20206[[#This Row],[Volume (in 1000 kg)]]&gt;$T$7,Копия_20206[[#This Row],[Volume (in 1000 kg)]]&lt;$T$6),"outlier","not outlier")</f>
        <v>not outlier</v>
      </c>
      <c r="M1081" s="4" t="str">
        <f>IF(OR(Копия_20206[[#This Row],[Number of stores]]&gt;$U$7,Копия_20206[[#This Row],[Number of stores]]&lt;$U$6),"outlier","not outlier")</f>
        <v>outlier</v>
      </c>
    </row>
    <row r="1082" spans="1:13" x14ac:dyDescent="0.25">
      <c r="A1082">
        <v>2021</v>
      </c>
      <c r="B1082">
        <v>8</v>
      </c>
      <c r="C1082" s="1" t="s">
        <v>8</v>
      </c>
      <c r="D1082" s="1" t="s">
        <v>37</v>
      </c>
      <c r="E1082" s="1" t="s">
        <v>35</v>
      </c>
      <c r="F1082" s="4">
        <v>1.9601999999999999</v>
      </c>
      <c r="G1082" s="4">
        <v>137.10364100000001</v>
      </c>
      <c r="H1082" s="4">
        <v>0.62729999999999997</v>
      </c>
      <c r="I1082">
        <v>338</v>
      </c>
      <c r="J1082" s="4" t="str">
        <f>IF(OR(Копия_20206[[#This Row],[Units (in 1000)]]&gt;$R$7,Копия_20206[[#This Row],[Units (in 1000)]]&lt;$R$6),"outlier","not outlier")</f>
        <v>not outlier</v>
      </c>
      <c r="K1082" s="4" t="str">
        <f>IF(OR(Копия_20206[[#This Row],[Value (in 1000 rub)]]&gt;$S$7,Копия_20206[[#This Row],[Value (in 1000 rub)]]&lt;$S$6),"outlier","not outlier")</f>
        <v>not outlier</v>
      </c>
      <c r="L1082" s="4" t="str">
        <f>IF(OR(Копия_20206[[#This Row],[Volume (in 1000 kg)]]&gt;$T$7,Копия_20206[[#This Row],[Volume (in 1000 kg)]]&lt;$T$6),"outlier","not outlier")</f>
        <v>not outlier</v>
      </c>
      <c r="M1082" s="4" t="str">
        <f>IF(OR(Копия_20206[[#This Row],[Number of stores]]&gt;$U$7,Копия_20206[[#This Row],[Number of stores]]&lt;$U$6),"outlier","not outlier")</f>
        <v>not outlier</v>
      </c>
    </row>
    <row r="1083" spans="1:13" x14ac:dyDescent="0.25">
      <c r="A1083">
        <v>2021</v>
      </c>
      <c r="B1083">
        <v>8</v>
      </c>
      <c r="C1083" s="1" t="s">
        <v>25</v>
      </c>
      <c r="D1083" s="1" t="s">
        <v>37</v>
      </c>
      <c r="E1083" s="1" t="s">
        <v>35</v>
      </c>
      <c r="F1083" s="4">
        <v>5.6128999999999998</v>
      </c>
      <c r="G1083" s="4">
        <v>317.75876499999998</v>
      </c>
      <c r="H1083" s="4">
        <v>1.7962</v>
      </c>
      <c r="I1083">
        <v>3735</v>
      </c>
      <c r="J1083" s="4" t="str">
        <f>IF(OR(Копия_20206[[#This Row],[Units (in 1000)]]&gt;$R$7,Копия_20206[[#This Row],[Units (in 1000)]]&lt;$R$6),"outlier","not outlier")</f>
        <v>not outlier</v>
      </c>
      <c r="K1083" s="4" t="str">
        <f>IF(OR(Копия_20206[[#This Row],[Value (in 1000 rub)]]&gt;$S$7,Копия_20206[[#This Row],[Value (in 1000 rub)]]&lt;$S$6),"outlier","not outlier")</f>
        <v>not outlier</v>
      </c>
      <c r="L1083" s="4" t="str">
        <f>IF(OR(Копия_20206[[#This Row],[Volume (in 1000 kg)]]&gt;$T$7,Копия_20206[[#This Row],[Volume (in 1000 kg)]]&lt;$T$6),"outlier","not outlier")</f>
        <v>not outlier</v>
      </c>
      <c r="M1083" s="4" t="str">
        <f>IF(OR(Копия_20206[[#This Row],[Number of stores]]&gt;$U$7,Копия_20206[[#This Row],[Number of stores]]&lt;$U$6),"outlier","not outlier")</f>
        <v>outlier</v>
      </c>
    </row>
    <row r="1084" spans="1:13" x14ac:dyDescent="0.25">
      <c r="A1084">
        <v>2021</v>
      </c>
      <c r="B1084">
        <v>8</v>
      </c>
      <c r="C1084" s="1" t="s">
        <v>29</v>
      </c>
      <c r="D1084" s="1" t="s">
        <v>37</v>
      </c>
      <c r="E1084" s="1" t="s">
        <v>35</v>
      </c>
      <c r="F1084" s="4">
        <v>5.7121000000000004</v>
      </c>
      <c r="G1084" s="4">
        <v>350.57270899999997</v>
      </c>
      <c r="H1084" s="4">
        <v>1.8279000000000001</v>
      </c>
      <c r="I1084">
        <v>3911</v>
      </c>
      <c r="J1084" s="4" t="str">
        <f>IF(OR(Копия_20206[[#This Row],[Units (in 1000)]]&gt;$R$7,Копия_20206[[#This Row],[Units (in 1000)]]&lt;$R$6),"outlier","not outlier")</f>
        <v>not outlier</v>
      </c>
      <c r="K1084" s="4" t="str">
        <f>IF(OR(Копия_20206[[#This Row],[Value (in 1000 rub)]]&gt;$S$7,Копия_20206[[#This Row],[Value (in 1000 rub)]]&lt;$S$6),"outlier","not outlier")</f>
        <v>not outlier</v>
      </c>
      <c r="L1084" s="4" t="str">
        <f>IF(OR(Копия_20206[[#This Row],[Volume (in 1000 kg)]]&gt;$T$7,Копия_20206[[#This Row],[Volume (in 1000 kg)]]&lt;$T$6),"outlier","not outlier")</f>
        <v>not outlier</v>
      </c>
      <c r="M1084" s="4" t="str">
        <f>IF(OR(Копия_20206[[#This Row],[Number of stores]]&gt;$U$7,Копия_20206[[#This Row],[Number of stores]]&lt;$U$6),"outlier","not outlier")</f>
        <v>outlier</v>
      </c>
    </row>
    <row r="1085" spans="1:13" x14ac:dyDescent="0.25">
      <c r="A1085">
        <v>2021</v>
      </c>
      <c r="B1085">
        <v>9</v>
      </c>
      <c r="C1085" s="1" t="s">
        <v>8</v>
      </c>
      <c r="D1085" s="1" t="s">
        <v>37</v>
      </c>
      <c r="E1085" s="1" t="s">
        <v>35</v>
      </c>
      <c r="F1085" s="4">
        <v>1.0285</v>
      </c>
      <c r="G1085" s="4">
        <v>75.752228000000002</v>
      </c>
      <c r="H1085" s="4">
        <v>0.3291</v>
      </c>
      <c r="I1085">
        <v>283</v>
      </c>
      <c r="J1085" s="4" t="str">
        <f>IF(OR(Копия_20206[[#This Row],[Units (in 1000)]]&gt;$R$7,Копия_20206[[#This Row],[Units (in 1000)]]&lt;$R$6),"outlier","not outlier")</f>
        <v>not outlier</v>
      </c>
      <c r="K1085" s="4" t="str">
        <f>IF(OR(Копия_20206[[#This Row],[Value (in 1000 rub)]]&gt;$S$7,Копия_20206[[#This Row],[Value (in 1000 rub)]]&lt;$S$6),"outlier","not outlier")</f>
        <v>not outlier</v>
      </c>
      <c r="L1085" s="4" t="str">
        <f>IF(OR(Копия_20206[[#This Row],[Volume (in 1000 kg)]]&gt;$T$7,Копия_20206[[#This Row],[Volume (in 1000 kg)]]&lt;$T$6),"outlier","not outlier")</f>
        <v>not outlier</v>
      </c>
      <c r="M1085" s="4" t="str">
        <f>IF(OR(Копия_20206[[#This Row],[Number of stores]]&gt;$U$7,Копия_20206[[#This Row],[Number of stores]]&lt;$U$6),"outlier","not outlier")</f>
        <v>not outlier</v>
      </c>
    </row>
    <row r="1086" spans="1:13" x14ac:dyDescent="0.25">
      <c r="A1086">
        <v>2021</v>
      </c>
      <c r="B1086">
        <v>9</v>
      </c>
      <c r="C1086" s="1" t="s">
        <v>25</v>
      </c>
      <c r="D1086" s="1" t="s">
        <v>37</v>
      </c>
      <c r="E1086" s="1" t="s">
        <v>35</v>
      </c>
      <c r="F1086" s="4">
        <v>2.5920000000000001</v>
      </c>
      <c r="G1086" s="4">
        <v>240.02345399999999</v>
      </c>
      <c r="H1086" s="4">
        <v>0.82940000000000003</v>
      </c>
      <c r="I1086">
        <v>2551</v>
      </c>
      <c r="J1086" s="4" t="str">
        <f>IF(OR(Копия_20206[[#This Row],[Units (in 1000)]]&gt;$R$7,Копия_20206[[#This Row],[Units (in 1000)]]&lt;$R$6),"outlier","not outlier")</f>
        <v>not outlier</v>
      </c>
      <c r="K1086" s="4" t="str">
        <f>IF(OR(Копия_20206[[#This Row],[Value (in 1000 rub)]]&gt;$S$7,Копия_20206[[#This Row],[Value (in 1000 rub)]]&lt;$S$6),"outlier","not outlier")</f>
        <v>not outlier</v>
      </c>
      <c r="L1086" s="4" t="str">
        <f>IF(OR(Копия_20206[[#This Row],[Volume (in 1000 kg)]]&gt;$T$7,Копия_20206[[#This Row],[Volume (in 1000 kg)]]&lt;$T$6),"outlier","not outlier")</f>
        <v>not outlier</v>
      </c>
      <c r="M1086" s="4" t="str">
        <f>IF(OR(Копия_20206[[#This Row],[Number of stores]]&gt;$U$7,Копия_20206[[#This Row],[Number of stores]]&lt;$U$6),"outlier","not outlier")</f>
        <v>not outlier</v>
      </c>
    </row>
    <row r="1087" spans="1:13" x14ac:dyDescent="0.25">
      <c r="A1087">
        <v>2021</v>
      </c>
      <c r="B1087">
        <v>9</v>
      </c>
      <c r="C1087" s="1" t="s">
        <v>29</v>
      </c>
      <c r="D1087" s="1" t="s">
        <v>37</v>
      </c>
      <c r="E1087" s="1" t="s">
        <v>35</v>
      </c>
      <c r="F1087" s="4">
        <v>2.6711</v>
      </c>
      <c r="G1087" s="4">
        <v>221.40583799999999</v>
      </c>
      <c r="H1087" s="4">
        <v>0.8548</v>
      </c>
      <c r="I1087">
        <v>2847</v>
      </c>
      <c r="J1087" s="4" t="str">
        <f>IF(OR(Копия_20206[[#This Row],[Units (in 1000)]]&gt;$R$7,Копия_20206[[#This Row],[Units (in 1000)]]&lt;$R$6),"outlier","not outlier")</f>
        <v>not outlier</v>
      </c>
      <c r="K1087" s="4" t="str">
        <f>IF(OR(Копия_20206[[#This Row],[Value (in 1000 rub)]]&gt;$S$7,Копия_20206[[#This Row],[Value (in 1000 rub)]]&lt;$S$6),"outlier","not outlier")</f>
        <v>not outlier</v>
      </c>
      <c r="L1087" s="4" t="str">
        <f>IF(OR(Копия_20206[[#This Row],[Volume (in 1000 kg)]]&gt;$T$7,Копия_20206[[#This Row],[Volume (in 1000 kg)]]&lt;$T$6),"outlier","not outlier")</f>
        <v>not outlier</v>
      </c>
      <c r="M1087" s="4" t="str">
        <f>IF(OR(Копия_20206[[#This Row],[Number of stores]]&gt;$U$7,Копия_20206[[#This Row],[Number of stores]]&lt;$U$6),"outlier","not outlier")</f>
        <v>outlier</v>
      </c>
    </row>
    <row r="1088" spans="1:13" x14ac:dyDescent="0.25">
      <c r="A1088">
        <v>2021</v>
      </c>
      <c r="B1088">
        <v>10</v>
      </c>
      <c r="C1088" s="1" t="s">
        <v>8</v>
      </c>
      <c r="D1088" s="1" t="s">
        <v>37</v>
      </c>
      <c r="E1088" s="1" t="s">
        <v>35</v>
      </c>
      <c r="F1088" s="4">
        <v>0.84899999999999998</v>
      </c>
      <c r="G1088" s="4">
        <v>89.076100999999994</v>
      </c>
      <c r="H1088" s="4">
        <v>0.2717</v>
      </c>
      <c r="I1088">
        <v>253</v>
      </c>
      <c r="J1088" s="4" t="str">
        <f>IF(OR(Копия_20206[[#This Row],[Units (in 1000)]]&gt;$R$7,Копия_20206[[#This Row],[Units (in 1000)]]&lt;$R$6),"outlier","not outlier")</f>
        <v>not outlier</v>
      </c>
      <c r="K1088" s="4" t="str">
        <f>IF(OR(Копия_20206[[#This Row],[Value (in 1000 rub)]]&gt;$S$7,Копия_20206[[#This Row],[Value (in 1000 rub)]]&lt;$S$6),"outlier","not outlier")</f>
        <v>not outlier</v>
      </c>
      <c r="L1088" s="4" t="str">
        <f>IF(OR(Копия_20206[[#This Row],[Volume (in 1000 kg)]]&gt;$T$7,Копия_20206[[#This Row],[Volume (in 1000 kg)]]&lt;$T$6),"outlier","not outlier")</f>
        <v>not outlier</v>
      </c>
      <c r="M1088" s="4" t="str">
        <f>IF(OR(Копия_20206[[#This Row],[Number of stores]]&gt;$U$7,Копия_20206[[#This Row],[Number of stores]]&lt;$U$6),"outlier","not outlier")</f>
        <v>not outlier</v>
      </c>
    </row>
    <row r="1089" spans="1:13" x14ac:dyDescent="0.25">
      <c r="A1089">
        <v>2021</v>
      </c>
      <c r="B1089">
        <v>10</v>
      </c>
      <c r="C1089" s="1" t="s">
        <v>25</v>
      </c>
      <c r="D1089" s="1" t="s">
        <v>37</v>
      </c>
      <c r="E1089" s="1" t="s">
        <v>35</v>
      </c>
      <c r="F1089" s="4">
        <v>1.7481</v>
      </c>
      <c r="G1089" s="4">
        <v>162.59215699999999</v>
      </c>
      <c r="H1089" s="4">
        <v>0.55940000000000001</v>
      </c>
      <c r="I1089">
        <v>1514</v>
      </c>
      <c r="J1089" s="4" t="str">
        <f>IF(OR(Копия_20206[[#This Row],[Units (in 1000)]]&gt;$R$7,Копия_20206[[#This Row],[Units (in 1000)]]&lt;$R$6),"outlier","not outlier")</f>
        <v>not outlier</v>
      </c>
      <c r="K1089" s="4" t="str">
        <f>IF(OR(Копия_20206[[#This Row],[Value (in 1000 rub)]]&gt;$S$7,Копия_20206[[#This Row],[Value (in 1000 rub)]]&lt;$S$6),"outlier","not outlier")</f>
        <v>not outlier</v>
      </c>
      <c r="L1089" s="4" t="str">
        <f>IF(OR(Копия_20206[[#This Row],[Volume (in 1000 kg)]]&gt;$T$7,Копия_20206[[#This Row],[Volume (in 1000 kg)]]&lt;$T$6),"outlier","not outlier")</f>
        <v>not outlier</v>
      </c>
      <c r="M1089" s="4" t="str">
        <f>IF(OR(Копия_20206[[#This Row],[Number of stores]]&gt;$U$7,Копия_20206[[#This Row],[Number of stores]]&lt;$U$6),"outlier","not outlier")</f>
        <v>not outlier</v>
      </c>
    </row>
    <row r="1090" spans="1:13" x14ac:dyDescent="0.25">
      <c r="A1090">
        <v>2021</v>
      </c>
      <c r="B1090">
        <v>10</v>
      </c>
      <c r="C1090" s="1" t="s">
        <v>29</v>
      </c>
      <c r="D1090" s="1" t="s">
        <v>37</v>
      </c>
      <c r="E1090" s="1" t="s">
        <v>35</v>
      </c>
      <c r="F1090" s="4">
        <v>2.7793999999999999</v>
      </c>
      <c r="G1090" s="4">
        <v>235.03743700000001</v>
      </c>
      <c r="H1090" s="4">
        <v>0.88939999999999997</v>
      </c>
      <c r="I1090">
        <v>2408</v>
      </c>
      <c r="J1090" s="4" t="str">
        <f>IF(OR(Копия_20206[[#This Row],[Units (in 1000)]]&gt;$R$7,Копия_20206[[#This Row],[Units (in 1000)]]&lt;$R$6),"outlier","not outlier")</f>
        <v>not outlier</v>
      </c>
      <c r="K1090" s="4" t="str">
        <f>IF(OR(Копия_20206[[#This Row],[Value (in 1000 rub)]]&gt;$S$7,Копия_20206[[#This Row],[Value (in 1000 rub)]]&lt;$S$6),"outlier","not outlier")</f>
        <v>not outlier</v>
      </c>
      <c r="L1090" s="4" t="str">
        <f>IF(OR(Копия_20206[[#This Row],[Volume (in 1000 kg)]]&gt;$T$7,Копия_20206[[#This Row],[Volume (in 1000 kg)]]&lt;$T$6),"outlier","not outlier")</f>
        <v>not outlier</v>
      </c>
      <c r="M1090" s="4" t="str">
        <f>IF(OR(Копия_20206[[#This Row],[Number of stores]]&gt;$U$7,Копия_20206[[#This Row],[Number of stores]]&lt;$U$6),"outlier","not outlier")</f>
        <v>not outlier</v>
      </c>
    </row>
    <row r="1091" spans="1:13" x14ac:dyDescent="0.25">
      <c r="A1091">
        <v>2021</v>
      </c>
      <c r="B1091">
        <v>11</v>
      </c>
      <c r="C1091" s="1" t="s">
        <v>8</v>
      </c>
      <c r="D1091" s="1" t="s">
        <v>37</v>
      </c>
      <c r="E1091" s="1" t="s">
        <v>35</v>
      </c>
      <c r="F1091" s="4">
        <v>0.68340000000000001</v>
      </c>
      <c r="G1091" s="4">
        <v>69.379221000000001</v>
      </c>
      <c r="H1091" s="4">
        <v>0.21870000000000001</v>
      </c>
      <c r="I1091">
        <v>235</v>
      </c>
      <c r="J1091" s="4" t="str">
        <f>IF(OR(Копия_20206[[#This Row],[Units (in 1000)]]&gt;$R$7,Копия_20206[[#This Row],[Units (in 1000)]]&lt;$R$6),"outlier","not outlier")</f>
        <v>not outlier</v>
      </c>
      <c r="K1091" s="4" t="str">
        <f>IF(OR(Копия_20206[[#This Row],[Value (in 1000 rub)]]&gt;$S$7,Копия_20206[[#This Row],[Value (in 1000 rub)]]&lt;$S$6),"outlier","not outlier")</f>
        <v>not outlier</v>
      </c>
      <c r="L1091" s="4" t="str">
        <f>IF(OR(Копия_20206[[#This Row],[Volume (in 1000 kg)]]&gt;$T$7,Копия_20206[[#This Row],[Volume (in 1000 kg)]]&lt;$T$6),"outlier","not outlier")</f>
        <v>not outlier</v>
      </c>
      <c r="M1091" s="4" t="str">
        <f>IF(OR(Копия_20206[[#This Row],[Number of stores]]&gt;$U$7,Копия_20206[[#This Row],[Number of stores]]&lt;$U$6),"outlier","not outlier")</f>
        <v>not outlier</v>
      </c>
    </row>
    <row r="1092" spans="1:13" x14ac:dyDescent="0.25">
      <c r="A1092">
        <v>2021</v>
      </c>
      <c r="B1092">
        <v>11</v>
      </c>
      <c r="C1092" s="1" t="s">
        <v>25</v>
      </c>
      <c r="D1092" s="1" t="s">
        <v>37</v>
      </c>
      <c r="E1092" s="1" t="s">
        <v>35</v>
      </c>
      <c r="F1092" s="4">
        <v>1.9384999999999999</v>
      </c>
      <c r="G1092" s="4">
        <v>170.223986</v>
      </c>
      <c r="H1092" s="4">
        <v>0.62029999999999996</v>
      </c>
      <c r="I1092">
        <v>1671</v>
      </c>
      <c r="J1092" s="4" t="str">
        <f>IF(OR(Копия_20206[[#This Row],[Units (in 1000)]]&gt;$R$7,Копия_20206[[#This Row],[Units (in 1000)]]&lt;$R$6),"outlier","not outlier")</f>
        <v>not outlier</v>
      </c>
      <c r="K1092" s="4" t="str">
        <f>IF(OR(Копия_20206[[#This Row],[Value (in 1000 rub)]]&gt;$S$7,Копия_20206[[#This Row],[Value (in 1000 rub)]]&lt;$S$6),"outlier","not outlier")</f>
        <v>not outlier</v>
      </c>
      <c r="L1092" s="4" t="str">
        <f>IF(OR(Копия_20206[[#This Row],[Volume (in 1000 kg)]]&gt;$T$7,Копия_20206[[#This Row],[Volume (in 1000 kg)]]&lt;$T$6),"outlier","not outlier")</f>
        <v>not outlier</v>
      </c>
      <c r="M1092" s="4" t="str">
        <f>IF(OR(Копия_20206[[#This Row],[Number of stores]]&gt;$U$7,Копия_20206[[#This Row],[Number of stores]]&lt;$U$6),"outlier","not outlier")</f>
        <v>not outlier</v>
      </c>
    </row>
    <row r="1093" spans="1:13" x14ac:dyDescent="0.25">
      <c r="A1093">
        <v>2021</v>
      </c>
      <c r="B1093">
        <v>11</v>
      </c>
      <c r="C1093" s="1" t="s">
        <v>29</v>
      </c>
      <c r="D1093" s="1" t="s">
        <v>37</v>
      </c>
      <c r="E1093" s="1" t="s">
        <v>35</v>
      </c>
      <c r="F1093" s="4">
        <v>3.8500999999999999</v>
      </c>
      <c r="G1093" s="4">
        <v>311.61318699999998</v>
      </c>
      <c r="H1093" s="4">
        <v>1.232</v>
      </c>
      <c r="I1093">
        <v>2984</v>
      </c>
      <c r="J1093" s="4" t="str">
        <f>IF(OR(Копия_20206[[#This Row],[Units (in 1000)]]&gt;$R$7,Копия_20206[[#This Row],[Units (in 1000)]]&lt;$R$6),"outlier","not outlier")</f>
        <v>not outlier</v>
      </c>
      <c r="K1093" s="4" t="str">
        <f>IF(OR(Копия_20206[[#This Row],[Value (in 1000 rub)]]&gt;$S$7,Копия_20206[[#This Row],[Value (in 1000 rub)]]&lt;$S$6),"outlier","not outlier")</f>
        <v>not outlier</v>
      </c>
      <c r="L1093" s="4" t="str">
        <f>IF(OR(Копия_20206[[#This Row],[Volume (in 1000 kg)]]&gt;$T$7,Копия_20206[[#This Row],[Volume (in 1000 kg)]]&lt;$T$6),"outlier","not outlier")</f>
        <v>not outlier</v>
      </c>
      <c r="M1093" s="4" t="str">
        <f>IF(OR(Копия_20206[[#This Row],[Number of stores]]&gt;$U$7,Копия_20206[[#This Row],[Number of stores]]&lt;$U$6),"outlier","not outlier")</f>
        <v>outlier</v>
      </c>
    </row>
    <row r="1094" spans="1:13" x14ac:dyDescent="0.25">
      <c r="A1094">
        <v>2021</v>
      </c>
      <c r="B1094">
        <v>12</v>
      </c>
      <c r="C1094" s="1" t="s">
        <v>8</v>
      </c>
      <c r="D1094" s="1" t="s">
        <v>37</v>
      </c>
      <c r="E1094" s="1" t="s">
        <v>35</v>
      </c>
      <c r="F1094" s="4">
        <v>0.58679999999999999</v>
      </c>
      <c r="G1094" s="4">
        <v>63.073779000000002</v>
      </c>
      <c r="H1094" s="4">
        <v>0.18779999999999999</v>
      </c>
      <c r="I1094">
        <v>234</v>
      </c>
      <c r="J1094" s="4" t="str">
        <f>IF(OR(Копия_20206[[#This Row],[Units (in 1000)]]&gt;$R$7,Копия_20206[[#This Row],[Units (in 1000)]]&lt;$R$6),"outlier","not outlier")</f>
        <v>not outlier</v>
      </c>
      <c r="K1094" s="4" t="str">
        <f>IF(OR(Копия_20206[[#This Row],[Value (in 1000 rub)]]&gt;$S$7,Копия_20206[[#This Row],[Value (in 1000 rub)]]&lt;$S$6),"outlier","not outlier")</f>
        <v>not outlier</v>
      </c>
      <c r="L1094" s="4" t="str">
        <f>IF(OR(Копия_20206[[#This Row],[Volume (in 1000 kg)]]&gt;$T$7,Копия_20206[[#This Row],[Volume (in 1000 kg)]]&lt;$T$6),"outlier","not outlier")</f>
        <v>not outlier</v>
      </c>
      <c r="M1094" s="4" t="str">
        <f>IF(OR(Копия_20206[[#This Row],[Number of stores]]&gt;$U$7,Копия_20206[[#This Row],[Number of stores]]&lt;$U$6),"outlier","not outlier")</f>
        <v>not outlier</v>
      </c>
    </row>
    <row r="1095" spans="1:13" x14ac:dyDescent="0.25">
      <c r="A1095">
        <v>2021</v>
      </c>
      <c r="B1095">
        <v>12</v>
      </c>
      <c r="C1095" s="1" t="s">
        <v>25</v>
      </c>
      <c r="D1095" s="1" t="s">
        <v>37</v>
      </c>
      <c r="E1095" s="1" t="s">
        <v>35</v>
      </c>
      <c r="F1095" s="4">
        <v>1.9456</v>
      </c>
      <c r="G1095" s="4">
        <v>177.160661</v>
      </c>
      <c r="H1095" s="4">
        <v>0.62250000000000005</v>
      </c>
      <c r="I1095">
        <v>1542</v>
      </c>
      <c r="J1095" s="4" t="str">
        <f>IF(OR(Копия_20206[[#This Row],[Units (in 1000)]]&gt;$R$7,Копия_20206[[#This Row],[Units (in 1000)]]&lt;$R$6),"outlier","not outlier")</f>
        <v>not outlier</v>
      </c>
      <c r="K1095" s="4" t="str">
        <f>IF(OR(Копия_20206[[#This Row],[Value (in 1000 rub)]]&gt;$S$7,Копия_20206[[#This Row],[Value (in 1000 rub)]]&lt;$S$6),"outlier","not outlier")</f>
        <v>not outlier</v>
      </c>
      <c r="L1095" s="4" t="str">
        <f>IF(OR(Копия_20206[[#This Row],[Volume (in 1000 kg)]]&gt;$T$7,Копия_20206[[#This Row],[Volume (in 1000 kg)]]&lt;$T$6),"outlier","not outlier")</f>
        <v>not outlier</v>
      </c>
      <c r="M1095" s="4" t="str">
        <f>IF(OR(Копия_20206[[#This Row],[Number of stores]]&gt;$U$7,Копия_20206[[#This Row],[Number of stores]]&lt;$U$6),"outlier","not outlier")</f>
        <v>not outlier</v>
      </c>
    </row>
    <row r="1096" spans="1:13" x14ac:dyDescent="0.25">
      <c r="A1096">
        <v>2021</v>
      </c>
      <c r="B1096">
        <v>12</v>
      </c>
      <c r="C1096" s="1" t="s">
        <v>29</v>
      </c>
      <c r="D1096" s="1" t="s">
        <v>37</v>
      </c>
      <c r="E1096" s="1" t="s">
        <v>35</v>
      </c>
      <c r="F1096" s="4">
        <v>3.5655000000000001</v>
      </c>
      <c r="G1096" s="4">
        <v>309.04196999999999</v>
      </c>
      <c r="H1096" s="4">
        <v>1.141</v>
      </c>
      <c r="I1096">
        <v>2940</v>
      </c>
      <c r="J1096" s="4" t="str">
        <f>IF(OR(Копия_20206[[#This Row],[Units (in 1000)]]&gt;$R$7,Копия_20206[[#This Row],[Units (in 1000)]]&lt;$R$6),"outlier","not outlier")</f>
        <v>not outlier</v>
      </c>
      <c r="K1096" s="4" t="str">
        <f>IF(OR(Копия_20206[[#This Row],[Value (in 1000 rub)]]&gt;$S$7,Копия_20206[[#This Row],[Value (in 1000 rub)]]&lt;$S$6),"outlier","not outlier")</f>
        <v>not outlier</v>
      </c>
      <c r="L1096" s="4" t="str">
        <f>IF(OR(Копия_20206[[#This Row],[Volume (in 1000 kg)]]&gt;$T$7,Копия_20206[[#This Row],[Volume (in 1000 kg)]]&lt;$T$6),"outlier","not outlier")</f>
        <v>not outlier</v>
      </c>
      <c r="M1096" s="4" t="str">
        <f>IF(OR(Копия_20206[[#This Row],[Number of stores]]&gt;$U$7,Копия_20206[[#This Row],[Number of stores]]&lt;$U$6),"outlier","not outlier")</f>
        <v>outlier</v>
      </c>
    </row>
    <row r="1097" spans="1:13" x14ac:dyDescent="0.25">
      <c r="A1097">
        <v>2021</v>
      </c>
      <c r="B1097">
        <v>1</v>
      </c>
      <c r="C1097" s="1" t="s">
        <v>29</v>
      </c>
      <c r="D1097" s="1" t="s">
        <v>31</v>
      </c>
      <c r="E1097" s="1" t="s">
        <v>11</v>
      </c>
      <c r="F1097" s="4">
        <v>1.2875000000000001</v>
      </c>
      <c r="G1097" s="4">
        <v>233.90612300000001</v>
      </c>
      <c r="H1097" s="4">
        <v>0.45050000000000001</v>
      </c>
      <c r="I1097">
        <v>114</v>
      </c>
      <c r="J1097" s="4" t="str">
        <f>IF(OR(Копия_20206[[#This Row],[Units (in 1000)]]&gt;$R$7,Копия_20206[[#This Row],[Units (in 1000)]]&lt;$R$6),"outlier","not outlier")</f>
        <v>not outlier</v>
      </c>
      <c r="K1097" s="4" t="str">
        <f>IF(OR(Копия_20206[[#This Row],[Value (in 1000 rub)]]&gt;$S$7,Копия_20206[[#This Row],[Value (in 1000 rub)]]&lt;$S$6),"outlier","not outlier")</f>
        <v>not outlier</v>
      </c>
      <c r="L1097" s="4" t="str">
        <f>IF(OR(Копия_20206[[#This Row],[Volume (in 1000 kg)]]&gt;$T$7,Копия_20206[[#This Row],[Volume (in 1000 kg)]]&lt;$T$6),"outlier","not outlier")</f>
        <v>not outlier</v>
      </c>
      <c r="M1097" s="4" t="str">
        <f>IF(OR(Копия_20206[[#This Row],[Number of stores]]&gt;$U$7,Копия_20206[[#This Row],[Number of stores]]&lt;$U$6),"outlier","not outlier")</f>
        <v>not outlier</v>
      </c>
    </row>
    <row r="1098" spans="1:13" x14ac:dyDescent="0.25">
      <c r="A1098">
        <v>2021</v>
      </c>
      <c r="B1098">
        <v>2</v>
      </c>
      <c r="C1098" s="1" t="s">
        <v>29</v>
      </c>
      <c r="D1098" s="1" t="s">
        <v>31</v>
      </c>
      <c r="E1098" s="1" t="s">
        <v>11</v>
      </c>
      <c r="F1098" s="4">
        <v>1.0794999999999999</v>
      </c>
      <c r="G1098" s="4">
        <v>201.00233399999999</v>
      </c>
      <c r="H1098" s="4">
        <v>0.37769999999999998</v>
      </c>
      <c r="I1098">
        <v>117</v>
      </c>
      <c r="J1098" s="4" t="str">
        <f>IF(OR(Копия_20206[[#This Row],[Units (in 1000)]]&gt;$R$7,Копия_20206[[#This Row],[Units (in 1000)]]&lt;$R$6),"outlier","not outlier")</f>
        <v>not outlier</v>
      </c>
      <c r="K1098" s="4" t="str">
        <f>IF(OR(Копия_20206[[#This Row],[Value (in 1000 rub)]]&gt;$S$7,Копия_20206[[#This Row],[Value (in 1000 rub)]]&lt;$S$6),"outlier","not outlier")</f>
        <v>not outlier</v>
      </c>
      <c r="L1098" s="4" t="str">
        <f>IF(OR(Копия_20206[[#This Row],[Volume (in 1000 kg)]]&gt;$T$7,Копия_20206[[#This Row],[Volume (in 1000 kg)]]&lt;$T$6),"outlier","not outlier")</f>
        <v>not outlier</v>
      </c>
      <c r="M1098" s="4" t="str">
        <f>IF(OR(Копия_20206[[#This Row],[Number of stores]]&gt;$U$7,Копия_20206[[#This Row],[Number of stores]]&lt;$U$6),"outlier","not outlier")</f>
        <v>not outlier</v>
      </c>
    </row>
    <row r="1099" spans="1:13" x14ac:dyDescent="0.25">
      <c r="A1099">
        <v>2021</v>
      </c>
      <c r="B1099">
        <v>3</v>
      </c>
      <c r="C1099" s="1" t="s">
        <v>29</v>
      </c>
      <c r="D1099" s="1" t="s">
        <v>31</v>
      </c>
      <c r="E1099" s="1" t="s">
        <v>11</v>
      </c>
      <c r="F1099" s="4">
        <v>1.0016</v>
      </c>
      <c r="G1099" s="4">
        <v>197.96796900000001</v>
      </c>
      <c r="H1099" s="4">
        <v>0.35039999999999999</v>
      </c>
      <c r="I1099">
        <v>118</v>
      </c>
      <c r="J1099" s="4" t="str">
        <f>IF(OR(Копия_20206[[#This Row],[Units (in 1000)]]&gt;$R$7,Копия_20206[[#This Row],[Units (in 1000)]]&lt;$R$6),"outlier","not outlier")</f>
        <v>not outlier</v>
      </c>
      <c r="K1099" s="4" t="str">
        <f>IF(OR(Копия_20206[[#This Row],[Value (in 1000 rub)]]&gt;$S$7,Копия_20206[[#This Row],[Value (in 1000 rub)]]&lt;$S$6),"outlier","not outlier")</f>
        <v>not outlier</v>
      </c>
      <c r="L1099" s="4" t="str">
        <f>IF(OR(Копия_20206[[#This Row],[Volume (in 1000 kg)]]&gt;$T$7,Копия_20206[[#This Row],[Volume (in 1000 kg)]]&lt;$T$6),"outlier","not outlier")</f>
        <v>not outlier</v>
      </c>
      <c r="M1099" s="4" t="str">
        <f>IF(OR(Копия_20206[[#This Row],[Number of stores]]&gt;$U$7,Копия_20206[[#This Row],[Number of stores]]&lt;$U$6),"outlier","not outlier")</f>
        <v>not outlier</v>
      </c>
    </row>
    <row r="1100" spans="1:13" x14ac:dyDescent="0.25">
      <c r="A1100">
        <v>2021</v>
      </c>
      <c r="B1100">
        <v>4</v>
      </c>
      <c r="C1100" s="1" t="s">
        <v>25</v>
      </c>
      <c r="D1100" s="1" t="s">
        <v>31</v>
      </c>
      <c r="E1100" s="1" t="s">
        <v>11</v>
      </c>
      <c r="F1100" s="4">
        <v>0.33589999999999998</v>
      </c>
      <c r="G1100" s="4">
        <v>66.834194999999994</v>
      </c>
      <c r="H1100" s="4">
        <v>0.1176</v>
      </c>
      <c r="I1100">
        <v>0</v>
      </c>
      <c r="J1100" s="4" t="str">
        <f>IF(OR(Копия_20206[[#This Row],[Units (in 1000)]]&gt;$R$7,Копия_20206[[#This Row],[Units (in 1000)]]&lt;$R$6),"outlier","not outlier")</f>
        <v>not outlier</v>
      </c>
      <c r="K1100" s="4" t="str">
        <f>IF(OR(Копия_20206[[#This Row],[Value (in 1000 rub)]]&gt;$S$7,Копия_20206[[#This Row],[Value (in 1000 rub)]]&lt;$S$6),"outlier","not outlier")</f>
        <v>not outlier</v>
      </c>
      <c r="L1100" s="4" t="str">
        <f>IF(OR(Копия_20206[[#This Row],[Volume (in 1000 kg)]]&gt;$T$7,Копия_20206[[#This Row],[Volume (in 1000 kg)]]&lt;$T$6),"outlier","not outlier")</f>
        <v>not outlier</v>
      </c>
      <c r="M1100" s="4" t="str">
        <f>IF(OR(Копия_20206[[#This Row],[Number of stores]]&gt;$U$7,Копия_20206[[#This Row],[Number of stores]]&lt;$U$6),"outlier","not outlier")</f>
        <v>not outlier</v>
      </c>
    </row>
    <row r="1101" spans="1:13" x14ac:dyDescent="0.25">
      <c r="A1101">
        <v>2021</v>
      </c>
      <c r="B1101">
        <v>4</v>
      </c>
      <c r="C1101" s="1" t="s">
        <v>29</v>
      </c>
      <c r="D1101" s="1" t="s">
        <v>31</v>
      </c>
      <c r="E1101" s="1" t="s">
        <v>11</v>
      </c>
      <c r="F1101" s="4">
        <v>1.1543000000000001</v>
      </c>
      <c r="G1101" s="4">
        <v>213.32597899999999</v>
      </c>
      <c r="H1101" s="4">
        <v>0.40400000000000003</v>
      </c>
      <c r="I1101">
        <v>116</v>
      </c>
      <c r="J1101" s="4" t="str">
        <f>IF(OR(Копия_20206[[#This Row],[Units (in 1000)]]&gt;$R$7,Копия_20206[[#This Row],[Units (in 1000)]]&lt;$R$6),"outlier","not outlier")</f>
        <v>not outlier</v>
      </c>
      <c r="K1101" s="4" t="str">
        <f>IF(OR(Копия_20206[[#This Row],[Value (in 1000 rub)]]&gt;$S$7,Копия_20206[[#This Row],[Value (in 1000 rub)]]&lt;$S$6),"outlier","not outlier")</f>
        <v>not outlier</v>
      </c>
      <c r="L1101" s="4" t="str">
        <f>IF(OR(Копия_20206[[#This Row],[Volume (in 1000 kg)]]&gt;$T$7,Копия_20206[[#This Row],[Volume (in 1000 kg)]]&lt;$T$6),"outlier","not outlier")</f>
        <v>not outlier</v>
      </c>
      <c r="M1101" s="4" t="str">
        <f>IF(OR(Копия_20206[[#This Row],[Number of stores]]&gt;$U$7,Копия_20206[[#This Row],[Number of stores]]&lt;$U$6),"outlier","not outlier")</f>
        <v>not outlier</v>
      </c>
    </row>
    <row r="1102" spans="1:13" x14ac:dyDescent="0.25">
      <c r="A1102">
        <v>2021</v>
      </c>
      <c r="B1102">
        <v>1</v>
      </c>
      <c r="C1102" s="1" t="s">
        <v>8</v>
      </c>
      <c r="D1102" s="1" t="s">
        <v>20</v>
      </c>
      <c r="E1102" s="1" t="s">
        <v>21</v>
      </c>
      <c r="F1102" s="4">
        <v>6.6E-3</v>
      </c>
      <c r="G1102" s="4">
        <v>2.099316</v>
      </c>
      <c r="H1102" s="4">
        <v>1.8E-3</v>
      </c>
      <c r="I1102">
        <v>2</v>
      </c>
      <c r="J1102" s="4" t="str">
        <f>IF(OR(Копия_20206[[#This Row],[Units (in 1000)]]&gt;$R$7,Копия_20206[[#This Row],[Units (in 1000)]]&lt;$R$6),"outlier","not outlier")</f>
        <v>not outlier</v>
      </c>
      <c r="K1102" s="4" t="str">
        <f>IF(OR(Копия_20206[[#This Row],[Value (in 1000 rub)]]&gt;$S$7,Копия_20206[[#This Row],[Value (in 1000 rub)]]&lt;$S$6),"outlier","not outlier")</f>
        <v>not outlier</v>
      </c>
      <c r="L1102" s="4" t="str">
        <f>IF(OR(Копия_20206[[#This Row],[Volume (in 1000 kg)]]&gt;$T$7,Копия_20206[[#This Row],[Volume (in 1000 kg)]]&lt;$T$6),"outlier","not outlier")</f>
        <v>not outlier</v>
      </c>
      <c r="M1102" s="4" t="str">
        <f>IF(OR(Копия_20206[[#This Row],[Number of stores]]&gt;$U$7,Копия_20206[[#This Row],[Number of stores]]&lt;$U$6),"outlier","not outlier")</f>
        <v>not outlier</v>
      </c>
    </row>
    <row r="1103" spans="1:13" x14ac:dyDescent="0.25">
      <c r="A1103">
        <v>2021</v>
      </c>
      <c r="B1103">
        <v>1</v>
      </c>
      <c r="C1103" s="1" t="s">
        <v>8</v>
      </c>
      <c r="D1103" s="1" t="s">
        <v>20</v>
      </c>
      <c r="E1103" s="1" t="s">
        <v>12</v>
      </c>
      <c r="F1103" s="4">
        <v>1.0008999999999999</v>
      </c>
      <c r="G1103" s="4">
        <v>128.38419400000001</v>
      </c>
      <c r="H1103" s="4">
        <v>0.40039999999999998</v>
      </c>
      <c r="I1103">
        <v>122</v>
      </c>
      <c r="J1103" s="4" t="str">
        <f>IF(OR(Копия_20206[[#This Row],[Units (in 1000)]]&gt;$R$7,Копия_20206[[#This Row],[Units (in 1000)]]&lt;$R$6),"outlier","not outlier")</f>
        <v>not outlier</v>
      </c>
      <c r="K1103" s="4" t="str">
        <f>IF(OR(Копия_20206[[#This Row],[Value (in 1000 rub)]]&gt;$S$7,Копия_20206[[#This Row],[Value (in 1000 rub)]]&lt;$S$6),"outlier","not outlier")</f>
        <v>not outlier</v>
      </c>
      <c r="L1103" s="4" t="str">
        <f>IF(OR(Копия_20206[[#This Row],[Volume (in 1000 kg)]]&gt;$T$7,Копия_20206[[#This Row],[Volume (in 1000 kg)]]&lt;$T$6),"outlier","not outlier")</f>
        <v>not outlier</v>
      </c>
      <c r="M1103" s="4" t="str">
        <f>IF(OR(Копия_20206[[#This Row],[Number of stores]]&gt;$U$7,Копия_20206[[#This Row],[Number of stores]]&lt;$U$6),"outlier","not outlier")</f>
        <v>not outlier</v>
      </c>
    </row>
    <row r="1104" spans="1:13" x14ac:dyDescent="0.25">
      <c r="A1104">
        <v>2021</v>
      </c>
      <c r="B1104">
        <v>1</v>
      </c>
      <c r="C1104" s="1" t="s">
        <v>25</v>
      </c>
      <c r="D1104" s="1" t="s">
        <v>20</v>
      </c>
      <c r="E1104" s="1" t="s">
        <v>21</v>
      </c>
      <c r="F1104" s="4">
        <v>3.3E-3</v>
      </c>
      <c r="G1104" s="4">
        <v>1.31717</v>
      </c>
      <c r="H1104" s="4">
        <v>8.9999999999999998E-4</v>
      </c>
      <c r="I1104">
        <v>2</v>
      </c>
      <c r="J1104" s="4" t="str">
        <f>IF(OR(Копия_20206[[#This Row],[Units (in 1000)]]&gt;$R$7,Копия_20206[[#This Row],[Units (in 1000)]]&lt;$R$6),"outlier","not outlier")</f>
        <v>not outlier</v>
      </c>
      <c r="K1104" s="4" t="str">
        <f>IF(OR(Копия_20206[[#This Row],[Value (in 1000 rub)]]&gt;$S$7,Копия_20206[[#This Row],[Value (in 1000 rub)]]&lt;$S$6),"outlier","not outlier")</f>
        <v>not outlier</v>
      </c>
      <c r="L1104" s="4" t="str">
        <f>IF(OR(Копия_20206[[#This Row],[Volume (in 1000 kg)]]&gt;$T$7,Копия_20206[[#This Row],[Volume (in 1000 kg)]]&lt;$T$6),"outlier","not outlier")</f>
        <v>not outlier</v>
      </c>
      <c r="M1104" s="4" t="str">
        <f>IF(OR(Копия_20206[[#This Row],[Number of stores]]&gt;$U$7,Копия_20206[[#This Row],[Number of stores]]&lt;$U$6),"outlier","not outlier")</f>
        <v>not outlier</v>
      </c>
    </row>
    <row r="1105" spans="1:13" x14ac:dyDescent="0.25">
      <c r="A1105">
        <v>2021</v>
      </c>
      <c r="B1105">
        <v>1</v>
      </c>
      <c r="C1105" s="1" t="s">
        <v>25</v>
      </c>
      <c r="D1105" s="1" t="s">
        <v>20</v>
      </c>
      <c r="E1105" s="1" t="s">
        <v>12</v>
      </c>
      <c r="F1105" s="4">
        <v>0.40050000000000002</v>
      </c>
      <c r="G1105" s="4">
        <v>44.008198999999998</v>
      </c>
      <c r="H1105" s="4">
        <v>0.16020000000000001</v>
      </c>
      <c r="I1105">
        <v>280</v>
      </c>
      <c r="J1105" s="4" t="str">
        <f>IF(OR(Копия_20206[[#This Row],[Units (in 1000)]]&gt;$R$7,Копия_20206[[#This Row],[Units (in 1000)]]&lt;$R$6),"outlier","not outlier")</f>
        <v>not outlier</v>
      </c>
      <c r="K1105" s="4" t="str">
        <f>IF(OR(Копия_20206[[#This Row],[Value (in 1000 rub)]]&gt;$S$7,Копия_20206[[#This Row],[Value (in 1000 rub)]]&lt;$S$6),"outlier","not outlier")</f>
        <v>not outlier</v>
      </c>
      <c r="L1105" s="4" t="str">
        <f>IF(OR(Копия_20206[[#This Row],[Volume (in 1000 kg)]]&gt;$T$7,Копия_20206[[#This Row],[Volume (in 1000 kg)]]&lt;$T$6),"outlier","not outlier")</f>
        <v>not outlier</v>
      </c>
      <c r="M1105" s="4" t="str">
        <f>IF(OR(Копия_20206[[#This Row],[Number of stores]]&gt;$U$7,Копия_20206[[#This Row],[Number of stores]]&lt;$U$6),"outlier","not outlier")</f>
        <v>not outlier</v>
      </c>
    </row>
    <row r="1106" spans="1:13" x14ac:dyDescent="0.25">
      <c r="A1106">
        <v>2021</v>
      </c>
      <c r="B1106">
        <v>2</v>
      </c>
      <c r="C1106" s="1" t="s">
        <v>8</v>
      </c>
      <c r="D1106" s="1" t="s">
        <v>20</v>
      </c>
      <c r="E1106" s="1" t="s">
        <v>21</v>
      </c>
      <c r="F1106" s="4">
        <v>5.7999999999999996E-3</v>
      </c>
      <c r="G1106" s="4">
        <v>1.9080230000000002</v>
      </c>
      <c r="H1106" s="4">
        <v>1.6000000000000001E-3</v>
      </c>
      <c r="I1106">
        <v>2</v>
      </c>
      <c r="J1106" s="4" t="str">
        <f>IF(OR(Копия_20206[[#This Row],[Units (in 1000)]]&gt;$R$7,Копия_20206[[#This Row],[Units (in 1000)]]&lt;$R$6),"outlier","not outlier")</f>
        <v>not outlier</v>
      </c>
      <c r="K1106" s="4" t="str">
        <f>IF(OR(Копия_20206[[#This Row],[Value (in 1000 rub)]]&gt;$S$7,Копия_20206[[#This Row],[Value (in 1000 rub)]]&lt;$S$6),"outlier","not outlier")</f>
        <v>not outlier</v>
      </c>
      <c r="L1106" s="4" t="str">
        <f>IF(OR(Копия_20206[[#This Row],[Volume (in 1000 kg)]]&gt;$T$7,Копия_20206[[#This Row],[Volume (in 1000 kg)]]&lt;$T$6),"outlier","not outlier")</f>
        <v>not outlier</v>
      </c>
      <c r="M1106" s="4" t="str">
        <f>IF(OR(Копия_20206[[#This Row],[Number of stores]]&gt;$U$7,Копия_20206[[#This Row],[Number of stores]]&lt;$U$6),"outlier","not outlier")</f>
        <v>not outlier</v>
      </c>
    </row>
    <row r="1107" spans="1:13" x14ac:dyDescent="0.25">
      <c r="A1107">
        <v>2021</v>
      </c>
      <c r="B1107">
        <v>2</v>
      </c>
      <c r="C1107" s="1" t="s">
        <v>8</v>
      </c>
      <c r="D1107" s="1" t="s">
        <v>20</v>
      </c>
      <c r="E1107" s="1" t="s">
        <v>12</v>
      </c>
      <c r="F1107" s="4">
        <v>1.0523</v>
      </c>
      <c r="G1107" s="4">
        <v>136.39728199999999</v>
      </c>
      <c r="H1107" s="4">
        <v>0.4209</v>
      </c>
      <c r="I1107">
        <v>124</v>
      </c>
      <c r="J1107" s="4" t="str">
        <f>IF(OR(Копия_20206[[#This Row],[Units (in 1000)]]&gt;$R$7,Копия_20206[[#This Row],[Units (in 1000)]]&lt;$R$6),"outlier","not outlier")</f>
        <v>not outlier</v>
      </c>
      <c r="K1107" s="4" t="str">
        <f>IF(OR(Копия_20206[[#This Row],[Value (in 1000 rub)]]&gt;$S$7,Копия_20206[[#This Row],[Value (in 1000 rub)]]&lt;$S$6),"outlier","not outlier")</f>
        <v>not outlier</v>
      </c>
      <c r="L1107" s="4" t="str">
        <f>IF(OR(Копия_20206[[#This Row],[Volume (in 1000 kg)]]&gt;$T$7,Копия_20206[[#This Row],[Volume (in 1000 kg)]]&lt;$T$6),"outlier","not outlier")</f>
        <v>not outlier</v>
      </c>
      <c r="M1107" s="4" t="str">
        <f>IF(OR(Копия_20206[[#This Row],[Number of stores]]&gt;$U$7,Копия_20206[[#This Row],[Number of stores]]&lt;$U$6),"outlier","not outlier")</f>
        <v>not outlier</v>
      </c>
    </row>
    <row r="1108" spans="1:13" x14ac:dyDescent="0.25">
      <c r="A1108">
        <v>2021</v>
      </c>
      <c r="B1108">
        <v>2</v>
      </c>
      <c r="C1108" s="1" t="s">
        <v>25</v>
      </c>
      <c r="D1108" s="1" t="s">
        <v>20</v>
      </c>
      <c r="E1108" s="1" t="s">
        <v>21</v>
      </c>
      <c r="F1108" s="4">
        <v>3.3E-3</v>
      </c>
      <c r="G1108" s="4">
        <v>1.308484</v>
      </c>
      <c r="H1108" s="4">
        <v>8.9999999999999998E-4</v>
      </c>
      <c r="I1108">
        <v>2</v>
      </c>
      <c r="J1108" s="4" t="str">
        <f>IF(OR(Копия_20206[[#This Row],[Units (in 1000)]]&gt;$R$7,Копия_20206[[#This Row],[Units (in 1000)]]&lt;$R$6),"outlier","not outlier")</f>
        <v>not outlier</v>
      </c>
      <c r="K1108" s="4" t="str">
        <f>IF(OR(Копия_20206[[#This Row],[Value (in 1000 rub)]]&gt;$S$7,Копия_20206[[#This Row],[Value (in 1000 rub)]]&lt;$S$6),"outlier","not outlier")</f>
        <v>not outlier</v>
      </c>
      <c r="L1108" s="4" t="str">
        <f>IF(OR(Копия_20206[[#This Row],[Volume (in 1000 kg)]]&gt;$T$7,Копия_20206[[#This Row],[Volume (in 1000 kg)]]&lt;$T$6),"outlier","not outlier")</f>
        <v>not outlier</v>
      </c>
      <c r="M1108" s="4" t="str">
        <f>IF(OR(Копия_20206[[#This Row],[Number of stores]]&gt;$U$7,Копия_20206[[#This Row],[Number of stores]]&lt;$U$6),"outlier","not outlier")</f>
        <v>not outlier</v>
      </c>
    </row>
    <row r="1109" spans="1:13" x14ac:dyDescent="0.25">
      <c r="A1109">
        <v>2021</v>
      </c>
      <c r="B1109">
        <v>2</v>
      </c>
      <c r="C1109" s="1" t="s">
        <v>25</v>
      </c>
      <c r="D1109" s="1" t="s">
        <v>20</v>
      </c>
      <c r="E1109" s="1" t="s">
        <v>35</v>
      </c>
      <c r="F1109" s="4">
        <v>1.5900000000000001E-2</v>
      </c>
      <c r="G1109" s="4">
        <v>3.3178890000000001</v>
      </c>
      <c r="H1109" s="4">
        <v>4.7999999999999996E-3</v>
      </c>
      <c r="I1109">
        <v>2</v>
      </c>
      <c r="J1109" s="4" t="str">
        <f>IF(OR(Копия_20206[[#This Row],[Units (in 1000)]]&gt;$R$7,Копия_20206[[#This Row],[Units (in 1000)]]&lt;$R$6),"outlier","not outlier")</f>
        <v>not outlier</v>
      </c>
      <c r="K1109" s="4" t="str">
        <f>IF(OR(Копия_20206[[#This Row],[Value (in 1000 rub)]]&gt;$S$7,Копия_20206[[#This Row],[Value (in 1000 rub)]]&lt;$S$6),"outlier","not outlier")</f>
        <v>not outlier</v>
      </c>
      <c r="L1109" s="4" t="str">
        <f>IF(OR(Копия_20206[[#This Row],[Volume (in 1000 kg)]]&gt;$T$7,Копия_20206[[#This Row],[Volume (in 1000 kg)]]&lt;$T$6),"outlier","not outlier")</f>
        <v>not outlier</v>
      </c>
      <c r="M1109" s="4" t="str">
        <f>IF(OR(Копия_20206[[#This Row],[Number of stores]]&gt;$U$7,Копия_20206[[#This Row],[Number of stores]]&lt;$U$6),"outlier","not outlier")</f>
        <v>not outlier</v>
      </c>
    </row>
    <row r="1110" spans="1:13" x14ac:dyDescent="0.25">
      <c r="A1110">
        <v>2021</v>
      </c>
      <c r="B1110">
        <v>2</v>
      </c>
      <c r="C1110" s="1" t="s">
        <v>25</v>
      </c>
      <c r="D1110" s="1" t="s">
        <v>20</v>
      </c>
      <c r="E1110" s="1" t="s">
        <v>12</v>
      </c>
      <c r="F1110" s="4">
        <v>0.34960000000000002</v>
      </c>
      <c r="G1110" s="4">
        <v>38.380471</v>
      </c>
      <c r="H1110" s="4">
        <v>0.13980000000000001</v>
      </c>
      <c r="I1110">
        <v>206</v>
      </c>
      <c r="J1110" s="4" t="str">
        <f>IF(OR(Копия_20206[[#This Row],[Units (in 1000)]]&gt;$R$7,Копия_20206[[#This Row],[Units (in 1000)]]&lt;$R$6),"outlier","not outlier")</f>
        <v>not outlier</v>
      </c>
      <c r="K1110" s="4" t="str">
        <f>IF(OR(Копия_20206[[#This Row],[Value (in 1000 rub)]]&gt;$S$7,Копия_20206[[#This Row],[Value (in 1000 rub)]]&lt;$S$6),"outlier","not outlier")</f>
        <v>not outlier</v>
      </c>
      <c r="L1110" s="4" t="str">
        <f>IF(OR(Копия_20206[[#This Row],[Volume (in 1000 kg)]]&gt;$T$7,Копия_20206[[#This Row],[Volume (in 1000 kg)]]&lt;$T$6),"outlier","not outlier")</f>
        <v>not outlier</v>
      </c>
      <c r="M1110" s="4" t="str">
        <f>IF(OR(Копия_20206[[#This Row],[Number of stores]]&gt;$U$7,Копия_20206[[#This Row],[Number of stores]]&lt;$U$6),"outlier","not outlier")</f>
        <v>not outlier</v>
      </c>
    </row>
    <row r="1111" spans="1:13" x14ac:dyDescent="0.25">
      <c r="A1111">
        <v>2021</v>
      </c>
      <c r="B1111">
        <v>3</v>
      </c>
      <c r="C1111" s="1" t="s">
        <v>8</v>
      </c>
      <c r="D1111" s="1" t="s">
        <v>20</v>
      </c>
      <c r="E1111" s="1" t="s">
        <v>21</v>
      </c>
      <c r="F1111" s="4">
        <v>8.2000000000000007E-3</v>
      </c>
      <c r="G1111" s="4">
        <v>2.719411</v>
      </c>
      <c r="H1111" s="4">
        <v>2.3E-3</v>
      </c>
      <c r="I1111">
        <v>3</v>
      </c>
      <c r="J1111" s="4" t="str">
        <f>IF(OR(Копия_20206[[#This Row],[Units (in 1000)]]&gt;$R$7,Копия_20206[[#This Row],[Units (in 1000)]]&lt;$R$6),"outlier","not outlier")</f>
        <v>not outlier</v>
      </c>
      <c r="K1111" s="4" t="str">
        <f>IF(OR(Копия_20206[[#This Row],[Value (in 1000 rub)]]&gt;$S$7,Копия_20206[[#This Row],[Value (in 1000 rub)]]&lt;$S$6),"outlier","not outlier")</f>
        <v>not outlier</v>
      </c>
      <c r="L1111" s="4" t="str">
        <f>IF(OR(Копия_20206[[#This Row],[Volume (in 1000 kg)]]&gt;$T$7,Копия_20206[[#This Row],[Volume (in 1000 kg)]]&lt;$T$6),"outlier","not outlier")</f>
        <v>not outlier</v>
      </c>
      <c r="M1111" s="4" t="str">
        <f>IF(OR(Копия_20206[[#This Row],[Number of stores]]&gt;$U$7,Копия_20206[[#This Row],[Number of stores]]&lt;$U$6),"outlier","not outlier")</f>
        <v>not outlier</v>
      </c>
    </row>
    <row r="1112" spans="1:13" x14ac:dyDescent="0.25">
      <c r="A1112">
        <v>2021</v>
      </c>
      <c r="B1112">
        <v>3</v>
      </c>
      <c r="C1112" s="1" t="s">
        <v>8</v>
      </c>
      <c r="D1112" s="1" t="s">
        <v>20</v>
      </c>
      <c r="E1112" s="1" t="s">
        <v>12</v>
      </c>
      <c r="F1112" s="4">
        <v>1.0868</v>
      </c>
      <c r="G1112" s="4">
        <v>140.99037000000001</v>
      </c>
      <c r="H1112" s="4">
        <v>0.43469999999999998</v>
      </c>
      <c r="I1112">
        <v>123</v>
      </c>
      <c r="J1112" s="4" t="str">
        <f>IF(OR(Копия_20206[[#This Row],[Units (in 1000)]]&gt;$R$7,Копия_20206[[#This Row],[Units (in 1000)]]&lt;$R$6),"outlier","not outlier")</f>
        <v>not outlier</v>
      </c>
      <c r="K1112" s="4" t="str">
        <f>IF(OR(Копия_20206[[#This Row],[Value (in 1000 rub)]]&gt;$S$7,Копия_20206[[#This Row],[Value (in 1000 rub)]]&lt;$S$6),"outlier","not outlier")</f>
        <v>not outlier</v>
      </c>
      <c r="L1112" s="4" t="str">
        <f>IF(OR(Копия_20206[[#This Row],[Volume (in 1000 kg)]]&gt;$T$7,Копия_20206[[#This Row],[Volume (in 1000 kg)]]&lt;$T$6),"outlier","not outlier")</f>
        <v>not outlier</v>
      </c>
      <c r="M1112" s="4" t="str">
        <f>IF(OR(Копия_20206[[#This Row],[Number of stores]]&gt;$U$7,Копия_20206[[#This Row],[Number of stores]]&lt;$U$6),"outlier","not outlier")</f>
        <v>not outlier</v>
      </c>
    </row>
    <row r="1113" spans="1:13" x14ac:dyDescent="0.25">
      <c r="A1113">
        <v>2021</v>
      </c>
      <c r="B1113">
        <v>3</v>
      </c>
      <c r="C1113" s="1" t="s">
        <v>25</v>
      </c>
      <c r="D1113" s="1" t="s">
        <v>20</v>
      </c>
      <c r="E1113" s="1" t="s">
        <v>21</v>
      </c>
      <c r="F1113" s="4">
        <v>6.9999999999999999E-4</v>
      </c>
      <c r="G1113" s="4">
        <v>0.27444099999999999</v>
      </c>
      <c r="H1113" s="4">
        <v>2.0000000000000001E-4</v>
      </c>
      <c r="I1113">
        <v>2</v>
      </c>
      <c r="J1113" s="4" t="str">
        <f>IF(OR(Копия_20206[[#This Row],[Units (in 1000)]]&gt;$R$7,Копия_20206[[#This Row],[Units (in 1000)]]&lt;$R$6),"outlier","not outlier")</f>
        <v>not outlier</v>
      </c>
      <c r="K1113" s="4" t="str">
        <f>IF(OR(Копия_20206[[#This Row],[Value (in 1000 rub)]]&gt;$S$7,Копия_20206[[#This Row],[Value (in 1000 rub)]]&lt;$S$6),"outlier","not outlier")</f>
        <v>not outlier</v>
      </c>
      <c r="L1113" s="4" t="str">
        <f>IF(OR(Копия_20206[[#This Row],[Volume (in 1000 kg)]]&gt;$T$7,Копия_20206[[#This Row],[Volume (in 1000 kg)]]&lt;$T$6),"outlier","not outlier")</f>
        <v>not outlier</v>
      </c>
      <c r="M1113" s="4" t="str">
        <f>IF(OR(Копия_20206[[#This Row],[Number of stores]]&gt;$U$7,Копия_20206[[#This Row],[Number of stores]]&lt;$U$6),"outlier","not outlier")</f>
        <v>not outlier</v>
      </c>
    </row>
    <row r="1114" spans="1:13" x14ac:dyDescent="0.25">
      <c r="A1114">
        <v>2021</v>
      </c>
      <c r="B1114">
        <v>3</v>
      </c>
      <c r="C1114" s="1" t="s">
        <v>25</v>
      </c>
      <c r="D1114" s="1" t="s">
        <v>20</v>
      </c>
      <c r="E1114" s="1" t="s">
        <v>35</v>
      </c>
      <c r="F1114" s="4">
        <v>6.9999999999999999E-4</v>
      </c>
      <c r="G1114" s="4">
        <v>0.13831399999999999</v>
      </c>
      <c r="H1114" s="4">
        <v>2.0000000000000001E-4</v>
      </c>
      <c r="I1114">
        <v>1</v>
      </c>
      <c r="J1114" s="4" t="str">
        <f>IF(OR(Копия_20206[[#This Row],[Units (in 1000)]]&gt;$R$7,Копия_20206[[#This Row],[Units (in 1000)]]&lt;$R$6),"outlier","not outlier")</f>
        <v>not outlier</v>
      </c>
      <c r="K1114" s="4" t="str">
        <f>IF(OR(Копия_20206[[#This Row],[Value (in 1000 rub)]]&gt;$S$7,Копия_20206[[#This Row],[Value (in 1000 rub)]]&lt;$S$6),"outlier","not outlier")</f>
        <v>not outlier</v>
      </c>
      <c r="L1114" s="4" t="str">
        <f>IF(OR(Копия_20206[[#This Row],[Volume (in 1000 kg)]]&gt;$T$7,Копия_20206[[#This Row],[Volume (in 1000 kg)]]&lt;$T$6),"outlier","not outlier")</f>
        <v>not outlier</v>
      </c>
      <c r="M1114" s="4" t="str">
        <f>IF(OR(Копия_20206[[#This Row],[Number of stores]]&gt;$U$7,Копия_20206[[#This Row],[Number of stores]]&lt;$U$6),"outlier","not outlier")</f>
        <v>not outlier</v>
      </c>
    </row>
    <row r="1115" spans="1:13" x14ac:dyDescent="0.25">
      <c r="A1115">
        <v>2021</v>
      </c>
      <c r="B1115">
        <v>3</v>
      </c>
      <c r="C1115" s="1" t="s">
        <v>25</v>
      </c>
      <c r="D1115" s="1" t="s">
        <v>20</v>
      </c>
      <c r="E1115" s="1" t="s">
        <v>12</v>
      </c>
      <c r="F1115" s="4">
        <v>0.43480000000000002</v>
      </c>
      <c r="G1115" s="4">
        <v>47.505246999999997</v>
      </c>
      <c r="H1115" s="4">
        <v>0.1739</v>
      </c>
      <c r="I1115">
        <v>256</v>
      </c>
      <c r="J1115" s="4" t="str">
        <f>IF(OR(Копия_20206[[#This Row],[Units (in 1000)]]&gt;$R$7,Копия_20206[[#This Row],[Units (in 1000)]]&lt;$R$6),"outlier","not outlier")</f>
        <v>not outlier</v>
      </c>
      <c r="K1115" s="4" t="str">
        <f>IF(OR(Копия_20206[[#This Row],[Value (in 1000 rub)]]&gt;$S$7,Копия_20206[[#This Row],[Value (in 1000 rub)]]&lt;$S$6),"outlier","not outlier")</f>
        <v>not outlier</v>
      </c>
      <c r="L1115" s="4" t="str">
        <f>IF(OR(Копия_20206[[#This Row],[Volume (in 1000 kg)]]&gt;$T$7,Копия_20206[[#This Row],[Volume (in 1000 kg)]]&lt;$T$6),"outlier","not outlier")</f>
        <v>not outlier</v>
      </c>
      <c r="M1115" s="4" t="str">
        <f>IF(OR(Копия_20206[[#This Row],[Number of stores]]&gt;$U$7,Копия_20206[[#This Row],[Number of stores]]&lt;$U$6),"outlier","not outlier")</f>
        <v>not outlier</v>
      </c>
    </row>
    <row r="1116" spans="1:13" x14ac:dyDescent="0.25">
      <c r="A1116">
        <v>2021</v>
      </c>
      <c r="B1116">
        <v>4</v>
      </c>
      <c r="C1116" s="1" t="s">
        <v>8</v>
      </c>
      <c r="D1116" s="1" t="s">
        <v>20</v>
      </c>
      <c r="E1116" s="1" t="s">
        <v>21</v>
      </c>
      <c r="F1116" s="4">
        <v>4.7800000000000002E-2</v>
      </c>
      <c r="G1116" s="4">
        <v>17.027861999999999</v>
      </c>
      <c r="H1116" s="4">
        <v>1.34E-2</v>
      </c>
      <c r="I1116">
        <v>21</v>
      </c>
      <c r="J1116" s="4" t="str">
        <f>IF(OR(Копия_20206[[#This Row],[Units (in 1000)]]&gt;$R$7,Копия_20206[[#This Row],[Units (in 1000)]]&lt;$R$6),"outlier","not outlier")</f>
        <v>not outlier</v>
      </c>
      <c r="K1116" s="4" t="str">
        <f>IF(OR(Копия_20206[[#This Row],[Value (in 1000 rub)]]&gt;$S$7,Копия_20206[[#This Row],[Value (in 1000 rub)]]&lt;$S$6),"outlier","not outlier")</f>
        <v>not outlier</v>
      </c>
      <c r="L1116" s="4" t="str">
        <f>IF(OR(Копия_20206[[#This Row],[Volume (in 1000 kg)]]&gt;$T$7,Копия_20206[[#This Row],[Volume (in 1000 kg)]]&lt;$T$6),"outlier","not outlier")</f>
        <v>not outlier</v>
      </c>
      <c r="M1116" s="4" t="str">
        <f>IF(OR(Копия_20206[[#This Row],[Number of stores]]&gt;$U$7,Копия_20206[[#This Row],[Number of stores]]&lt;$U$6),"outlier","not outlier")</f>
        <v>not outlier</v>
      </c>
    </row>
    <row r="1117" spans="1:13" x14ac:dyDescent="0.25">
      <c r="A1117">
        <v>2021</v>
      </c>
      <c r="B1117">
        <v>4</v>
      </c>
      <c r="C1117" s="1" t="s">
        <v>8</v>
      </c>
      <c r="D1117" s="1" t="s">
        <v>20</v>
      </c>
      <c r="E1117" s="1" t="s">
        <v>12</v>
      </c>
      <c r="F1117" s="4">
        <v>0.94640000000000002</v>
      </c>
      <c r="G1117" s="4">
        <v>122.809512</v>
      </c>
      <c r="H1117" s="4">
        <v>0.3785</v>
      </c>
      <c r="I1117">
        <v>131</v>
      </c>
      <c r="J1117" s="4" t="str">
        <f>IF(OR(Копия_20206[[#This Row],[Units (in 1000)]]&gt;$R$7,Копия_20206[[#This Row],[Units (in 1000)]]&lt;$R$6),"outlier","not outlier")</f>
        <v>not outlier</v>
      </c>
      <c r="K1117" s="4" t="str">
        <f>IF(OR(Копия_20206[[#This Row],[Value (in 1000 rub)]]&gt;$S$7,Копия_20206[[#This Row],[Value (in 1000 rub)]]&lt;$S$6),"outlier","not outlier")</f>
        <v>not outlier</v>
      </c>
      <c r="L1117" s="4" t="str">
        <f>IF(OR(Копия_20206[[#This Row],[Volume (in 1000 kg)]]&gt;$T$7,Копия_20206[[#This Row],[Volume (in 1000 kg)]]&lt;$T$6),"outlier","not outlier")</f>
        <v>not outlier</v>
      </c>
      <c r="M1117" s="4" t="str">
        <f>IF(OR(Копия_20206[[#This Row],[Number of stores]]&gt;$U$7,Копия_20206[[#This Row],[Number of stores]]&lt;$U$6),"outlier","not outlier")</f>
        <v>not outlier</v>
      </c>
    </row>
    <row r="1118" spans="1:13" x14ac:dyDescent="0.25">
      <c r="A1118">
        <v>2021</v>
      </c>
      <c r="B1118">
        <v>5</v>
      </c>
      <c r="C1118" s="1" t="s">
        <v>8</v>
      </c>
      <c r="D1118" s="1" t="s">
        <v>20</v>
      </c>
      <c r="E1118" s="1" t="s">
        <v>21</v>
      </c>
      <c r="F1118" s="4">
        <v>4.4499999999999998E-2</v>
      </c>
      <c r="G1118" s="4">
        <v>14.372702</v>
      </c>
      <c r="H1118" s="4">
        <v>1.2500000000000001E-2</v>
      </c>
      <c r="I1118">
        <v>16</v>
      </c>
      <c r="J1118" s="4" t="str">
        <f>IF(OR(Копия_20206[[#This Row],[Units (in 1000)]]&gt;$R$7,Копия_20206[[#This Row],[Units (in 1000)]]&lt;$R$6),"outlier","not outlier")</f>
        <v>not outlier</v>
      </c>
      <c r="K1118" s="4" t="str">
        <f>IF(OR(Копия_20206[[#This Row],[Value (in 1000 rub)]]&gt;$S$7,Копия_20206[[#This Row],[Value (in 1000 rub)]]&lt;$S$6),"outlier","not outlier")</f>
        <v>not outlier</v>
      </c>
      <c r="L1118" s="4" t="str">
        <f>IF(OR(Копия_20206[[#This Row],[Volume (in 1000 kg)]]&gt;$T$7,Копия_20206[[#This Row],[Volume (in 1000 kg)]]&lt;$T$6),"outlier","not outlier")</f>
        <v>not outlier</v>
      </c>
      <c r="M1118" s="4" t="str">
        <f>IF(OR(Копия_20206[[#This Row],[Number of stores]]&gt;$U$7,Копия_20206[[#This Row],[Number of stores]]&lt;$U$6),"outlier","not outlier")</f>
        <v>not outlier</v>
      </c>
    </row>
    <row r="1119" spans="1:13" x14ac:dyDescent="0.25">
      <c r="A1119">
        <v>2021</v>
      </c>
      <c r="B1119">
        <v>5</v>
      </c>
      <c r="C1119" s="1" t="s">
        <v>8</v>
      </c>
      <c r="D1119" s="1" t="s">
        <v>20</v>
      </c>
      <c r="E1119" s="1" t="s">
        <v>12</v>
      </c>
      <c r="F1119" s="4">
        <v>1.1576</v>
      </c>
      <c r="G1119" s="4">
        <v>149.28983400000001</v>
      </c>
      <c r="H1119" s="4">
        <v>0.46310000000000001</v>
      </c>
      <c r="I1119">
        <v>164</v>
      </c>
      <c r="J1119" s="4" t="str">
        <f>IF(OR(Копия_20206[[#This Row],[Units (in 1000)]]&gt;$R$7,Копия_20206[[#This Row],[Units (in 1000)]]&lt;$R$6),"outlier","not outlier")</f>
        <v>not outlier</v>
      </c>
      <c r="K1119" s="4" t="str">
        <f>IF(OR(Копия_20206[[#This Row],[Value (in 1000 rub)]]&gt;$S$7,Копия_20206[[#This Row],[Value (in 1000 rub)]]&lt;$S$6),"outlier","not outlier")</f>
        <v>not outlier</v>
      </c>
      <c r="L1119" s="4" t="str">
        <f>IF(OR(Копия_20206[[#This Row],[Volume (in 1000 kg)]]&gt;$T$7,Копия_20206[[#This Row],[Volume (in 1000 kg)]]&lt;$T$6),"outlier","not outlier")</f>
        <v>not outlier</v>
      </c>
      <c r="M1119" s="4" t="str">
        <f>IF(OR(Копия_20206[[#This Row],[Number of stores]]&gt;$U$7,Копия_20206[[#This Row],[Number of stores]]&lt;$U$6),"outlier","not outlier")</f>
        <v>not outlier</v>
      </c>
    </row>
    <row r="1120" spans="1:13" x14ac:dyDescent="0.25">
      <c r="A1120">
        <v>2021</v>
      </c>
      <c r="B1120">
        <v>6</v>
      </c>
      <c r="C1120" s="1" t="s">
        <v>8</v>
      </c>
      <c r="D1120" s="1" t="s">
        <v>20</v>
      </c>
      <c r="E1120" s="1" t="s">
        <v>21</v>
      </c>
      <c r="F1120" s="4">
        <v>3.2399999999999998E-2</v>
      </c>
      <c r="G1120" s="4">
        <v>10.521910999999999</v>
      </c>
      <c r="H1120" s="4">
        <v>9.1000000000000004E-3</v>
      </c>
      <c r="I1120">
        <v>15</v>
      </c>
      <c r="J1120" s="4" t="str">
        <f>IF(OR(Копия_20206[[#This Row],[Units (in 1000)]]&gt;$R$7,Копия_20206[[#This Row],[Units (in 1000)]]&lt;$R$6),"outlier","not outlier")</f>
        <v>not outlier</v>
      </c>
      <c r="K1120" s="4" t="str">
        <f>IF(OR(Копия_20206[[#This Row],[Value (in 1000 rub)]]&gt;$S$7,Копия_20206[[#This Row],[Value (in 1000 rub)]]&lt;$S$6),"outlier","not outlier")</f>
        <v>not outlier</v>
      </c>
      <c r="L1120" s="4" t="str">
        <f>IF(OR(Копия_20206[[#This Row],[Volume (in 1000 kg)]]&gt;$T$7,Копия_20206[[#This Row],[Volume (in 1000 kg)]]&lt;$T$6),"outlier","not outlier")</f>
        <v>not outlier</v>
      </c>
      <c r="M1120" s="4" t="str">
        <f>IF(OR(Копия_20206[[#This Row],[Number of stores]]&gt;$U$7,Копия_20206[[#This Row],[Number of stores]]&lt;$U$6),"outlier","not outlier")</f>
        <v>not outlier</v>
      </c>
    </row>
    <row r="1121" spans="1:13" x14ac:dyDescent="0.25">
      <c r="A1121">
        <v>2021</v>
      </c>
      <c r="B1121">
        <v>6</v>
      </c>
      <c r="C1121" s="1" t="s">
        <v>8</v>
      </c>
      <c r="D1121" s="1" t="s">
        <v>20</v>
      </c>
      <c r="E1121" s="1" t="s">
        <v>12</v>
      </c>
      <c r="F1121" s="4">
        <v>1.024</v>
      </c>
      <c r="G1121" s="4">
        <v>132.086592</v>
      </c>
      <c r="H1121" s="4">
        <v>0.40960000000000002</v>
      </c>
      <c r="I1121">
        <v>170</v>
      </c>
      <c r="J1121" s="4" t="str">
        <f>IF(OR(Копия_20206[[#This Row],[Units (in 1000)]]&gt;$R$7,Копия_20206[[#This Row],[Units (in 1000)]]&lt;$R$6),"outlier","not outlier")</f>
        <v>not outlier</v>
      </c>
      <c r="K1121" s="4" t="str">
        <f>IF(OR(Копия_20206[[#This Row],[Value (in 1000 rub)]]&gt;$S$7,Копия_20206[[#This Row],[Value (in 1000 rub)]]&lt;$S$6),"outlier","not outlier")</f>
        <v>not outlier</v>
      </c>
      <c r="L1121" s="4" t="str">
        <f>IF(OR(Копия_20206[[#This Row],[Volume (in 1000 kg)]]&gt;$T$7,Копия_20206[[#This Row],[Volume (in 1000 kg)]]&lt;$T$6),"outlier","not outlier")</f>
        <v>not outlier</v>
      </c>
      <c r="M1121" s="4" t="str">
        <f>IF(OR(Копия_20206[[#This Row],[Number of stores]]&gt;$U$7,Копия_20206[[#This Row],[Number of stores]]&lt;$U$6),"outlier","not outlier")</f>
        <v>not outlier</v>
      </c>
    </row>
    <row r="1122" spans="1:13" x14ac:dyDescent="0.25">
      <c r="A1122">
        <v>2021</v>
      </c>
      <c r="B1122">
        <v>7</v>
      </c>
      <c r="C1122" s="1" t="s">
        <v>8</v>
      </c>
      <c r="D1122" s="1" t="s">
        <v>20</v>
      </c>
      <c r="E1122" s="1" t="s">
        <v>21</v>
      </c>
      <c r="F1122" s="4">
        <v>6.8099999999999994E-2</v>
      </c>
      <c r="G1122" s="4">
        <v>17.309398000000002</v>
      </c>
      <c r="H1122" s="4">
        <v>1.9099999999999999E-2</v>
      </c>
      <c r="I1122">
        <v>19</v>
      </c>
      <c r="J1122" s="4" t="str">
        <f>IF(OR(Копия_20206[[#This Row],[Units (in 1000)]]&gt;$R$7,Копия_20206[[#This Row],[Units (in 1000)]]&lt;$R$6),"outlier","not outlier")</f>
        <v>not outlier</v>
      </c>
      <c r="K1122" s="4" t="str">
        <f>IF(OR(Копия_20206[[#This Row],[Value (in 1000 rub)]]&gt;$S$7,Копия_20206[[#This Row],[Value (in 1000 rub)]]&lt;$S$6),"outlier","not outlier")</f>
        <v>not outlier</v>
      </c>
      <c r="L1122" s="4" t="str">
        <f>IF(OR(Копия_20206[[#This Row],[Volume (in 1000 kg)]]&gt;$T$7,Копия_20206[[#This Row],[Volume (in 1000 kg)]]&lt;$T$6),"outlier","not outlier")</f>
        <v>not outlier</v>
      </c>
      <c r="M1122" s="4" t="str">
        <f>IF(OR(Копия_20206[[#This Row],[Number of stores]]&gt;$U$7,Копия_20206[[#This Row],[Number of stores]]&lt;$U$6),"outlier","not outlier")</f>
        <v>not outlier</v>
      </c>
    </row>
    <row r="1123" spans="1:13" x14ac:dyDescent="0.25">
      <c r="A1123">
        <v>2021</v>
      </c>
      <c r="B1123">
        <v>7</v>
      </c>
      <c r="C1123" s="1" t="s">
        <v>8</v>
      </c>
      <c r="D1123" s="1" t="s">
        <v>20</v>
      </c>
      <c r="E1123" s="1" t="s">
        <v>12</v>
      </c>
      <c r="F1123" s="4">
        <v>1.0634999999999999</v>
      </c>
      <c r="G1123" s="4">
        <v>137.11769799999999</v>
      </c>
      <c r="H1123" s="4">
        <v>0.4254</v>
      </c>
      <c r="I1123">
        <v>171</v>
      </c>
      <c r="J1123" s="4" t="str">
        <f>IF(OR(Копия_20206[[#This Row],[Units (in 1000)]]&gt;$R$7,Копия_20206[[#This Row],[Units (in 1000)]]&lt;$R$6),"outlier","not outlier")</f>
        <v>not outlier</v>
      </c>
      <c r="K1123" s="4" t="str">
        <f>IF(OR(Копия_20206[[#This Row],[Value (in 1000 rub)]]&gt;$S$7,Копия_20206[[#This Row],[Value (in 1000 rub)]]&lt;$S$6),"outlier","not outlier")</f>
        <v>not outlier</v>
      </c>
      <c r="L1123" s="4" t="str">
        <f>IF(OR(Копия_20206[[#This Row],[Volume (in 1000 kg)]]&gt;$T$7,Копия_20206[[#This Row],[Volume (in 1000 kg)]]&lt;$T$6),"outlier","not outlier")</f>
        <v>not outlier</v>
      </c>
      <c r="M1123" s="4" t="str">
        <f>IF(OR(Копия_20206[[#This Row],[Number of stores]]&gt;$U$7,Копия_20206[[#This Row],[Number of stores]]&lt;$U$6),"outlier","not outlier")</f>
        <v>not outlier</v>
      </c>
    </row>
    <row r="1124" spans="1:13" x14ac:dyDescent="0.25">
      <c r="A1124">
        <v>2021</v>
      </c>
      <c r="B1124">
        <v>8</v>
      </c>
      <c r="C1124" s="1" t="s">
        <v>8</v>
      </c>
      <c r="D1124" s="1" t="s">
        <v>20</v>
      </c>
      <c r="E1124" s="1" t="s">
        <v>21</v>
      </c>
      <c r="F1124" s="4">
        <v>5.0700000000000002E-2</v>
      </c>
      <c r="G1124" s="4">
        <v>14.072998999999999</v>
      </c>
      <c r="H1124" s="4">
        <v>1.4200000000000001E-2</v>
      </c>
      <c r="I1124">
        <v>19</v>
      </c>
      <c r="J1124" s="4" t="str">
        <f>IF(OR(Копия_20206[[#This Row],[Units (in 1000)]]&gt;$R$7,Копия_20206[[#This Row],[Units (in 1000)]]&lt;$R$6),"outlier","not outlier")</f>
        <v>not outlier</v>
      </c>
      <c r="K1124" s="4" t="str">
        <f>IF(OR(Копия_20206[[#This Row],[Value (in 1000 rub)]]&gt;$S$7,Копия_20206[[#This Row],[Value (in 1000 rub)]]&lt;$S$6),"outlier","not outlier")</f>
        <v>not outlier</v>
      </c>
      <c r="L1124" s="4" t="str">
        <f>IF(OR(Копия_20206[[#This Row],[Volume (in 1000 kg)]]&gt;$T$7,Копия_20206[[#This Row],[Volume (in 1000 kg)]]&lt;$T$6),"outlier","not outlier")</f>
        <v>not outlier</v>
      </c>
      <c r="M1124" s="4" t="str">
        <f>IF(OR(Копия_20206[[#This Row],[Number of stores]]&gt;$U$7,Копия_20206[[#This Row],[Number of stores]]&lt;$U$6),"outlier","not outlier")</f>
        <v>not outlier</v>
      </c>
    </row>
    <row r="1125" spans="1:13" x14ac:dyDescent="0.25">
      <c r="A1125">
        <v>2021</v>
      </c>
      <c r="B1125">
        <v>8</v>
      </c>
      <c r="C1125" s="1" t="s">
        <v>8</v>
      </c>
      <c r="D1125" s="1" t="s">
        <v>20</v>
      </c>
      <c r="E1125" s="1" t="s">
        <v>12</v>
      </c>
      <c r="F1125" s="4">
        <v>0.97809999999999997</v>
      </c>
      <c r="G1125" s="4">
        <v>127.683803</v>
      </c>
      <c r="H1125" s="4">
        <v>0.39129999999999998</v>
      </c>
      <c r="I1125">
        <v>170</v>
      </c>
      <c r="J1125" s="4" t="str">
        <f>IF(OR(Копия_20206[[#This Row],[Units (in 1000)]]&gt;$R$7,Копия_20206[[#This Row],[Units (in 1000)]]&lt;$R$6),"outlier","not outlier")</f>
        <v>not outlier</v>
      </c>
      <c r="K1125" s="4" t="str">
        <f>IF(OR(Копия_20206[[#This Row],[Value (in 1000 rub)]]&gt;$S$7,Копия_20206[[#This Row],[Value (in 1000 rub)]]&lt;$S$6),"outlier","not outlier")</f>
        <v>not outlier</v>
      </c>
      <c r="L1125" s="4" t="str">
        <f>IF(OR(Копия_20206[[#This Row],[Volume (in 1000 kg)]]&gt;$T$7,Копия_20206[[#This Row],[Volume (in 1000 kg)]]&lt;$T$6),"outlier","not outlier")</f>
        <v>not outlier</v>
      </c>
      <c r="M1125" s="4" t="str">
        <f>IF(OR(Копия_20206[[#This Row],[Number of stores]]&gt;$U$7,Копия_20206[[#This Row],[Number of stores]]&lt;$U$6),"outlier","not outlier")</f>
        <v>not outlier</v>
      </c>
    </row>
    <row r="1126" spans="1:13" x14ac:dyDescent="0.25">
      <c r="A1126">
        <v>2021</v>
      </c>
      <c r="B1126">
        <v>8</v>
      </c>
      <c r="C1126" s="1" t="s">
        <v>25</v>
      </c>
      <c r="D1126" s="1" t="s">
        <v>20</v>
      </c>
      <c r="E1126" s="1" t="s">
        <v>21</v>
      </c>
      <c r="F1126" s="4">
        <v>1.6999999999999999E-3</v>
      </c>
      <c r="G1126" s="4">
        <v>0.69263300000000005</v>
      </c>
      <c r="H1126" s="4">
        <v>5.0000000000000001E-4</v>
      </c>
      <c r="I1126">
        <v>0</v>
      </c>
      <c r="J1126" s="4" t="str">
        <f>IF(OR(Копия_20206[[#This Row],[Units (in 1000)]]&gt;$R$7,Копия_20206[[#This Row],[Units (in 1000)]]&lt;$R$6),"outlier","not outlier")</f>
        <v>not outlier</v>
      </c>
      <c r="K1126" s="4" t="str">
        <f>IF(OR(Копия_20206[[#This Row],[Value (in 1000 rub)]]&gt;$S$7,Копия_20206[[#This Row],[Value (in 1000 rub)]]&lt;$S$6),"outlier","not outlier")</f>
        <v>not outlier</v>
      </c>
      <c r="L1126" s="4" t="str">
        <f>IF(OR(Копия_20206[[#This Row],[Volume (in 1000 kg)]]&gt;$T$7,Копия_20206[[#This Row],[Volume (in 1000 kg)]]&lt;$T$6),"outlier","not outlier")</f>
        <v>not outlier</v>
      </c>
      <c r="M1126" s="4" t="str">
        <f>IF(OR(Копия_20206[[#This Row],[Number of stores]]&gt;$U$7,Копия_20206[[#This Row],[Number of stores]]&lt;$U$6),"outlier","not outlier")</f>
        <v>not outlier</v>
      </c>
    </row>
    <row r="1127" spans="1:13" x14ac:dyDescent="0.25">
      <c r="A1127">
        <v>2021</v>
      </c>
      <c r="B1127">
        <v>8</v>
      </c>
      <c r="C1127" s="1" t="s">
        <v>25</v>
      </c>
      <c r="D1127" s="1" t="s">
        <v>20</v>
      </c>
      <c r="E1127" s="1" t="s">
        <v>12</v>
      </c>
      <c r="F1127" s="4">
        <v>0.51359999999999995</v>
      </c>
      <c r="G1127" s="4">
        <v>55.714799999999997</v>
      </c>
      <c r="H1127" s="4">
        <v>0.20549999999999999</v>
      </c>
      <c r="I1127">
        <v>0</v>
      </c>
      <c r="J1127" s="4" t="str">
        <f>IF(OR(Копия_20206[[#This Row],[Units (in 1000)]]&gt;$R$7,Копия_20206[[#This Row],[Units (in 1000)]]&lt;$R$6),"outlier","not outlier")</f>
        <v>not outlier</v>
      </c>
      <c r="K1127" s="4" t="str">
        <f>IF(OR(Копия_20206[[#This Row],[Value (in 1000 rub)]]&gt;$S$7,Копия_20206[[#This Row],[Value (in 1000 rub)]]&lt;$S$6),"outlier","not outlier")</f>
        <v>not outlier</v>
      </c>
      <c r="L1127" s="4" t="str">
        <f>IF(OR(Копия_20206[[#This Row],[Volume (in 1000 kg)]]&gt;$T$7,Копия_20206[[#This Row],[Volume (in 1000 kg)]]&lt;$T$6),"outlier","not outlier")</f>
        <v>not outlier</v>
      </c>
      <c r="M1127" s="4" t="str">
        <f>IF(OR(Копия_20206[[#This Row],[Number of stores]]&gt;$U$7,Копия_20206[[#This Row],[Number of stores]]&lt;$U$6),"outlier","not outlier")</f>
        <v>not outlier</v>
      </c>
    </row>
    <row r="1128" spans="1:13" x14ac:dyDescent="0.25">
      <c r="A1128">
        <v>2021</v>
      </c>
      <c r="B1128">
        <v>9</v>
      </c>
      <c r="C1128" s="1" t="s">
        <v>8</v>
      </c>
      <c r="D1128" s="1" t="s">
        <v>20</v>
      </c>
      <c r="E1128" s="1" t="s">
        <v>21</v>
      </c>
      <c r="F1128" s="4">
        <v>4.9500000000000002E-2</v>
      </c>
      <c r="G1128" s="4">
        <v>12.375298000000001</v>
      </c>
      <c r="H1128" s="4">
        <v>1.3899999999999999E-2</v>
      </c>
      <c r="I1128">
        <v>20</v>
      </c>
      <c r="J1128" s="4" t="str">
        <f>IF(OR(Копия_20206[[#This Row],[Units (in 1000)]]&gt;$R$7,Копия_20206[[#This Row],[Units (in 1000)]]&lt;$R$6),"outlier","not outlier")</f>
        <v>not outlier</v>
      </c>
      <c r="K1128" s="4" t="str">
        <f>IF(OR(Копия_20206[[#This Row],[Value (in 1000 rub)]]&gt;$S$7,Копия_20206[[#This Row],[Value (in 1000 rub)]]&lt;$S$6),"outlier","not outlier")</f>
        <v>not outlier</v>
      </c>
      <c r="L1128" s="4" t="str">
        <f>IF(OR(Копия_20206[[#This Row],[Volume (in 1000 kg)]]&gt;$T$7,Копия_20206[[#This Row],[Volume (in 1000 kg)]]&lt;$T$6),"outlier","not outlier")</f>
        <v>not outlier</v>
      </c>
      <c r="M1128" s="4" t="str">
        <f>IF(OR(Копия_20206[[#This Row],[Number of stores]]&gt;$U$7,Копия_20206[[#This Row],[Number of stores]]&lt;$U$6),"outlier","not outlier")</f>
        <v>not outlier</v>
      </c>
    </row>
    <row r="1129" spans="1:13" x14ac:dyDescent="0.25">
      <c r="A1129">
        <v>2021</v>
      </c>
      <c r="B1129">
        <v>9</v>
      </c>
      <c r="C1129" s="1" t="s">
        <v>8</v>
      </c>
      <c r="D1129" s="1" t="s">
        <v>20</v>
      </c>
      <c r="E1129" s="1" t="s">
        <v>12</v>
      </c>
      <c r="F1129" s="4">
        <v>1.0822000000000001</v>
      </c>
      <c r="G1129" s="4">
        <v>139.409435</v>
      </c>
      <c r="H1129" s="4">
        <v>0.43290000000000001</v>
      </c>
      <c r="I1129">
        <v>172</v>
      </c>
      <c r="J1129" s="4" t="str">
        <f>IF(OR(Копия_20206[[#This Row],[Units (in 1000)]]&gt;$R$7,Копия_20206[[#This Row],[Units (in 1000)]]&lt;$R$6),"outlier","not outlier")</f>
        <v>not outlier</v>
      </c>
      <c r="K1129" s="4" t="str">
        <f>IF(OR(Копия_20206[[#This Row],[Value (in 1000 rub)]]&gt;$S$7,Копия_20206[[#This Row],[Value (in 1000 rub)]]&lt;$S$6),"outlier","not outlier")</f>
        <v>not outlier</v>
      </c>
      <c r="L1129" s="4" t="str">
        <f>IF(OR(Копия_20206[[#This Row],[Volume (in 1000 kg)]]&gt;$T$7,Копия_20206[[#This Row],[Volume (in 1000 kg)]]&lt;$T$6),"outlier","not outlier")</f>
        <v>not outlier</v>
      </c>
      <c r="M1129" s="4" t="str">
        <f>IF(OR(Копия_20206[[#This Row],[Number of stores]]&gt;$U$7,Копия_20206[[#This Row],[Number of stores]]&lt;$U$6),"outlier","not outlier")</f>
        <v>not outlier</v>
      </c>
    </row>
    <row r="1130" spans="1:13" x14ac:dyDescent="0.25">
      <c r="A1130">
        <v>2021</v>
      </c>
      <c r="B1130">
        <v>10</v>
      </c>
      <c r="C1130" s="1" t="s">
        <v>8</v>
      </c>
      <c r="D1130" s="1" t="s">
        <v>20</v>
      </c>
      <c r="E1130" s="1" t="s">
        <v>21</v>
      </c>
      <c r="F1130" s="4">
        <v>4.9500000000000002E-2</v>
      </c>
      <c r="G1130" s="4">
        <v>12.090182</v>
      </c>
      <c r="H1130" s="4">
        <v>1.3899999999999999E-2</v>
      </c>
      <c r="I1130">
        <v>15</v>
      </c>
      <c r="J1130" s="4" t="str">
        <f>IF(OR(Копия_20206[[#This Row],[Units (in 1000)]]&gt;$R$7,Копия_20206[[#This Row],[Units (in 1000)]]&lt;$R$6),"outlier","not outlier")</f>
        <v>not outlier</v>
      </c>
      <c r="K1130" s="4" t="str">
        <f>IF(OR(Копия_20206[[#This Row],[Value (in 1000 rub)]]&gt;$S$7,Копия_20206[[#This Row],[Value (in 1000 rub)]]&lt;$S$6),"outlier","not outlier")</f>
        <v>not outlier</v>
      </c>
      <c r="L1130" s="4" t="str">
        <f>IF(OR(Копия_20206[[#This Row],[Volume (in 1000 kg)]]&gt;$T$7,Копия_20206[[#This Row],[Volume (in 1000 kg)]]&lt;$T$6),"outlier","not outlier")</f>
        <v>not outlier</v>
      </c>
      <c r="M1130" s="4" t="str">
        <f>IF(OR(Копия_20206[[#This Row],[Number of stores]]&gt;$U$7,Копия_20206[[#This Row],[Number of stores]]&lt;$U$6),"outlier","not outlier")</f>
        <v>not outlier</v>
      </c>
    </row>
    <row r="1131" spans="1:13" x14ac:dyDescent="0.25">
      <c r="A1131">
        <v>2021</v>
      </c>
      <c r="B1131">
        <v>10</v>
      </c>
      <c r="C1131" s="1" t="s">
        <v>8</v>
      </c>
      <c r="D1131" s="1" t="s">
        <v>20</v>
      </c>
      <c r="E1131" s="1" t="s">
        <v>12</v>
      </c>
      <c r="F1131" s="4">
        <v>1.3658999999999999</v>
      </c>
      <c r="G1131" s="4">
        <v>170.32941199999999</v>
      </c>
      <c r="H1131" s="4">
        <v>0.5464</v>
      </c>
      <c r="I1131">
        <v>179</v>
      </c>
      <c r="J1131" s="4" t="str">
        <f>IF(OR(Копия_20206[[#This Row],[Units (in 1000)]]&gt;$R$7,Копия_20206[[#This Row],[Units (in 1000)]]&lt;$R$6),"outlier","not outlier")</f>
        <v>not outlier</v>
      </c>
      <c r="K1131" s="4" t="str">
        <f>IF(OR(Копия_20206[[#This Row],[Value (in 1000 rub)]]&gt;$S$7,Копия_20206[[#This Row],[Value (in 1000 rub)]]&lt;$S$6),"outlier","not outlier")</f>
        <v>not outlier</v>
      </c>
      <c r="L1131" s="4" t="str">
        <f>IF(OR(Копия_20206[[#This Row],[Volume (in 1000 kg)]]&gt;$T$7,Копия_20206[[#This Row],[Volume (in 1000 kg)]]&lt;$T$6),"outlier","not outlier")</f>
        <v>not outlier</v>
      </c>
      <c r="M1131" s="4" t="str">
        <f>IF(OR(Копия_20206[[#This Row],[Number of stores]]&gt;$U$7,Копия_20206[[#This Row],[Number of stores]]&lt;$U$6),"outlier","not outlier")</f>
        <v>not outlier</v>
      </c>
    </row>
    <row r="1132" spans="1:13" x14ac:dyDescent="0.25">
      <c r="A1132">
        <v>2021</v>
      </c>
      <c r="B1132">
        <v>10</v>
      </c>
      <c r="C1132" s="1" t="s">
        <v>25</v>
      </c>
      <c r="D1132" s="1" t="s">
        <v>20</v>
      </c>
      <c r="E1132" s="1" t="s">
        <v>21</v>
      </c>
      <c r="F1132" s="4">
        <v>3.7000000000000002E-3</v>
      </c>
      <c r="G1132" s="4">
        <v>1.48214</v>
      </c>
      <c r="H1132" s="4">
        <v>1.1000000000000001E-3</v>
      </c>
      <c r="I1132">
        <v>0</v>
      </c>
      <c r="J1132" s="4" t="str">
        <f>IF(OR(Копия_20206[[#This Row],[Units (in 1000)]]&gt;$R$7,Копия_20206[[#This Row],[Units (in 1000)]]&lt;$R$6),"outlier","not outlier")</f>
        <v>not outlier</v>
      </c>
      <c r="K1132" s="4" t="str">
        <f>IF(OR(Копия_20206[[#This Row],[Value (in 1000 rub)]]&gt;$S$7,Копия_20206[[#This Row],[Value (in 1000 rub)]]&lt;$S$6),"outlier","not outlier")</f>
        <v>not outlier</v>
      </c>
      <c r="L1132" s="4" t="str">
        <f>IF(OR(Копия_20206[[#This Row],[Volume (in 1000 kg)]]&gt;$T$7,Копия_20206[[#This Row],[Volume (in 1000 kg)]]&lt;$T$6),"outlier","not outlier")</f>
        <v>not outlier</v>
      </c>
      <c r="M1132" s="4" t="str">
        <f>IF(OR(Копия_20206[[#This Row],[Number of stores]]&gt;$U$7,Копия_20206[[#This Row],[Number of stores]]&lt;$U$6),"outlier","not outlier")</f>
        <v>not outlier</v>
      </c>
    </row>
    <row r="1133" spans="1:13" x14ac:dyDescent="0.25">
      <c r="A1133">
        <v>2021</v>
      </c>
      <c r="B1133">
        <v>10</v>
      </c>
      <c r="C1133" s="1" t="s">
        <v>25</v>
      </c>
      <c r="D1133" s="1" t="s">
        <v>20</v>
      </c>
      <c r="E1133" s="1" t="s">
        <v>12</v>
      </c>
      <c r="F1133" s="4">
        <v>0.55659999999999998</v>
      </c>
      <c r="G1133" s="4">
        <v>67.058508000000003</v>
      </c>
      <c r="H1133" s="4">
        <v>0.22259999999999999</v>
      </c>
      <c r="I1133">
        <v>0</v>
      </c>
      <c r="J1133" s="4" t="str">
        <f>IF(OR(Копия_20206[[#This Row],[Units (in 1000)]]&gt;$R$7,Копия_20206[[#This Row],[Units (in 1000)]]&lt;$R$6),"outlier","not outlier")</f>
        <v>not outlier</v>
      </c>
      <c r="K1133" s="4" t="str">
        <f>IF(OR(Копия_20206[[#This Row],[Value (in 1000 rub)]]&gt;$S$7,Копия_20206[[#This Row],[Value (in 1000 rub)]]&lt;$S$6),"outlier","not outlier")</f>
        <v>not outlier</v>
      </c>
      <c r="L1133" s="4" t="str">
        <f>IF(OR(Копия_20206[[#This Row],[Volume (in 1000 kg)]]&gt;$T$7,Копия_20206[[#This Row],[Volume (in 1000 kg)]]&lt;$T$6),"outlier","not outlier")</f>
        <v>not outlier</v>
      </c>
      <c r="M1133" s="4" t="str">
        <f>IF(OR(Копия_20206[[#This Row],[Number of stores]]&gt;$U$7,Копия_20206[[#This Row],[Number of stores]]&lt;$U$6),"outlier","not outlier")</f>
        <v>not outlier</v>
      </c>
    </row>
    <row r="1134" spans="1:13" x14ac:dyDescent="0.25">
      <c r="A1134">
        <v>2021</v>
      </c>
      <c r="B1134">
        <v>11</v>
      </c>
      <c r="C1134" s="1" t="s">
        <v>8</v>
      </c>
      <c r="D1134" s="1" t="s">
        <v>20</v>
      </c>
      <c r="E1134" s="1" t="s">
        <v>21</v>
      </c>
      <c r="F1134" s="4">
        <v>2.98E-2</v>
      </c>
      <c r="G1134" s="4">
        <v>8.8287189999999995</v>
      </c>
      <c r="H1134" s="4">
        <v>8.3999999999999995E-3</v>
      </c>
      <c r="I1134">
        <v>15</v>
      </c>
      <c r="J1134" s="4" t="str">
        <f>IF(OR(Копия_20206[[#This Row],[Units (in 1000)]]&gt;$R$7,Копия_20206[[#This Row],[Units (in 1000)]]&lt;$R$6),"outlier","not outlier")</f>
        <v>not outlier</v>
      </c>
      <c r="K1134" s="4" t="str">
        <f>IF(OR(Копия_20206[[#This Row],[Value (in 1000 rub)]]&gt;$S$7,Копия_20206[[#This Row],[Value (in 1000 rub)]]&lt;$S$6),"outlier","not outlier")</f>
        <v>not outlier</v>
      </c>
      <c r="L1134" s="4" t="str">
        <f>IF(OR(Копия_20206[[#This Row],[Volume (in 1000 kg)]]&gt;$T$7,Копия_20206[[#This Row],[Volume (in 1000 kg)]]&lt;$T$6),"outlier","not outlier")</f>
        <v>not outlier</v>
      </c>
      <c r="M1134" s="4" t="str">
        <f>IF(OR(Копия_20206[[#This Row],[Number of stores]]&gt;$U$7,Копия_20206[[#This Row],[Number of stores]]&lt;$U$6),"outlier","not outlier")</f>
        <v>not outlier</v>
      </c>
    </row>
    <row r="1135" spans="1:13" x14ac:dyDescent="0.25">
      <c r="A1135">
        <v>2021</v>
      </c>
      <c r="B1135">
        <v>11</v>
      </c>
      <c r="C1135" s="1" t="s">
        <v>8</v>
      </c>
      <c r="D1135" s="1" t="s">
        <v>20</v>
      </c>
      <c r="E1135" s="1" t="s">
        <v>12</v>
      </c>
      <c r="F1135" s="4">
        <v>1.2734000000000001</v>
      </c>
      <c r="G1135" s="4">
        <v>180.083167</v>
      </c>
      <c r="H1135" s="4">
        <v>0.50929999999999997</v>
      </c>
      <c r="I1135">
        <v>186</v>
      </c>
      <c r="J1135" s="4" t="str">
        <f>IF(OR(Копия_20206[[#This Row],[Units (in 1000)]]&gt;$R$7,Копия_20206[[#This Row],[Units (in 1000)]]&lt;$R$6),"outlier","not outlier")</f>
        <v>not outlier</v>
      </c>
      <c r="K1135" s="4" t="str">
        <f>IF(OR(Копия_20206[[#This Row],[Value (in 1000 rub)]]&gt;$S$7,Копия_20206[[#This Row],[Value (in 1000 rub)]]&lt;$S$6),"outlier","not outlier")</f>
        <v>not outlier</v>
      </c>
      <c r="L1135" s="4" t="str">
        <f>IF(OR(Копия_20206[[#This Row],[Volume (in 1000 kg)]]&gt;$T$7,Копия_20206[[#This Row],[Volume (in 1000 kg)]]&lt;$T$6),"outlier","not outlier")</f>
        <v>not outlier</v>
      </c>
      <c r="M1135" s="4" t="str">
        <f>IF(OR(Копия_20206[[#This Row],[Number of stores]]&gt;$U$7,Копия_20206[[#This Row],[Number of stores]]&lt;$U$6),"outlier","not outlier")</f>
        <v>not outlier</v>
      </c>
    </row>
    <row r="1136" spans="1:13" x14ac:dyDescent="0.25">
      <c r="A1136">
        <v>2021</v>
      </c>
      <c r="B1136">
        <v>11</v>
      </c>
      <c r="C1136" s="1" t="s">
        <v>29</v>
      </c>
      <c r="D1136" s="1" t="s">
        <v>20</v>
      </c>
      <c r="E1136" s="1" t="s">
        <v>21</v>
      </c>
      <c r="F1136" s="4">
        <v>0.31330000000000002</v>
      </c>
      <c r="G1136" s="4">
        <v>119.615482</v>
      </c>
      <c r="H1136" s="4">
        <v>8.77E-2</v>
      </c>
      <c r="I1136">
        <v>0</v>
      </c>
      <c r="J1136" s="4" t="str">
        <f>IF(OR(Копия_20206[[#This Row],[Units (in 1000)]]&gt;$R$7,Копия_20206[[#This Row],[Units (in 1000)]]&lt;$R$6),"outlier","not outlier")</f>
        <v>not outlier</v>
      </c>
      <c r="K1136" s="4" t="str">
        <f>IF(OR(Копия_20206[[#This Row],[Value (in 1000 rub)]]&gt;$S$7,Копия_20206[[#This Row],[Value (in 1000 rub)]]&lt;$S$6),"outlier","not outlier")</f>
        <v>not outlier</v>
      </c>
      <c r="L1136" s="4" t="str">
        <f>IF(OR(Копия_20206[[#This Row],[Volume (in 1000 kg)]]&gt;$T$7,Копия_20206[[#This Row],[Volume (in 1000 kg)]]&lt;$T$6),"outlier","not outlier")</f>
        <v>not outlier</v>
      </c>
      <c r="M1136" s="4" t="str">
        <f>IF(OR(Копия_20206[[#This Row],[Number of stores]]&gt;$U$7,Копия_20206[[#This Row],[Number of stores]]&lt;$U$6),"outlier","not outlier")</f>
        <v>not outlier</v>
      </c>
    </row>
    <row r="1137" spans="1:13" x14ac:dyDescent="0.25">
      <c r="A1137">
        <v>2021</v>
      </c>
      <c r="B1137">
        <v>11</v>
      </c>
      <c r="C1137" s="1" t="s">
        <v>29</v>
      </c>
      <c r="D1137" s="1" t="s">
        <v>20</v>
      </c>
      <c r="E1137" s="1" t="s">
        <v>35</v>
      </c>
      <c r="F1137" s="4">
        <v>1.6000000000000001E-3</v>
      </c>
      <c r="G1137" s="4">
        <v>0.526536</v>
      </c>
      <c r="H1137" s="4">
        <v>5.0000000000000001E-4</v>
      </c>
      <c r="I1137">
        <v>0</v>
      </c>
      <c r="J1137" s="4" t="str">
        <f>IF(OR(Копия_20206[[#This Row],[Units (in 1000)]]&gt;$R$7,Копия_20206[[#This Row],[Units (in 1000)]]&lt;$R$6),"outlier","not outlier")</f>
        <v>not outlier</v>
      </c>
      <c r="K1137" s="4" t="str">
        <f>IF(OR(Копия_20206[[#This Row],[Value (in 1000 rub)]]&gt;$S$7,Копия_20206[[#This Row],[Value (in 1000 rub)]]&lt;$S$6),"outlier","not outlier")</f>
        <v>not outlier</v>
      </c>
      <c r="L1137" s="4" t="str">
        <f>IF(OR(Копия_20206[[#This Row],[Volume (in 1000 kg)]]&gt;$T$7,Копия_20206[[#This Row],[Volume (in 1000 kg)]]&lt;$T$6),"outlier","not outlier")</f>
        <v>not outlier</v>
      </c>
      <c r="M1137" s="4" t="str">
        <f>IF(OR(Копия_20206[[#This Row],[Number of stores]]&gt;$U$7,Копия_20206[[#This Row],[Number of stores]]&lt;$U$6),"outlier","not outlier")</f>
        <v>not outlier</v>
      </c>
    </row>
    <row r="1138" spans="1:13" x14ac:dyDescent="0.25">
      <c r="A1138">
        <v>2021</v>
      </c>
      <c r="B1138">
        <v>11</v>
      </c>
      <c r="C1138" s="1" t="s">
        <v>29</v>
      </c>
      <c r="D1138" s="1" t="s">
        <v>20</v>
      </c>
      <c r="E1138" s="1" t="s">
        <v>12</v>
      </c>
      <c r="F1138" s="4">
        <v>1.1007</v>
      </c>
      <c r="G1138" s="4">
        <v>150.34304</v>
      </c>
      <c r="H1138" s="4">
        <v>0.44030000000000002</v>
      </c>
      <c r="I1138">
        <v>0</v>
      </c>
      <c r="J1138" s="4" t="str">
        <f>IF(OR(Копия_20206[[#This Row],[Units (in 1000)]]&gt;$R$7,Копия_20206[[#This Row],[Units (in 1000)]]&lt;$R$6),"outlier","not outlier")</f>
        <v>not outlier</v>
      </c>
      <c r="K1138" s="4" t="str">
        <f>IF(OR(Копия_20206[[#This Row],[Value (in 1000 rub)]]&gt;$S$7,Копия_20206[[#This Row],[Value (in 1000 rub)]]&lt;$S$6),"outlier","not outlier")</f>
        <v>not outlier</v>
      </c>
      <c r="L1138" s="4" t="str">
        <f>IF(OR(Копия_20206[[#This Row],[Volume (in 1000 kg)]]&gt;$T$7,Копия_20206[[#This Row],[Volume (in 1000 kg)]]&lt;$T$6),"outlier","not outlier")</f>
        <v>not outlier</v>
      </c>
      <c r="M1138" s="4" t="str">
        <f>IF(OR(Копия_20206[[#This Row],[Number of stores]]&gt;$U$7,Копия_20206[[#This Row],[Number of stores]]&lt;$U$6),"outlier","not outlier")</f>
        <v>not outlier</v>
      </c>
    </row>
    <row r="1139" spans="1:13" x14ac:dyDescent="0.25">
      <c r="A1139">
        <v>2021</v>
      </c>
      <c r="B1139">
        <v>12</v>
      </c>
      <c r="C1139" s="1" t="s">
        <v>8</v>
      </c>
      <c r="D1139" s="1" t="s">
        <v>20</v>
      </c>
      <c r="E1139" s="1" t="s">
        <v>21</v>
      </c>
      <c r="F1139" s="4">
        <v>3.7400000000000003E-2</v>
      </c>
      <c r="G1139" s="4">
        <v>10.424574</v>
      </c>
      <c r="H1139" s="4">
        <v>1.0500000000000001E-2</v>
      </c>
      <c r="I1139">
        <v>13</v>
      </c>
      <c r="J1139" s="4" t="str">
        <f>IF(OR(Копия_20206[[#This Row],[Units (in 1000)]]&gt;$R$7,Копия_20206[[#This Row],[Units (in 1000)]]&lt;$R$6),"outlier","not outlier")</f>
        <v>not outlier</v>
      </c>
      <c r="K1139" s="4" t="str">
        <f>IF(OR(Копия_20206[[#This Row],[Value (in 1000 rub)]]&gt;$S$7,Копия_20206[[#This Row],[Value (in 1000 rub)]]&lt;$S$6),"outlier","not outlier")</f>
        <v>not outlier</v>
      </c>
      <c r="L1139" s="4" t="str">
        <f>IF(OR(Копия_20206[[#This Row],[Volume (in 1000 kg)]]&gt;$T$7,Копия_20206[[#This Row],[Volume (in 1000 kg)]]&lt;$T$6),"outlier","not outlier")</f>
        <v>not outlier</v>
      </c>
      <c r="M1139" s="4" t="str">
        <f>IF(OR(Копия_20206[[#This Row],[Number of stores]]&gt;$U$7,Копия_20206[[#This Row],[Number of stores]]&lt;$U$6),"outlier","not outlier")</f>
        <v>not outlier</v>
      </c>
    </row>
    <row r="1140" spans="1:13" x14ac:dyDescent="0.25">
      <c r="A1140">
        <v>2021</v>
      </c>
      <c r="B1140">
        <v>12</v>
      </c>
      <c r="C1140" s="1" t="s">
        <v>8</v>
      </c>
      <c r="D1140" s="1" t="s">
        <v>20</v>
      </c>
      <c r="E1140" s="1" t="s">
        <v>12</v>
      </c>
      <c r="F1140" s="4">
        <v>1.381</v>
      </c>
      <c r="G1140" s="4">
        <v>191.52732900000001</v>
      </c>
      <c r="H1140" s="4">
        <v>0.5524</v>
      </c>
      <c r="I1140">
        <v>195</v>
      </c>
      <c r="J1140" s="4" t="str">
        <f>IF(OR(Копия_20206[[#This Row],[Units (in 1000)]]&gt;$R$7,Копия_20206[[#This Row],[Units (in 1000)]]&lt;$R$6),"outlier","not outlier")</f>
        <v>not outlier</v>
      </c>
      <c r="K1140" s="4" t="str">
        <f>IF(OR(Копия_20206[[#This Row],[Value (in 1000 rub)]]&gt;$S$7,Копия_20206[[#This Row],[Value (in 1000 rub)]]&lt;$S$6),"outlier","not outlier")</f>
        <v>not outlier</v>
      </c>
      <c r="L1140" s="4" t="str">
        <f>IF(OR(Копия_20206[[#This Row],[Volume (in 1000 kg)]]&gt;$T$7,Копия_20206[[#This Row],[Volume (in 1000 kg)]]&lt;$T$6),"outlier","not outlier")</f>
        <v>not outlier</v>
      </c>
      <c r="M1140" s="4" t="str">
        <f>IF(OR(Копия_20206[[#This Row],[Number of stores]]&gt;$U$7,Копия_20206[[#This Row],[Number of stores]]&lt;$U$6),"outlier","not outlier")</f>
        <v>not outlier</v>
      </c>
    </row>
    <row r="1141" spans="1:13" x14ac:dyDescent="0.25">
      <c r="A1141">
        <v>2021</v>
      </c>
      <c r="B1141">
        <v>12</v>
      </c>
      <c r="C1141" s="1" t="s">
        <v>29</v>
      </c>
      <c r="D1141" s="1" t="s">
        <v>20</v>
      </c>
      <c r="E1141" s="1" t="s">
        <v>21</v>
      </c>
      <c r="F1141" s="4">
        <v>3.9100000000000003E-2</v>
      </c>
      <c r="G1141" s="4">
        <v>14.953212000000001</v>
      </c>
      <c r="H1141" s="4">
        <v>1.09E-2</v>
      </c>
      <c r="I1141">
        <v>0</v>
      </c>
      <c r="J1141" s="4" t="str">
        <f>IF(OR(Копия_20206[[#This Row],[Units (in 1000)]]&gt;$R$7,Копия_20206[[#This Row],[Units (in 1000)]]&lt;$R$6),"outlier","not outlier")</f>
        <v>not outlier</v>
      </c>
      <c r="K1141" s="4" t="str">
        <f>IF(OR(Копия_20206[[#This Row],[Value (in 1000 rub)]]&gt;$S$7,Копия_20206[[#This Row],[Value (in 1000 rub)]]&lt;$S$6),"outlier","not outlier")</f>
        <v>not outlier</v>
      </c>
      <c r="L1141" s="4" t="str">
        <f>IF(OR(Копия_20206[[#This Row],[Volume (in 1000 kg)]]&gt;$T$7,Копия_20206[[#This Row],[Volume (in 1000 kg)]]&lt;$T$6),"outlier","not outlier")</f>
        <v>not outlier</v>
      </c>
      <c r="M1141" s="4" t="str">
        <f>IF(OR(Копия_20206[[#This Row],[Number of stores]]&gt;$U$7,Копия_20206[[#This Row],[Number of stores]]&lt;$U$6),"outlier","not outlier")</f>
        <v>not outlier</v>
      </c>
    </row>
    <row r="1142" spans="1:13" x14ac:dyDescent="0.25">
      <c r="A1142">
        <v>2021</v>
      </c>
      <c r="B1142">
        <v>12</v>
      </c>
      <c r="C1142" s="1" t="s">
        <v>29</v>
      </c>
      <c r="D1142" s="1" t="s">
        <v>20</v>
      </c>
      <c r="E1142" s="1" t="s">
        <v>35</v>
      </c>
      <c r="F1142" s="4">
        <v>3.0999999999999999E-3</v>
      </c>
      <c r="G1142" s="4">
        <v>0.96084099999999995</v>
      </c>
      <c r="H1142" s="4">
        <v>8.9999999999999998E-4</v>
      </c>
      <c r="I1142">
        <v>0</v>
      </c>
      <c r="J1142" s="4" t="str">
        <f>IF(OR(Копия_20206[[#This Row],[Units (in 1000)]]&gt;$R$7,Копия_20206[[#This Row],[Units (in 1000)]]&lt;$R$6),"outlier","not outlier")</f>
        <v>not outlier</v>
      </c>
      <c r="K1142" s="4" t="str">
        <f>IF(OR(Копия_20206[[#This Row],[Value (in 1000 rub)]]&gt;$S$7,Копия_20206[[#This Row],[Value (in 1000 rub)]]&lt;$S$6),"outlier","not outlier")</f>
        <v>not outlier</v>
      </c>
      <c r="L1142" s="4" t="str">
        <f>IF(OR(Копия_20206[[#This Row],[Volume (in 1000 kg)]]&gt;$T$7,Копия_20206[[#This Row],[Volume (in 1000 kg)]]&lt;$T$6),"outlier","not outlier")</f>
        <v>not outlier</v>
      </c>
      <c r="M1142" s="4" t="str">
        <f>IF(OR(Копия_20206[[#This Row],[Number of stores]]&gt;$U$7,Копия_20206[[#This Row],[Number of stores]]&lt;$U$6),"outlier","not outlier")</f>
        <v>not outlier</v>
      </c>
    </row>
    <row r="1143" spans="1:13" x14ac:dyDescent="0.25">
      <c r="A1143">
        <v>2021</v>
      </c>
      <c r="B1143">
        <v>12</v>
      </c>
      <c r="C1143" s="1" t="s">
        <v>29</v>
      </c>
      <c r="D1143" s="1" t="s">
        <v>20</v>
      </c>
      <c r="E1143" s="1" t="s">
        <v>12</v>
      </c>
      <c r="F1143" s="4">
        <v>1.4449000000000001</v>
      </c>
      <c r="G1143" s="4">
        <v>173.67919499999999</v>
      </c>
      <c r="H1143" s="4">
        <v>0.57809999999999995</v>
      </c>
      <c r="I1143">
        <v>0</v>
      </c>
      <c r="J1143" s="4" t="str">
        <f>IF(OR(Копия_20206[[#This Row],[Units (in 1000)]]&gt;$R$7,Копия_20206[[#This Row],[Units (in 1000)]]&lt;$R$6),"outlier","not outlier")</f>
        <v>not outlier</v>
      </c>
      <c r="K1143" s="4" t="str">
        <f>IF(OR(Копия_20206[[#This Row],[Value (in 1000 rub)]]&gt;$S$7,Копия_20206[[#This Row],[Value (in 1000 rub)]]&lt;$S$6),"outlier","not outlier")</f>
        <v>not outlier</v>
      </c>
      <c r="L1143" s="4" t="str">
        <f>IF(OR(Копия_20206[[#This Row],[Volume (in 1000 kg)]]&gt;$T$7,Копия_20206[[#This Row],[Volume (in 1000 kg)]]&lt;$T$6),"outlier","not outlier")</f>
        <v>not outlier</v>
      </c>
      <c r="M1143" s="4" t="str">
        <f>IF(OR(Копия_20206[[#This Row],[Number of stores]]&gt;$U$7,Копия_20206[[#This Row],[Number of stores]]&lt;$U$6),"outlier","not outlier")</f>
        <v>not outlier</v>
      </c>
    </row>
    <row r="1144" spans="1:13" x14ac:dyDescent="0.25">
      <c r="A1144">
        <v>2021</v>
      </c>
      <c r="B1144">
        <v>1</v>
      </c>
      <c r="C1144" s="1" t="s">
        <v>29</v>
      </c>
      <c r="D1144" s="1" t="s">
        <v>32</v>
      </c>
      <c r="E1144" s="1" t="s">
        <v>11</v>
      </c>
      <c r="F1144" s="4">
        <v>1.2999999999999999E-3</v>
      </c>
      <c r="G1144" s="4">
        <v>0.51188299999999998</v>
      </c>
      <c r="H1144" s="4">
        <v>5.0000000000000001E-4</v>
      </c>
      <c r="I1144">
        <v>1</v>
      </c>
      <c r="J1144" s="4" t="str">
        <f>IF(OR(Копия_20206[[#This Row],[Units (in 1000)]]&gt;$R$7,Копия_20206[[#This Row],[Units (in 1000)]]&lt;$R$6),"outlier","not outlier")</f>
        <v>not outlier</v>
      </c>
      <c r="K1144" s="4" t="str">
        <f>IF(OR(Копия_20206[[#This Row],[Value (in 1000 rub)]]&gt;$S$7,Копия_20206[[#This Row],[Value (in 1000 rub)]]&lt;$S$6),"outlier","not outlier")</f>
        <v>not outlier</v>
      </c>
      <c r="L1144" s="4" t="str">
        <f>IF(OR(Копия_20206[[#This Row],[Volume (in 1000 kg)]]&gt;$T$7,Копия_20206[[#This Row],[Volume (in 1000 kg)]]&lt;$T$6),"outlier","not outlier")</f>
        <v>not outlier</v>
      </c>
      <c r="M1144" s="4" t="str">
        <f>IF(OR(Копия_20206[[#This Row],[Number of stores]]&gt;$U$7,Копия_20206[[#This Row],[Number of stores]]&lt;$U$6),"outlier","not outlier")</f>
        <v>not outlier</v>
      </c>
    </row>
    <row r="1145" spans="1:13" x14ac:dyDescent="0.25">
      <c r="A1145">
        <v>2021</v>
      </c>
      <c r="B1145">
        <v>1</v>
      </c>
      <c r="C1145" s="1" t="s">
        <v>29</v>
      </c>
      <c r="D1145" s="1" t="s">
        <v>32</v>
      </c>
      <c r="E1145" s="1" t="s">
        <v>12</v>
      </c>
      <c r="F1145" s="4">
        <v>0.65149999999999997</v>
      </c>
      <c r="G1145" s="4">
        <v>221.027694</v>
      </c>
      <c r="H1145" s="4">
        <v>0.26050000000000001</v>
      </c>
      <c r="I1145">
        <v>96</v>
      </c>
      <c r="J1145" s="4" t="str">
        <f>IF(OR(Копия_20206[[#This Row],[Units (in 1000)]]&gt;$R$7,Копия_20206[[#This Row],[Units (in 1000)]]&lt;$R$6),"outlier","not outlier")</f>
        <v>not outlier</v>
      </c>
      <c r="K1145" s="4" t="str">
        <f>IF(OR(Копия_20206[[#This Row],[Value (in 1000 rub)]]&gt;$S$7,Копия_20206[[#This Row],[Value (in 1000 rub)]]&lt;$S$6),"outlier","not outlier")</f>
        <v>not outlier</v>
      </c>
      <c r="L1145" s="4" t="str">
        <f>IF(OR(Копия_20206[[#This Row],[Volume (in 1000 kg)]]&gt;$T$7,Копия_20206[[#This Row],[Volume (in 1000 kg)]]&lt;$T$6),"outlier","not outlier")</f>
        <v>not outlier</v>
      </c>
      <c r="M1145" s="4" t="str">
        <f>IF(OR(Копия_20206[[#This Row],[Number of stores]]&gt;$U$7,Копия_20206[[#This Row],[Number of stores]]&lt;$U$6),"outlier","not outlier")</f>
        <v>not outlier</v>
      </c>
    </row>
    <row r="1146" spans="1:13" x14ac:dyDescent="0.25">
      <c r="A1146">
        <v>2021</v>
      </c>
      <c r="B1146">
        <v>2</v>
      </c>
      <c r="C1146" s="1" t="s">
        <v>25</v>
      </c>
      <c r="D1146" s="1" t="s">
        <v>32</v>
      </c>
      <c r="E1146" s="1" t="s">
        <v>18</v>
      </c>
      <c r="F1146" s="4">
        <v>2.9999999999999997E-4</v>
      </c>
      <c r="G1146" s="4">
        <v>6.0470999999999997E-2</v>
      </c>
      <c r="H1146" s="4">
        <v>1E-4</v>
      </c>
      <c r="I1146">
        <v>0</v>
      </c>
      <c r="J1146" s="4" t="str">
        <f>IF(OR(Копия_20206[[#This Row],[Units (in 1000)]]&gt;$R$7,Копия_20206[[#This Row],[Units (in 1000)]]&lt;$R$6),"outlier","not outlier")</f>
        <v>not outlier</v>
      </c>
      <c r="K1146" s="4" t="str">
        <f>IF(OR(Копия_20206[[#This Row],[Value (in 1000 rub)]]&gt;$S$7,Копия_20206[[#This Row],[Value (in 1000 rub)]]&lt;$S$6),"outlier","not outlier")</f>
        <v>not outlier</v>
      </c>
      <c r="L1146" s="4" t="str">
        <f>IF(OR(Копия_20206[[#This Row],[Volume (in 1000 kg)]]&gt;$T$7,Копия_20206[[#This Row],[Volume (in 1000 kg)]]&lt;$T$6),"outlier","not outlier")</f>
        <v>not outlier</v>
      </c>
      <c r="M1146" s="4" t="str">
        <f>IF(OR(Копия_20206[[#This Row],[Number of stores]]&gt;$U$7,Копия_20206[[#This Row],[Number of stores]]&lt;$U$6),"outlier","not outlier")</f>
        <v>not outlier</v>
      </c>
    </row>
    <row r="1147" spans="1:13" x14ac:dyDescent="0.25">
      <c r="A1147">
        <v>2021</v>
      </c>
      <c r="B1147">
        <v>2</v>
      </c>
      <c r="C1147" s="1" t="s">
        <v>25</v>
      </c>
      <c r="D1147" s="1" t="s">
        <v>32</v>
      </c>
      <c r="E1147" s="1" t="s">
        <v>12</v>
      </c>
      <c r="F1147" s="4">
        <v>9.5399999999999999E-2</v>
      </c>
      <c r="G1147" s="4">
        <v>37.051830000000002</v>
      </c>
      <c r="H1147" s="4">
        <v>3.8100000000000002E-2</v>
      </c>
      <c r="I1147">
        <v>0</v>
      </c>
      <c r="J1147" s="4" t="str">
        <f>IF(OR(Копия_20206[[#This Row],[Units (in 1000)]]&gt;$R$7,Копия_20206[[#This Row],[Units (in 1000)]]&lt;$R$6),"outlier","not outlier")</f>
        <v>not outlier</v>
      </c>
      <c r="K1147" s="4" t="str">
        <f>IF(OR(Копия_20206[[#This Row],[Value (in 1000 rub)]]&gt;$S$7,Копия_20206[[#This Row],[Value (in 1000 rub)]]&lt;$S$6),"outlier","not outlier")</f>
        <v>not outlier</v>
      </c>
      <c r="L1147" s="4" t="str">
        <f>IF(OR(Копия_20206[[#This Row],[Volume (in 1000 kg)]]&gt;$T$7,Копия_20206[[#This Row],[Volume (in 1000 kg)]]&lt;$T$6),"outlier","not outlier")</f>
        <v>not outlier</v>
      </c>
      <c r="M1147" s="4" t="str">
        <f>IF(OR(Копия_20206[[#This Row],[Number of stores]]&gt;$U$7,Копия_20206[[#This Row],[Number of stores]]&lt;$U$6),"outlier","not outlier")</f>
        <v>not outlier</v>
      </c>
    </row>
    <row r="1148" spans="1:13" x14ac:dyDescent="0.25">
      <c r="A1148">
        <v>2021</v>
      </c>
      <c r="B1148">
        <v>2</v>
      </c>
      <c r="C1148" s="1" t="s">
        <v>29</v>
      </c>
      <c r="D1148" s="1" t="s">
        <v>32</v>
      </c>
      <c r="E1148" s="1" t="s">
        <v>18</v>
      </c>
      <c r="F1148" s="4">
        <v>1.2999999999999999E-3</v>
      </c>
      <c r="G1148" s="4">
        <v>0.51300999999999997</v>
      </c>
      <c r="H1148" s="4">
        <v>2.9999999999999997E-4</v>
      </c>
      <c r="I1148">
        <v>2</v>
      </c>
      <c r="J1148" s="4" t="str">
        <f>IF(OR(Копия_20206[[#This Row],[Units (in 1000)]]&gt;$R$7,Копия_20206[[#This Row],[Units (in 1000)]]&lt;$R$6),"outlier","not outlier")</f>
        <v>not outlier</v>
      </c>
      <c r="K1148" s="4" t="str">
        <f>IF(OR(Копия_20206[[#This Row],[Value (in 1000 rub)]]&gt;$S$7,Копия_20206[[#This Row],[Value (in 1000 rub)]]&lt;$S$6),"outlier","not outlier")</f>
        <v>not outlier</v>
      </c>
      <c r="L1148" s="4" t="str">
        <f>IF(OR(Копия_20206[[#This Row],[Volume (in 1000 kg)]]&gt;$T$7,Копия_20206[[#This Row],[Volume (in 1000 kg)]]&lt;$T$6),"outlier","not outlier")</f>
        <v>not outlier</v>
      </c>
      <c r="M1148" s="4" t="str">
        <f>IF(OR(Копия_20206[[#This Row],[Number of stores]]&gt;$U$7,Копия_20206[[#This Row],[Number of stores]]&lt;$U$6),"outlier","not outlier")</f>
        <v>not outlier</v>
      </c>
    </row>
    <row r="1149" spans="1:13" x14ac:dyDescent="0.25">
      <c r="A1149">
        <v>2021</v>
      </c>
      <c r="B1149">
        <v>2</v>
      </c>
      <c r="C1149" s="1" t="s">
        <v>29</v>
      </c>
      <c r="D1149" s="1" t="s">
        <v>32</v>
      </c>
      <c r="E1149" s="1" t="s">
        <v>12</v>
      </c>
      <c r="F1149" s="4">
        <v>0.5091</v>
      </c>
      <c r="G1149" s="4">
        <v>184.811387</v>
      </c>
      <c r="H1149" s="4">
        <v>0.2036</v>
      </c>
      <c r="I1149">
        <v>87</v>
      </c>
      <c r="J1149" s="4" t="str">
        <f>IF(OR(Копия_20206[[#This Row],[Units (in 1000)]]&gt;$R$7,Копия_20206[[#This Row],[Units (in 1000)]]&lt;$R$6),"outlier","not outlier")</f>
        <v>not outlier</v>
      </c>
      <c r="K1149" s="4" t="str">
        <f>IF(OR(Копия_20206[[#This Row],[Value (in 1000 rub)]]&gt;$S$7,Копия_20206[[#This Row],[Value (in 1000 rub)]]&lt;$S$6),"outlier","not outlier")</f>
        <v>not outlier</v>
      </c>
      <c r="L1149" s="4" t="str">
        <f>IF(OR(Копия_20206[[#This Row],[Volume (in 1000 kg)]]&gt;$T$7,Копия_20206[[#This Row],[Volume (in 1000 kg)]]&lt;$T$6),"outlier","not outlier")</f>
        <v>not outlier</v>
      </c>
      <c r="M1149" s="4" t="str">
        <f>IF(OR(Копия_20206[[#This Row],[Number of stores]]&gt;$U$7,Копия_20206[[#This Row],[Number of stores]]&lt;$U$6),"outlier","not outlier")</f>
        <v>not outlier</v>
      </c>
    </row>
    <row r="1150" spans="1:13" x14ac:dyDescent="0.25">
      <c r="A1150">
        <v>2021</v>
      </c>
      <c r="B1150">
        <v>3</v>
      </c>
      <c r="C1150" s="1" t="s">
        <v>29</v>
      </c>
      <c r="D1150" s="1" t="s">
        <v>32</v>
      </c>
      <c r="E1150" s="1" t="s">
        <v>12</v>
      </c>
      <c r="F1150" s="4">
        <v>0.52410000000000001</v>
      </c>
      <c r="G1150" s="4">
        <v>198.85196199999999</v>
      </c>
      <c r="H1150" s="4">
        <v>0.2097</v>
      </c>
      <c r="I1150">
        <v>0</v>
      </c>
      <c r="J1150" s="4" t="str">
        <f>IF(OR(Копия_20206[[#This Row],[Units (in 1000)]]&gt;$R$7,Копия_20206[[#This Row],[Units (in 1000)]]&lt;$R$6),"outlier","not outlier")</f>
        <v>not outlier</v>
      </c>
      <c r="K1150" s="4" t="str">
        <f>IF(OR(Копия_20206[[#This Row],[Value (in 1000 rub)]]&gt;$S$7,Копия_20206[[#This Row],[Value (in 1000 rub)]]&lt;$S$6),"outlier","not outlier")</f>
        <v>not outlier</v>
      </c>
      <c r="L1150" s="4" t="str">
        <f>IF(OR(Копия_20206[[#This Row],[Volume (in 1000 kg)]]&gt;$T$7,Копия_20206[[#This Row],[Volume (in 1000 kg)]]&lt;$T$6),"outlier","not outlier")</f>
        <v>not outlier</v>
      </c>
      <c r="M1150" s="4" t="str">
        <f>IF(OR(Копия_20206[[#This Row],[Number of stores]]&gt;$U$7,Копия_20206[[#This Row],[Number of stores]]&lt;$U$6),"outlier","not outlier")</f>
        <v>not outlier</v>
      </c>
    </row>
    <row r="1151" spans="1:13" x14ac:dyDescent="0.25">
      <c r="A1151">
        <v>2021</v>
      </c>
      <c r="B1151">
        <v>1</v>
      </c>
      <c r="C1151" s="1" t="s">
        <v>8</v>
      </c>
      <c r="D1151" s="1" t="s">
        <v>24</v>
      </c>
      <c r="E1151" s="1" t="s">
        <v>18</v>
      </c>
      <c r="F1151" s="4">
        <v>0.21110000000000001</v>
      </c>
      <c r="G1151" s="4">
        <v>37.134447999999999</v>
      </c>
      <c r="H1151" s="4">
        <v>4.0099999999999997E-2</v>
      </c>
      <c r="I1151">
        <v>0</v>
      </c>
      <c r="J1151" s="4" t="str">
        <f>IF(OR(Копия_20206[[#This Row],[Units (in 1000)]]&gt;$R$7,Копия_20206[[#This Row],[Units (in 1000)]]&lt;$R$6),"outlier","not outlier")</f>
        <v>not outlier</v>
      </c>
      <c r="K1151" s="4" t="str">
        <f>IF(OR(Копия_20206[[#This Row],[Value (in 1000 rub)]]&gt;$S$7,Копия_20206[[#This Row],[Value (in 1000 rub)]]&lt;$S$6),"outlier","not outlier")</f>
        <v>not outlier</v>
      </c>
      <c r="L1151" s="4" t="str">
        <f>IF(OR(Копия_20206[[#This Row],[Volume (in 1000 kg)]]&gt;$T$7,Копия_20206[[#This Row],[Volume (in 1000 kg)]]&lt;$T$6),"outlier","not outlier")</f>
        <v>not outlier</v>
      </c>
      <c r="M1151" s="4" t="str">
        <f>IF(OR(Копия_20206[[#This Row],[Number of stores]]&gt;$U$7,Копия_20206[[#This Row],[Number of stores]]&lt;$U$6),"outlier","not outlier")</f>
        <v>not outlier</v>
      </c>
    </row>
    <row r="1152" spans="1:13" x14ac:dyDescent="0.25">
      <c r="A1152">
        <v>2021</v>
      </c>
      <c r="B1152">
        <v>1</v>
      </c>
      <c r="C1152" s="1" t="s">
        <v>8</v>
      </c>
      <c r="D1152" s="1" t="s">
        <v>24</v>
      </c>
      <c r="E1152" s="1" t="s">
        <v>11</v>
      </c>
      <c r="F1152" s="4">
        <v>1.1000000000000001E-3</v>
      </c>
      <c r="G1152" s="4">
        <v>0.15628300000000001</v>
      </c>
      <c r="H1152" s="4">
        <v>4.0000000000000002E-4</v>
      </c>
      <c r="I1152">
        <v>0</v>
      </c>
      <c r="J1152" s="4" t="str">
        <f>IF(OR(Копия_20206[[#This Row],[Units (in 1000)]]&gt;$R$7,Копия_20206[[#This Row],[Units (in 1000)]]&lt;$R$6),"outlier","not outlier")</f>
        <v>not outlier</v>
      </c>
      <c r="K1152" s="4" t="str">
        <f>IF(OR(Копия_20206[[#This Row],[Value (in 1000 rub)]]&gt;$S$7,Копия_20206[[#This Row],[Value (in 1000 rub)]]&lt;$S$6),"outlier","not outlier")</f>
        <v>not outlier</v>
      </c>
      <c r="L1152" s="4" t="str">
        <f>IF(OR(Копия_20206[[#This Row],[Volume (in 1000 kg)]]&gt;$T$7,Копия_20206[[#This Row],[Volume (in 1000 kg)]]&lt;$T$6),"outlier","not outlier")</f>
        <v>not outlier</v>
      </c>
      <c r="M1152" s="4" t="str">
        <f>IF(OR(Копия_20206[[#This Row],[Number of stores]]&gt;$U$7,Копия_20206[[#This Row],[Number of stores]]&lt;$U$6),"outlier","not outlier")</f>
        <v>not outlier</v>
      </c>
    </row>
    <row r="1153" spans="1:13" x14ac:dyDescent="0.25">
      <c r="A1153">
        <v>2021</v>
      </c>
      <c r="B1153">
        <v>3</v>
      </c>
      <c r="C1153" s="1" t="s">
        <v>8</v>
      </c>
      <c r="D1153" s="1" t="s">
        <v>24</v>
      </c>
      <c r="E1153" s="1" t="s">
        <v>18</v>
      </c>
      <c r="F1153" s="4">
        <v>0.25950000000000001</v>
      </c>
      <c r="G1153" s="4">
        <v>45.093429999999998</v>
      </c>
      <c r="H1153" s="4">
        <v>4.9299999999999997E-2</v>
      </c>
      <c r="I1153">
        <v>87</v>
      </c>
      <c r="J1153" s="4" t="str">
        <f>IF(OR(Копия_20206[[#This Row],[Units (in 1000)]]&gt;$R$7,Копия_20206[[#This Row],[Units (in 1000)]]&lt;$R$6),"outlier","not outlier")</f>
        <v>not outlier</v>
      </c>
      <c r="K1153" s="4" t="str">
        <f>IF(OR(Копия_20206[[#This Row],[Value (in 1000 rub)]]&gt;$S$7,Копия_20206[[#This Row],[Value (in 1000 rub)]]&lt;$S$6),"outlier","not outlier")</f>
        <v>not outlier</v>
      </c>
      <c r="L1153" s="4" t="str">
        <f>IF(OR(Копия_20206[[#This Row],[Volume (in 1000 kg)]]&gt;$T$7,Копия_20206[[#This Row],[Volume (in 1000 kg)]]&lt;$T$6),"outlier","not outlier")</f>
        <v>not outlier</v>
      </c>
      <c r="M1153" s="4" t="str">
        <f>IF(OR(Копия_20206[[#This Row],[Number of stores]]&gt;$U$7,Копия_20206[[#This Row],[Number of stores]]&lt;$U$6),"outlier","not outlier")</f>
        <v>not outlier</v>
      </c>
    </row>
    <row r="1154" spans="1:13" x14ac:dyDescent="0.25">
      <c r="A1154">
        <v>2021</v>
      </c>
      <c r="B1154">
        <v>3</v>
      </c>
      <c r="C1154" s="1" t="s">
        <v>8</v>
      </c>
      <c r="D1154" s="1" t="s">
        <v>24</v>
      </c>
      <c r="E1154" s="1" t="s">
        <v>11</v>
      </c>
      <c r="F1154" s="4">
        <v>6.9999999999999999E-4</v>
      </c>
      <c r="G1154" s="4">
        <v>6.9555000000000006E-2</v>
      </c>
      <c r="H1154" s="4">
        <v>2.9999999999999997E-4</v>
      </c>
      <c r="I1154">
        <v>2</v>
      </c>
      <c r="J1154" s="4" t="str">
        <f>IF(OR(Копия_20206[[#This Row],[Units (in 1000)]]&gt;$R$7,Копия_20206[[#This Row],[Units (in 1000)]]&lt;$R$6),"outlier","not outlier")</f>
        <v>not outlier</v>
      </c>
      <c r="K1154" s="4" t="str">
        <f>IF(OR(Копия_20206[[#This Row],[Value (in 1000 rub)]]&gt;$S$7,Копия_20206[[#This Row],[Value (in 1000 rub)]]&lt;$S$6),"outlier","not outlier")</f>
        <v>not outlier</v>
      </c>
      <c r="L1154" s="4" t="str">
        <f>IF(OR(Копия_20206[[#This Row],[Volume (in 1000 kg)]]&gt;$T$7,Копия_20206[[#This Row],[Volume (in 1000 kg)]]&lt;$T$6),"outlier","not outlier")</f>
        <v>not outlier</v>
      </c>
      <c r="M1154" s="4" t="str">
        <f>IF(OR(Копия_20206[[#This Row],[Number of stores]]&gt;$U$7,Копия_20206[[#This Row],[Number of stores]]&lt;$U$6),"outlier","not outlier")</f>
        <v>not outlier</v>
      </c>
    </row>
    <row r="1155" spans="1:13" x14ac:dyDescent="0.25">
      <c r="A1155">
        <v>2021</v>
      </c>
      <c r="B1155">
        <v>11</v>
      </c>
      <c r="C1155" s="1" t="s">
        <v>8</v>
      </c>
      <c r="D1155" s="1" t="s">
        <v>24</v>
      </c>
      <c r="E1155" s="1" t="s">
        <v>18</v>
      </c>
      <c r="F1155" s="4">
        <v>0.15160000000000001</v>
      </c>
      <c r="G1155" s="4">
        <v>25.916124</v>
      </c>
      <c r="H1155" s="4">
        <v>2.8799999999999999E-2</v>
      </c>
      <c r="I1155">
        <v>64</v>
      </c>
      <c r="J1155" s="4" t="str">
        <f>IF(OR(Копия_20206[[#This Row],[Units (in 1000)]]&gt;$R$7,Копия_20206[[#This Row],[Units (in 1000)]]&lt;$R$6),"outlier","not outlier")</f>
        <v>not outlier</v>
      </c>
      <c r="K1155" s="4" t="str">
        <f>IF(OR(Копия_20206[[#This Row],[Value (in 1000 rub)]]&gt;$S$7,Копия_20206[[#This Row],[Value (in 1000 rub)]]&lt;$S$6),"outlier","not outlier")</f>
        <v>not outlier</v>
      </c>
      <c r="L1155" s="4" t="str">
        <f>IF(OR(Копия_20206[[#This Row],[Volume (in 1000 kg)]]&gt;$T$7,Копия_20206[[#This Row],[Volume (in 1000 kg)]]&lt;$T$6),"outlier","not outlier")</f>
        <v>not outlier</v>
      </c>
      <c r="M1155" s="4" t="str">
        <f>IF(OR(Копия_20206[[#This Row],[Number of stores]]&gt;$U$7,Копия_20206[[#This Row],[Number of stores]]&lt;$U$6),"outlier","not outlier")</f>
        <v>not outlier</v>
      </c>
    </row>
    <row r="1156" spans="1:13" x14ac:dyDescent="0.25">
      <c r="A1156">
        <v>2021</v>
      </c>
      <c r="B1156">
        <v>11</v>
      </c>
      <c r="C1156" s="1" t="s">
        <v>8</v>
      </c>
      <c r="D1156" s="1" t="s">
        <v>24</v>
      </c>
      <c r="E1156" s="1" t="s">
        <v>11</v>
      </c>
      <c r="F1156" s="4">
        <v>6.9999999999999999E-4</v>
      </c>
      <c r="G1156" s="4">
        <v>6.9621000000000016E-2</v>
      </c>
      <c r="H1156" s="4">
        <v>2.9999999999999997E-4</v>
      </c>
      <c r="I1156">
        <v>2</v>
      </c>
      <c r="J1156" s="4" t="str">
        <f>IF(OR(Копия_20206[[#This Row],[Units (in 1000)]]&gt;$R$7,Копия_20206[[#This Row],[Units (in 1000)]]&lt;$R$6),"outlier","not outlier")</f>
        <v>not outlier</v>
      </c>
      <c r="K1156" s="4" t="str">
        <f>IF(OR(Копия_20206[[#This Row],[Value (in 1000 rub)]]&gt;$S$7,Копия_20206[[#This Row],[Value (in 1000 rub)]]&lt;$S$6),"outlier","not outlier")</f>
        <v>not outlier</v>
      </c>
      <c r="L1156" s="4" t="str">
        <f>IF(OR(Копия_20206[[#This Row],[Volume (in 1000 kg)]]&gt;$T$7,Копия_20206[[#This Row],[Volume (in 1000 kg)]]&lt;$T$6),"outlier","not outlier")</f>
        <v>not outlier</v>
      </c>
      <c r="M1156" s="4" t="str">
        <f>IF(OR(Копия_20206[[#This Row],[Number of stores]]&gt;$U$7,Копия_20206[[#This Row],[Number of stores]]&lt;$U$6),"outlier","not outlier")</f>
        <v>not outlier</v>
      </c>
    </row>
    <row r="1157" spans="1:13" x14ac:dyDescent="0.25">
      <c r="A1157">
        <v>2021</v>
      </c>
      <c r="B1157">
        <v>12</v>
      </c>
      <c r="C1157" s="1" t="s">
        <v>8</v>
      </c>
      <c r="D1157" s="1" t="s">
        <v>24</v>
      </c>
      <c r="E1157" s="1" t="s">
        <v>18</v>
      </c>
      <c r="F1157" s="4">
        <v>0.19489999999999999</v>
      </c>
      <c r="G1157" s="4">
        <v>33.214697999999999</v>
      </c>
      <c r="H1157" s="4">
        <v>3.6999999999999998E-2</v>
      </c>
      <c r="I1157">
        <v>74</v>
      </c>
      <c r="J1157" s="4" t="str">
        <f>IF(OR(Копия_20206[[#This Row],[Units (in 1000)]]&gt;$R$7,Копия_20206[[#This Row],[Units (in 1000)]]&lt;$R$6),"outlier","not outlier")</f>
        <v>not outlier</v>
      </c>
      <c r="K1157" s="4" t="str">
        <f>IF(OR(Копия_20206[[#This Row],[Value (in 1000 rub)]]&gt;$S$7,Копия_20206[[#This Row],[Value (in 1000 rub)]]&lt;$S$6),"outlier","not outlier")</f>
        <v>not outlier</v>
      </c>
      <c r="L1157" s="4" t="str">
        <f>IF(OR(Копия_20206[[#This Row],[Volume (in 1000 kg)]]&gt;$T$7,Копия_20206[[#This Row],[Volume (in 1000 kg)]]&lt;$T$6),"outlier","not outlier")</f>
        <v>not outlier</v>
      </c>
      <c r="M1157" s="4" t="str">
        <f>IF(OR(Копия_20206[[#This Row],[Number of stores]]&gt;$U$7,Копия_20206[[#This Row],[Number of stores]]&lt;$U$6),"outlier","not outlier")</f>
        <v>not outlier</v>
      </c>
    </row>
    <row r="1158" spans="1:13" x14ac:dyDescent="0.25">
      <c r="A1158">
        <v>2021</v>
      </c>
      <c r="B1158">
        <v>12</v>
      </c>
      <c r="C1158" s="1" t="s">
        <v>8</v>
      </c>
      <c r="D1158" s="1" t="s">
        <v>24</v>
      </c>
      <c r="E1158" s="1" t="s">
        <v>11</v>
      </c>
      <c r="F1158" s="4">
        <v>6.9999999999999999E-4</v>
      </c>
      <c r="G1158" s="4">
        <v>8.6132E-2</v>
      </c>
      <c r="H1158" s="4">
        <v>2.9999999999999997E-4</v>
      </c>
      <c r="I1158">
        <v>2</v>
      </c>
      <c r="J1158" s="4" t="str">
        <f>IF(OR(Копия_20206[[#This Row],[Units (in 1000)]]&gt;$R$7,Копия_20206[[#This Row],[Units (in 1000)]]&lt;$R$6),"outlier","not outlier")</f>
        <v>not outlier</v>
      </c>
      <c r="K1158" s="4" t="str">
        <f>IF(OR(Копия_20206[[#This Row],[Value (in 1000 rub)]]&gt;$S$7,Копия_20206[[#This Row],[Value (in 1000 rub)]]&lt;$S$6),"outlier","not outlier")</f>
        <v>not outlier</v>
      </c>
      <c r="L1158" s="4" t="str">
        <f>IF(OR(Копия_20206[[#This Row],[Volume (in 1000 kg)]]&gt;$T$7,Копия_20206[[#This Row],[Volume (in 1000 kg)]]&lt;$T$6),"outlier","not outlier")</f>
        <v>not outlier</v>
      </c>
      <c r="M1158" s="4" t="str">
        <f>IF(OR(Копия_20206[[#This Row],[Number of stores]]&gt;$U$7,Копия_20206[[#This Row],[Number of stores]]&lt;$U$6),"outlier","not outlier")</f>
        <v>not outlier</v>
      </c>
    </row>
    <row r="1159" spans="1:13" x14ac:dyDescent="0.25">
      <c r="A1159">
        <v>2021</v>
      </c>
      <c r="B1159">
        <v>1</v>
      </c>
      <c r="C1159" s="1" t="s">
        <v>8</v>
      </c>
      <c r="D1159" s="1" t="s">
        <v>22</v>
      </c>
      <c r="E1159" s="1" t="s">
        <v>12</v>
      </c>
      <c r="F1159" s="4">
        <v>0.34489999999999998</v>
      </c>
      <c r="G1159" s="4">
        <v>72.269302999999994</v>
      </c>
      <c r="H1159" s="4">
        <v>0.13789999999999999</v>
      </c>
      <c r="I1159">
        <v>167</v>
      </c>
      <c r="J1159" s="4" t="str">
        <f>IF(OR(Копия_20206[[#This Row],[Units (in 1000)]]&gt;$R$7,Копия_20206[[#This Row],[Units (in 1000)]]&lt;$R$6),"outlier","not outlier")</f>
        <v>not outlier</v>
      </c>
      <c r="K1159" s="4" t="str">
        <f>IF(OR(Копия_20206[[#This Row],[Value (in 1000 rub)]]&gt;$S$7,Копия_20206[[#This Row],[Value (in 1000 rub)]]&lt;$S$6),"outlier","not outlier")</f>
        <v>not outlier</v>
      </c>
      <c r="L1159" s="4" t="str">
        <f>IF(OR(Копия_20206[[#This Row],[Volume (in 1000 kg)]]&gt;$T$7,Копия_20206[[#This Row],[Volume (in 1000 kg)]]&lt;$T$6),"outlier","not outlier")</f>
        <v>not outlier</v>
      </c>
      <c r="M1159" s="4" t="str">
        <f>IF(OR(Копия_20206[[#This Row],[Number of stores]]&gt;$U$7,Копия_20206[[#This Row],[Number of stores]]&lt;$U$6),"outlier","not outlier")</f>
        <v>not outlier</v>
      </c>
    </row>
    <row r="1160" spans="1:13" x14ac:dyDescent="0.25">
      <c r="A1160">
        <v>2021</v>
      </c>
      <c r="B1160">
        <v>2</v>
      </c>
      <c r="C1160" s="1" t="s">
        <v>8</v>
      </c>
      <c r="D1160" s="1" t="s">
        <v>22</v>
      </c>
      <c r="E1160" s="1" t="s">
        <v>12</v>
      </c>
      <c r="F1160" s="4">
        <v>0.37630000000000002</v>
      </c>
      <c r="G1160" s="4">
        <v>59.318733999999999</v>
      </c>
      <c r="H1160" s="4">
        <v>0.15049999999999999</v>
      </c>
      <c r="I1160">
        <v>165</v>
      </c>
      <c r="J1160" s="4" t="str">
        <f>IF(OR(Копия_20206[[#This Row],[Units (in 1000)]]&gt;$R$7,Копия_20206[[#This Row],[Units (in 1000)]]&lt;$R$6),"outlier","not outlier")</f>
        <v>not outlier</v>
      </c>
      <c r="K1160" s="4" t="str">
        <f>IF(OR(Копия_20206[[#This Row],[Value (in 1000 rub)]]&gt;$S$7,Копия_20206[[#This Row],[Value (in 1000 rub)]]&lt;$S$6),"outlier","not outlier")</f>
        <v>not outlier</v>
      </c>
      <c r="L1160" s="4" t="str">
        <f>IF(OR(Копия_20206[[#This Row],[Volume (in 1000 kg)]]&gt;$T$7,Копия_20206[[#This Row],[Volume (in 1000 kg)]]&lt;$T$6),"outlier","not outlier")</f>
        <v>not outlier</v>
      </c>
      <c r="M1160" s="4" t="str">
        <f>IF(OR(Копия_20206[[#This Row],[Number of stores]]&gt;$U$7,Копия_20206[[#This Row],[Number of stores]]&lt;$U$6),"outlier","not outlier")</f>
        <v>not outlier</v>
      </c>
    </row>
    <row r="1161" spans="1:13" x14ac:dyDescent="0.25">
      <c r="A1161">
        <v>2021</v>
      </c>
      <c r="B1161">
        <v>4</v>
      </c>
      <c r="C1161" s="1" t="s">
        <v>8</v>
      </c>
      <c r="D1161" s="1" t="s">
        <v>22</v>
      </c>
      <c r="E1161" s="1" t="s">
        <v>12</v>
      </c>
      <c r="F1161" s="4">
        <v>0.25459999999999999</v>
      </c>
      <c r="G1161" s="4">
        <v>45.806486</v>
      </c>
      <c r="H1161" s="4">
        <v>0.1018</v>
      </c>
      <c r="I1161">
        <v>154</v>
      </c>
      <c r="J1161" s="4" t="str">
        <f>IF(OR(Копия_20206[[#This Row],[Units (in 1000)]]&gt;$R$7,Копия_20206[[#This Row],[Units (in 1000)]]&lt;$R$6),"outlier","not outlier")</f>
        <v>not outlier</v>
      </c>
      <c r="K1161" s="4" t="str">
        <f>IF(OR(Копия_20206[[#This Row],[Value (in 1000 rub)]]&gt;$S$7,Копия_20206[[#This Row],[Value (in 1000 rub)]]&lt;$S$6),"outlier","not outlier")</f>
        <v>not outlier</v>
      </c>
      <c r="L1161" s="4" t="str">
        <f>IF(OR(Копия_20206[[#This Row],[Volume (in 1000 kg)]]&gt;$T$7,Копия_20206[[#This Row],[Volume (in 1000 kg)]]&lt;$T$6),"outlier","not outlier")</f>
        <v>not outlier</v>
      </c>
      <c r="M1161" s="4" t="str">
        <f>IF(OR(Копия_20206[[#This Row],[Number of stores]]&gt;$U$7,Копия_20206[[#This Row],[Number of stores]]&lt;$U$6),"outlier","not outlier")</f>
        <v>not outlier</v>
      </c>
    </row>
    <row r="1162" spans="1:13" x14ac:dyDescent="0.25">
      <c r="A1162">
        <v>2021</v>
      </c>
      <c r="B1162">
        <v>5</v>
      </c>
      <c r="C1162" s="1" t="s">
        <v>8</v>
      </c>
      <c r="D1162" s="1" t="s">
        <v>22</v>
      </c>
      <c r="E1162" s="1" t="s">
        <v>12</v>
      </c>
      <c r="F1162" s="4">
        <v>1.0680000000000001</v>
      </c>
      <c r="G1162" s="4">
        <v>168.19323</v>
      </c>
      <c r="H1162" s="4">
        <v>0.42720000000000002</v>
      </c>
      <c r="I1162">
        <v>207</v>
      </c>
      <c r="J1162" s="4" t="str">
        <f>IF(OR(Копия_20206[[#This Row],[Units (in 1000)]]&gt;$R$7,Копия_20206[[#This Row],[Units (in 1000)]]&lt;$R$6),"outlier","not outlier")</f>
        <v>not outlier</v>
      </c>
      <c r="K1162" s="4" t="str">
        <f>IF(OR(Копия_20206[[#This Row],[Value (in 1000 rub)]]&gt;$S$7,Копия_20206[[#This Row],[Value (in 1000 rub)]]&lt;$S$6),"outlier","not outlier")</f>
        <v>not outlier</v>
      </c>
      <c r="L1162" s="4" t="str">
        <f>IF(OR(Копия_20206[[#This Row],[Volume (in 1000 kg)]]&gt;$T$7,Копия_20206[[#This Row],[Volume (in 1000 kg)]]&lt;$T$6),"outlier","not outlier")</f>
        <v>not outlier</v>
      </c>
      <c r="M1162" s="4" t="str">
        <f>IF(OR(Копия_20206[[#This Row],[Number of stores]]&gt;$U$7,Копия_20206[[#This Row],[Number of stores]]&lt;$U$6),"outlier","not outlier")</f>
        <v>not outlier</v>
      </c>
    </row>
    <row r="1163" spans="1:13" x14ac:dyDescent="0.25">
      <c r="A1163">
        <v>2021</v>
      </c>
      <c r="B1163">
        <v>6</v>
      </c>
      <c r="C1163" s="1" t="s">
        <v>8</v>
      </c>
      <c r="D1163" s="1" t="s">
        <v>22</v>
      </c>
      <c r="E1163" s="1" t="s">
        <v>12</v>
      </c>
      <c r="F1163" s="4">
        <v>0.68220000000000003</v>
      </c>
      <c r="G1163" s="4">
        <v>88.235472999999999</v>
      </c>
      <c r="H1163" s="4">
        <v>0.27289999999999998</v>
      </c>
      <c r="I1163">
        <v>175</v>
      </c>
      <c r="J1163" s="4" t="str">
        <f>IF(OR(Копия_20206[[#This Row],[Units (in 1000)]]&gt;$R$7,Копия_20206[[#This Row],[Units (in 1000)]]&lt;$R$6),"outlier","not outlier")</f>
        <v>not outlier</v>
      </c>
      <c r="K1163" s="4" t="str">
        <f>IF(OR(Копия_20206[[#This Row],[Value (in 1000 rub)]]&gt;$S$7,Копия_20206[[#This Row],[Value (in 1000 rub)]]&lt;$S$6),"outlier","not outlier")</f>
        <v>not outlier</v>
      </c>
      <c r="L1163" s="4" t="str">
        <f>IF(OR(Копия_20206[[#This Row],[Volume (in 1000 kg)]]&gt;$T$7,Копия_20206[[#This Row],[Volume (in 1000 kg)]]&lt;$T$6),"outlier","not outlier")</f>
        <v>not outlier</v>
      </c>
      <c r="M1163" s="4" t="str">
        <f>IF(OR(Копия_20206[[#This Row],[Number of stores]]&gt;$U$7,Копия_20206[[#This Row],[Number of stores]]&lt;$U$6),"outlier","not outlier")</f>
        <v>not outlier</v>
      </c>
    </row>
    <row r="1164" spans="1:13" x14ac:dyDescent="0.25">
      <c r="A1164">
        <v>2021</v>
      </c>
      <c r="B1164">
        <v>12</v>
      </c>
      <c r="C1164" s="1" t="s">
        <v>8</v>
      </c>
      <c r="D1164" s="1" t="s">
        <v>22</v>
      </c>
      <c r="E1164" s="1" t="s">
        <v>12</v>
      </c>
      <c r="F1164" s="4">
        <v>0.1827</v>
      </c>
      <c r="G1164" s="4">
        <v>36.021500000000003</v>
      </c>
      <c r="H1164" s="4">
        <v>7.3099999999999998E-2</v>
      </c>
      <c r="I1164">
        <v>118</v>
      </c>
      <c r="J1164" s="4" t="str">
        <f>IF(OR(Копия_20206[[#This Row],[Units (in 1000)]]&gt;$R$7,Копия_20206[[#This Row],[Units (in 1000)]]&lt;$R$6),"outlier","not outlier")</f>
        <v>not outlier</v>
      </c>
      <c r="K1164" s="4" t="str">
        <f>IF(OR(Копия_20206[[#This Row],[Value (in 1000 rub)]]&gt;$S$7,Копия_20206[[#This Row],[Value (in 1000 rub)]]&lt;$S$6),"outlier","not outlier")</f>
        <v>not outlier</v>
      </c>
      <c r="L1164" s="4" t="str">
        <f>IF(OR(Копия_20206[[#This Row],[Volume (in 1000 kg)]]&gt;$T$7,Копия_20206[[#This Row],[Volume (in 1000 kg)]]&lt;$T$6),"outlier","not outlier")</f>
        <v>not outlier</v>
      </c>
      <c r="M1164" s="4" t="str">
        <f>IF(OR(Копия_20206[[#This Row],[Number of stores]]&gt;$U$7,Копия_20206[[#This Row],[Number of stores]]&lt;$U$6),"outlier","not outlier")</f>
        <v>not outlier</v>
      </c>
    </row>
    <row r="1165" spans="1:13" x14ac:dyDescent="0.25">
      <c r="A1165">
        <v>2021</v>
      </c>
      <c r="B1165">
        <v>1</v>
      </c>
      <c r="C1165" s="1" t="s">
        <v>8</v>
      </c>
      <c r="D1165" s="1" t="s">
        <v>19</v>
      </c>
      <c r="E1165" s="1" t="s">
        <v>11</v>
      </c>
      <c r="F1165" s="4">
        <v>0.93799999999999994</v>
      </c>
      <c r="G1165" s="4">
        <v>144.05152200000001</v>
      </c>
      <c r="H1165" s="4">
        <v>0.34699999999999998</v>
      </c>
      <c r="I1165">
        <v>93</v>
      </c>
      <c r="J1165" s="4" t="str">
        <f>IF(OR(Копия_20206[[#This Row],[Units (in 1000)]]&gt;$R$7,Копия_20206[[#This Row],[Units (in 1000)]]&lt;$R$6),"outlier","not outlier")</f>
        <v>not outlier</v>
      </c>
      <c r="K1165" s="4" t="str">
        <f>IF(OR(Копия_20206[[#This Row],[Value (in 1000 rub)]]&gt;$S$7,Копия_20206[[#This Row],[Value (in 1000 rub)]]&lt;$S$6),"outlier","not outlier")</f>
        <v>not outlier</v>
      </c>
      <c r="L1165" s="4" t="str">
        <f>IF(OR(Копия_20206[[#This Row],[Volume (in 1000 kg)]]&gt;$T$7,Копия_20206[[#This Row],[Volume (in 1000 kg)]]&lt;$T$6),"outlier","not outlier")</f>
        <v>not outlier</v>
      </c>
      <c r="M1165" s="4" t="str">
        <f>IF(OR(Копия_20206[[#This Row],[Number of stores]]&gt;$U$7,Копия_20206[[#This Row],[Number of stores]]&lt;$U$6),"outlier","not outlier")</f>
        <v>not outlier</v>
      </c>
    </row>
    <row r="1166" spans="1:13" x14ac:dyDescent="0.25">
      <c r="A1166">
        <v>2021</v>
      </c>
      <c r="B1166">
        <v>1</v>
      </c>
      <c r="C1166" s="1" t="s">
        <v>25</v>
      </c>
      <c r="D1166" s="1" t="s">
        <v>19</v>
      </c>
      <c r="E1166" s="1" t="s">
        <v>11</v>
      </c>
      <c r="F1166" s="4">
        <v>0.90920000000000001</v>
      </c>
      <c r="G1166" s="4">
        <v>139.27635799999999</v>
      </c>
      <c r="H1166" s="4">
        <v>0.33639999999999998</v>
      </c>
      <c r="I1166">
        <v>390</v>
      </c>
      <c r="J1166" s="4" t="str">
        <f>IF(OR(Копия_20206[[#This Row],[Units (in 1000)]]&gt;$R$7,Копия_20206[[#This Row],[Units (in 1000)]]&lt;$R$6),"outlier","not outlier")</f>
        <v>not outlier</v>
      </c>
      <c r="K1166" s="4" t="str">
        <f>IF(OR(Копия_20206[[#This Row],[Value (in 1000 rub)]]&gt;$S$7,Копия_20206[[#This Row],[Value (in 1000 rub)]]&lt;$S$6),"outlier","not outlier")</f>
        <v>not outlier</v>
      </c>
      <c r="L1166" s="4" t="str">
        <f>IF(OR(Копия_20206[[#This Row],[Volume (in 1000 kg)]]&gt;$T$7,Копия_20206[[#This Row],[Volume (in 1000 kg)]]&lt;$T$6),"outlier","not outlier")</f>
        <v>not outlier</v>
      </c>
      <c r="M1166" s="4" t="str">
        <f>IF(OR(Копия_20206[[#This Row],[Number of stores]]&gt;$U$7,Копия_20206[[#This Row],[Number of stores]]&lt;$U$6),"outlier","not outlier")</f>
        <v>not outlier</v>
      </c>
    </row>
    <row r="1167" spans="1:13" x14ac:dyDescent="0.25">
      <c r="A1167">
        <v>2021</v>
      </c>
      <c r="B1167">
        <v>1</v>
      </c>
      <c r="C1167" s="1" t="s">
        <v>29</v>
      </c>
      <c r="D1167" s="1" t="s">
        <v>19</v>
      </c>
      <c r="E1167" s="1" t="s">
        <v>11</v>
      </c>
      <c r="F1167" s="4">
        <v>2.1642000000000001</v>
      </c>
      <c r="G1167" s="4">
        <v>341.34502600000002</v>
      </c>
      <c r="H1167" s="4">
        <v>0.80079999999999996</v>
      </c>
      <c r="I1167">
        <v>289</v>
      </c>
      <c r="J1167" s="4" t="str">
        <f>IF(OR(Копия_20206[[#This Row],[Units (in 1000)]]&gt;$R$7,Копия_20206[[#This Row],[Units (in 1000)]]&lt;$R$6),"outlier","not outlier")</f>
        <v>not outlier</v>
      </c>
      <c r="K1167" s="4" t="str">
        <f>IF(OR(Копия_20206[[#This Row],[Value (in 1000 rub)]]&gt;$S$7,Копия_20206[[#This Row],[Value (in 1000 rub)]]&lt;$S$6),"outlier","not outlier")</f>
        <v>not outlier</v>
      </c>
      <c r="L1167" s="4" t="str">
        <f>IF(OR(Копия_20206[[#This Row],[Volume (in 1000 kg)]]&gt;$T$7,Копия_20206[[#This Row],[Volume (in 1000 kg)]]&lt;$T$6),"outlier","not outlier")</f>
        <v>not outlier</v>
      </c>
      <c r="M1167" s="4" t="str">
        <f>IF(OR(Копия_20206[[#This Row],[Number of stores]]&gt;$U$7,Копия_20206[[#This Row],[Number of stores]]&lt;$U$6),"outlier","not outlier")</f>
        <v>not outlier</v>
      </c>
    </row>
    <row r="1168" spans="1:13" x14ac:dyDescent="0.25">
      <c r="A1168">
        <v>2021</v>
      </c>
      <c r="B1168">
        <v>2</v>
      </c>
      <c r="C1168" s="1" t="s">
        <v>8</v>
      </c>
      <c r="D1168" s="1" t="s">
        <v>19</v>
      </c>
      <c r="E1168" s="1" t="s">
        <v>11</v>
      </c>
      <c r="F1168" s="4">
        <v>0.99070000000000003</v>
      </c>
      <c r="G1168" s="4">
        <v>147.66493800000001</v>
      </c>
      <c r="H1168" s="4">
        <v>0.36659999999999998</v>
      </c>
      <c r="I1168">
        <v>77</v>
      </c>
      <c r="J1168" s="4" t="str">
        <f>IF(OR(Копия_20206[[#This Row],[Units (in 1000)]]&gt;$R$7,Копия_20206[[#This Row],[Units (in 1000)]]&lt;$R$6),"outlier","not outlier")</f>
        <v>not outlier</v>
      </c>
      <c r="K1168" s="4" t="str">
        <f>IF(OR(Копия_20206[[#This Row],[Value (in 1000 rub)]]&gt;$S$7,Копия_20206[[#This Row],[Value (in 1000 rub)]]&lt;$S$6),"outlier","not outlier")</f>
        <v>not outlier</v>
      </c>
      <c r="L1168" s="4" t="str">
        <f>IF(OR(Копия_20206[[#This Row],[Volume (in 1000 kg)]]&gt;$T$7,Копия_20206[[#This Row],[Volume (in 1000 kg)]]&lt;$T$6),"outlier","not outlier")</f>
        <v>not outlier</v>
      </c>
      <c r="M1168" s="4" t="str">
        <f>IF(OR(Копия_20206[[#This Row],[Number of stores]]&gt;$U$7,Копия_20206[[#This Row],[Number of stores]]&lt;$U$6),"outlier","not outlier")</f>
        <v>not outlier</v>
      </c>
    </row>
    <row r="1169" spans="1:13" x14ac:dyDescent="0.25">
      <c r="A1169">
        <v>2021</v>
      </c>
      <c r="B1169">
        <v>2</v>
      </c>
      <c r="C1169" s="1" t="s">
        <v>25</v>
      </c>
      <c r="D1169" s="1" t="s">
        <v>19</v>
      </c>
      <c r="E1169" s="1" t="s">
        <v>11</v>
      </c>
      <c r="F1169" s="4">
        <v>0.5252</v>
      </c>
      <c r="G1169" s="4">
        <v>82.262953999999993</v>
      </c>
      <c r="H1169" s="4">
        <v>0.1943</v>
      </c>
      <c r="I1169">
        <v>279</v>
      </c>
      <c r="J1169" s="4" t="str">
        <f>IF(OR(Копия_20206[[#This Row],[Units (in 1000)]]&gt;$R$7,Копия_20206[[#This Row],[Units (in 1000)]]&lt;$R$6),"outlier","not outlier")</f>
        <v>not outlier</v>
      </c>
      <c r="K1169" s="4" t="str">
        <f>IF(OR(Копия_20206[[#This Row],[Value (in 1000 rub)]]&gt;$S$7,Копия_20206[[#This Row],[Value (in 1000 rub)]]&lt;$S$6),"outlier","not outlier")</f>
        <v>not outlier</v>
      </c>
      <c r="L1169" s="4" t="str">
        <f>IF(OR(Копия_20206[[#This Row],[Volume (in 1000 kg)]]&gt;$T$7,Копия_20206[[#This Row],[Volume (in 1000 kg)]]&lt;$T$6),"outlier","not outlier")</f>
        <v>not outlier</v>
      </c>
      <c r="M1169" s="4" t="str">
        <f>IF(OR(Копия_20206[[#This Row],[Number of stores]]&gt;$U$7,Копия_20206[[#This Row],[Number of stores]]&lt;$U$6),"outlier","not outlier")</f>
        <v>not outlier</v>
      </c>
    </row>
    <row r="1170" spans="1:13" x14ac:dyDescent="0.25">
      <c r="A1170">
        <v>2021</v>
      </c>
      <c r="B1170">
        <v>2</v>
      </c>
      <c r="C1170" s="1" t="s">
        <v>29</v>
      </c>
      <c r="D1170" s="1" t="s">
        <v>19</v>
      </c>
      <c r="E1170" s="1" t="s">
        <v>11</v>
      </c>
      <c r="F1170" s="4">
        <v>1.403</v>
      </c>
      <c r="G1170" s="4">
        <v>229.58150900000001</v>
      </c>
      <c r="H1170" s="4">
        <v>0.51900000000000002</v>
      </c>
      <c r="I1170">
        <v>266</v>
      </c>
      <c r="J1170" s="4" t="str">
        <f>IF(OR(Копия_20206[[#This Row],[Units (in 1000)]]&gt;$R$7,Копия_20206[[#This Row],[Units (in 1000)]]&lt;$R$6),"outlier","not outlier")</f>
        <v>not outlier</v>
      </c>
      <c r="K1170" s="4" t="str">
        <f>IF(OR(Копия_20206[[#This Row],[Value (in 1000 rub)]]&gt;$S$7,Копия_20206[[#This Row],[Value (in 1000 rub)]]&lt;$S$6),"outlier","not outlier")</f>
        <v>not outlier</v>
      </c>
      <c r="L1170" s="4" t="str">
        <f>IF(OR(Копия_20206[[#This Row],[Volume (in 1000 kg)]]&gt;$T$7,Копия_20206[[#This Row],[Volume (in 1000 kg)]]&lt;$T$6),"outlier","not outlier")</f>
        <v>not outlier</v>
      </c>
      <c r="M1170" s="4" t="str">
        <f>IF(OR(Копия_20206[[#This Row],[Number of stores]]&gt;$U$7,Копия_20206[[#This Row],[Number of stores]]&lt;$U$6),"outlier","not outlier")</f>
        <v>not outlier</v>
      </c>
    </row>
    <row r="1171" spans="1:13" x14ac:dyDescent="0.25">
      <c r="A1171">
        <v>2021</v>
      </c>
      <c r="B1171">
        <v>3</v>
      </c>
      <c r="C1171" s="1" t="s">
        <v>8</v>
      </c>
      <c r="D1171" s="1" t="s">
        <v>19</v>
      </c>
      <c r="E1171" s="1" t="s">
        <v>11</v>
      </c>
      <c r="F1171" s="4">
        <v>0.78520000000000001</v>
      </c>
      <c r="G1171" s="4">
        <v>112.194176</v>
      </c>
      <c r="H1171" s="4">
        <v>0.29049999999999998</v>
      </c>
      <c r="I1171">
        <v>73</v>
      </c>
      <c r="J1171" s="4" t="str">
        <f>IF(OR(Копия_20206[[#This Row],[Units (in 1000)]]&gt;$R$7,Копия_20206[[#This Row],[Units (in 1000)]]&lt;$R$6),"outlier","not outlier")</f>
        <v>not outlier</v>
      </c>
      <c r="K1171" s="4" t="str">
        <f>IF(OR(Копия_20206[[#This Row],[Value (in 1000 rub)]]&gt;$S$7,Копия_20206[[#This Row],[Value (in 1000 rub)]]&lt;$S$6),"outlier","not outlier")</f>
        <v>not outlier</v>
      </c>
      <c r="L1171" s="4" t="str">
        <f>IF(OR(Копия_20206[[#This Row],[Volume (in 1000 kg)]]&gt;$T$7,Копия_20206[[#This Row],[Volume (in 1000 kg)]]&lt;$T$6),"outlier","not outlier")</f>
        <v>not outlier</v>
      </c>
      <c r="M1171" s="4" t="str">
        <f>IF(OR(Копия_20206[[#This Row],[Number of stores]]&gt;$U$7,Копия_20206[[#This Row],[Number of stores]]&lt;$U$6),"outlier","not outlier")</f>
        <v>not outlier</v>
      </c>
    </row>
    <row r="1172" spans="1:13" x14ac:dyDescent="0.25">
      <c r="A1172">
        <v>2021</v>
      </c>
      <c r="B1172">
        <v>3</v>
      </c>
      <c r="C1172" s="1" t="s">
        <v>25</v>
      </c>
      <c r="D1172" s="1" t="s">
        <v>19</v>
      </c>
      <c r="E1172" s="1" t="s">
        <v>11</v>
      </c>
      <c r="F1172" s="4">
        <v>1.2914000000000001</v>
      </c>
      <c r="G1172" s="4">
        <v>193.42116300000001</v>
      </c>
      <c r="H1172" s="4">
        <v>0.4778</v>
      </c>
      <c r="I1172">
        <v>475</v>
      </c>
      <c r="J1172" s="4" t="str">
        <f>IF(OR(Копия_20206[[#This Row],[Units (in 1000)]]&gt;$R$7,Копия_20206[[#This Row],[Units (in 1000)]]&lt;$R$6),"outlier","not outlier")</f>
        <v>not outlier</v>
      </c>
      <c r="K1172" s="4" t="str">
        <f>IF(OR(Копия_20206[[#This Row],[Value (in 1000 rub)]]&gt;$S$7,Копия_20206[[#This Row],[Value (in 1000 rub)]]&lt;$S$6),"outlier","not outlier")</f>
        <v>not outlier</v>
      </c>
      <c r="L1172" s="4" t="str">
        <f>IF(OR(Копия_20206[[#This Row],[Volume (in 1000 kg)]]&gt;$T$7,Копия_20206[[#This Row],[Volume (in 1000 kg)]]&lt;$T$6),"outlier","not outlier")</f>
        <v>not outlier</v>
      </c>
      <c r="M1172" s="4" t="str">
        <f>IF(OR(Копия_20206[[#This Row],[Number of stores]]&gt;$U$7,Копия_20206[[#This Row],[Number of stores]]&lt;$U$6),"outlier","not outlier")</f>
        <v>not outlier</v>
      </c>
    </row>
    <row r="1173" spans="1:13" x14ac:dyDescent="0.25">
      <c r="A1173">
        <v>2021</v>
      </c>
      <c r="B1173">
        <v>3</v>
      </c>
      <c r="C1173" s="1" t="s">
        <v>29</v>
      </c>
      <c r="D1173" s="1" t="s">
        <v>19</v>
      </c>
      <c r="E1173" s="1" t="s">
        <v>11</v>
      </c>
      <c r="F1173" s="4">
        <v>2.7406000000000001</v>
      </c>
      <c r="G1173" s="4">
        <v>481.704229</v>
      </c>
      <c r="H1173" s="4">
        <v>1.014</v>
      </c>
      <c r="I1173">
        <v>353</v>
      </c>
      <c r="J1173" s="4" t="str">
        <f>IF(OR(Копия_20206[[#This Row],[Units (in 1000)]]&gt;$R$7,Копия_20206[[#This Row],[Units (in 1000)]]&lt;$R$6),"outlier","not outlier")</f>
        <v>not outlier</v>
      </c>
      <c r="K1173" s="4" t="str">
        <f>IF(OR(Копия_20206[[#This Row],[Value (in 1000 rub)]]&gt;$S$7,Копия_20206[[#This Row],[Value (in 1000 rub)]]&lt;$S$6),"outlier","not outlier")</f>
        <v>not outlier</v>
      </c>
      <c r="L1173" s="4" t="str">
        <f>IF(OR(Копия_20206[[#This Row],[Volume (in 1000 kg)]]&gt;$T$7,Копия_20206[[#This Row],[Volume (in 1000 kg)]]&lt;$T$6),"outlier","not outlier")</f>
        <v>not outlier</v>
      </c>
      <c r="M1173" s="4" t="str">
        <f>IF(OR(Копия_20206[[#This Row],[Number of stores]]&gt;$U$7,Копия_20206[[#This Row],[Number of stores]]&lt;$U$6),"outlier","not outlier")</f>
        <v>not outlier</v>
      </c>
    </row>
    <row r="1174" spans="1:13" x14ac:dyDescent="0.25">
      <c r="A1174">
        <v>2021</v>
      </c>
      <c r="B1174">
        <v>4</v>
      </c>
      <c r="C1174" s="1" t="s">
        <v>8</v>
      </c>
      <c r="D1174" s="1" t="s">
        <v>19</v>
      </c>
      <c r="E1174" s="1" t="s">
        <v>11</v>
      </c>
      <c r="F1174" s="4">
        <v>0.65339999999999998</v>
      </c>
      <c r="G1174" s="4">
        <v>91.436464000000001</v>
      </c>
      <c r="H1174" s="4">
        <v>0.24179999999999999</v>
      </c>
      <c r="I1174">
        <v>60</v>
      </c>
      <c r="J1174" s="4" t="str">
        <f>IF(OR(Копия_20206[[#This Row],[Units (in 1000)]]&gt;$R$7,Копия_20206[[#This Row],[Units (in 1000)]]&lt;$R$6),"outlier","not outlier")</f>
        <v>not outlier</v>
      </c>
      <c r="K1174" s="4" t="str">
        <f>IF(OR(Копия_20206[[#This Row],[Value (in 1000 rub)]]&gt;$S$7,Копия_20206[[#This Row],[Value (in 1000 rub)]]&lt;$S$6),"outlier","not outlier")</f>
        <v>not outlier</v>
      </c>
      <c r="L1174" s="4" t="str">
        <f>IF(OR(Копия_20206[[#This Row],[Volume (in 1000 kg)]]&gt;$T$7,Копия_20206[[#This Row],[Volume (in 1000 kg)]]&lt;$T$6),"outlier","not outlier")</f>
        <v>not outlier</v>
      </c>
      <c r="M1174" s="4" t="str">
        <f>IF(OR(Копия_20206[[#This Row],[Number of stores]]&gt;$U$7,Копия_20206[[#This Row],[Number of stores]]&lt;$U$6),"outlier","not outlier")</f>
        <v>not outlier</v>
      </c>
    </row>
    <row r="1175" spans="1:13" x14ac:dyDescent="0.25">
      <c r="A1175">
        <v>2021</v>
      </c>
      <c r="B1175">
        <v>4</v>
      </c>
      <c r="C1175" s="1" t="s">
        <v>25</v>
      </c>
      <c r="D1175" s="1" t="s">
        <v>19</v>
      </c>
      <c r="E1175" s="1" t="s">
        <v>11</v>
      </c>
      <c r="F1175" s="4">
        <v>0.67720000000000002</v>
      </c>
      <c r="G1175" s="4">
        <v>112.223814</v>
      </c>
      <c r="H1175" s="4">
        <v>0.25059999999999999</v>
      </c>
      <c r="I1175">
        <v>223</v>
      </c>
      <c r="J1175" s="4" t="str">
        <f>IF(OR(Копия_20206[[#This Row],[Units (in 1000)]]&gt;$R$7,Копия_20206[[#This Row],[Units (in 1000)]]&lt;$R$6),"outlier","not outlier")</f>
        <v>not outlier</v>
      </c>
      <c r="K1175" s="4" t="str">
        <f>IF(OR(Копия_20206[[#This Row],[Value (in 1000 rub)]]&gt;$S$7,Копия_20206[[#This Row],[Value (in 1000 rub)]]&lt;$S$6),"outlier","not outlier")</f>
        <v>not outlier</v>
      </c>
      <c r="L1175" s="4" t="str">
        <f>IF(OR(Копия_20206[[#This Row],[Volume (in 1000 kg)]]&gt;$T$7,Копия_20206[[#This Row],[Volume (in 1000 kg)]]&lt;$T$6),"outlier","not outlier")</f>
        <v>not outlier</v>
      </c>
      <c r="M1175" s="4" t="str">
        <f>IF(OR(Копия_20206[[#This Row],[Number of stores]]&gt;$U$7,Копия_20206[[#This Row],[Number of stores]]&lt;$U$6),"outlier","not outlier")</f>
        <v>not outlier</v>
      </c>
    </row>
    <row r="1176" spans="1:13" x14ac:dyDescent="0.25">
      <c r="A1176">
        <v>2021</v>
      </c>
      <c r="B1176">
        <v>4</v>
      </c>
      <c r="C1176" s="1" t="s">
        <v>29</v>
      </c>
      <c r="D1176" s="1" t="s">
        <v>19</v>
      </c>
      <c r="E1176" s="1" t="s">
        <v>11</v>
      </c>
      <c r="F1176" s="4">
        <v>1.5242</v>
      </c>
      <c r="G1176" s="4">
        <v>283.17352</v>
      </c>
      <c r="H1176" s="4">
        <v>0.56389999999999996</v>
      </c>
      <c r="I1176">
        <v>201</v>
      </c>
      <c r="J1176" s="4" t="str">
        <f>IF(OR(Копия_20206[[#This Row],[Units (in 1000)]]&gt;$R$7,Копия_20206[[#This Row],[Units (in 1000)]]&lt;$R$6),"outlier","not outlier")</f>
        <v>not outlier</v>
      </c>
      <c r="K1176" s="4" t="str">
        <f>IF(OR(Копия_20206[[#This Row],[Value (in 1000 rub)]]&gt;$S$7,Копия_20206[[#This Row],[Value (in 1000 rub)]]&lt;$S$6),"outlier","not outlier")</f>
        <v>not outlier</v>
      </c>
      <c r="L1176" s="4" t="str">
        <f>IF(OR(Копия_20206[[#This Row],[Volume (in 1000 kg)]]&gt;$T$7,Копия_20206[[#This Row],[Volume (in 1000 kg)]]&lt;$T$6),"outlier","not outlier")</f>
        <v>not outlier</v>
      </c>
      <c r="M1176" s="4" t="str">
        <f>IF(OR(Копия_20206[[#This Row],[Number of stores]]&gt;$U$7,Копия_20206[[#This Row],[Number of stores]]&lt;$U$6),"outlier","not outlier")</f>
        <v>not outlier</v>
      </c>
    </row>
    <row r="1177" spans="1:13" x14ac:dyDescent="0.25">
      <c r="A1177">
        <v>2021</v>
      </c>
      <c r="B1177">
        <v>5</v>
      </c>
      <c r="C1177" s="1" t="s">
        <v>8</v>
      </c>
      <c r="D1177" s="1" t="s">
        <v>19</v>
      </c>
      <c r="E1177" s="1" t="s">
        <v>11</v>
      </c>
      <c r="F1177" s="4">
        <v>0.42920000000000003</v>
      </c>
      <c r="G1177" s="4">
        <v>74.998660000000001</v>
      </c>
      <c r="H1177" s="4">
        <v>0.15870000000000001</v>
      </c>
      <c r="I1177">
        <v>46</v>
      </c>
      <c r="J1177" s="4" t="str">
        <f>IF(OR(Копия_20206[[#This Row],[Units (in 1000)]]&gt;$R$7,Копия_20206[[#This Row],[Units (in 1000)]]&lt;$R$6),"outlier","not outlier")</f>
        <v>not outlier</v>
      </c>
      <c r="K1177" s="4" t="str">
        <f>IF(OR(Копия_20206[[#This Row],[Value (in 1000 rub)]]&gt;$S$7,Копия_20206[[#This Row],[Value (in 1000 rub)]]&lt;$S$6),"outlier","not outlier")</f>
        <v>not outlier</v>
      </c>
      <c r="L1177" s="4" t="str">
        <f>IF(OR(Копия_20206[[#This Row],[Volume (in 1000 kg)]]&gt;$T$7,Копия_20206[[#This Row],[Volume (in 1000 kg)]]&lt;$T$6),"outlier","not outlier")</f>
        <v>not outlier</v>
      </c>
      <c r="M1177" s="4" t="str">
        <f>IF(OR(Копия_20206[[#This Row],[Number of stores]]&gt;$U$7,Копия_20206[[#This Row],[Number of stores]]&lt;$U$6),"outlier","not outlier")</f>
        <v>not outlier</v>
      </c>
    </row>
    <row r="1178" spans="1:13" x14ac:dyDescent="0.25">
      <c r="A1178">
        <v>2021</v>
      </c>
      <c r="B1178">
        <v>5</v>
      </c>
      <c r="C1178" s="1" t="s">
        <v>25</v>
      </c>
      <c r="D1178" s="1" t="s">
        <v>19</v>
      </c>
      <c r="E1178" s="1" t="s">
        <v>11</v>
      </c>
      <c r="F1178" s="4">
        <v>0.67059999999999997</v>
      </c>
      <c r="G1178" s="4">
        <v>111.212183</v>
      </c>
      <c r="H1178" s="4">
        <v>0.24809999999999999</v>
      </c>
      <c r="I1178">
        <v>270</v>
      </c>
      <c r="J1178" s="4" t="str">
        <f>IF(OR(Копия_20206[[#This Row],[Units (in 1000)]]&gt;$R$7,Копия_20206[[#This Row],[Units (in 1000)]]&lt;$R$6),"outlier","not outlier")</f>
        <v>not outlier</v>
      </c>
      <c r="K1178" s="4" t="str">
        <f>IF(OR(Копия_20206[[#This Row],[Value (in 1000 rub)]]&gt;$S$7,Копия_20206[[#This Row],[Value (in 1000 rub)]]&lt;$S$6),"outlier","not outlier")</f>
        <v>not outlier</v>
      </c>
      <c r="L1178" s="4" t="str">
        <f>IF(OR(Копия_20206[[#This Row],[Volume (in 1000 kg)]]&gt;$T$7,Копия_20206[[#This Row],[Volume (in 1000 kg)]]&lt;$T$6),"outlier","not outlier")</f>
        <v>not outlier</v>
      </c>
      <c r="M1178" s="4" t="str">
        <f>IF(OR(Копия_20206[[#This Row],[Number of stores]]&gt;$U$7,Копия_20206[[#This Row],[Number of stores]]&lt;$U$6),"outlier","not outlier")</f>
        <v>not outlier</v>
      </c>
    </row>
    <row r="1179" spans="1:13" x14ac:dyDescent="0.25">
      <c r="A1179">
        <v>2021</v>
      </c>
      <c r="B1179">
        <v>5</v>
      </c>
      <c r="C1179" s="1" t="s">
        <v>29</v>
      </c>
      <c r="D1179" s="1" t="s">
        <v>19</v>
      </c>
      <c r="E1179" s="1" t="s">
        <v>11</v>
      </c>
      <c r="F1179" s="4">
        <v>1.6667000000000001</v>
      </c>
      <c r="G1179" s="4">
        <v>316.39511399999998</v>
      </c>
      <c r="H1179" s="4">
        <v>0.61660000000000004</v>
      </c>
      <c r="I1179">
        <v>287</v>
      </c>
      <c r="J1179" s="4" t="str">
        <f>IF(OR(Копия_20206[[#This Row],[Units (in 1000)]]&gt;$R$7,Копия_20206[[#This Row],[Units (in 1000)]]&lt;$R$6),"outlier","not outlier")</f>
        <v>not outlier</v>
      </c>
      <c r="K1179" s="4" t="str">
        <f>IF(OR(Копия_20206[[#This Row],[Value (in 1000 rub)]]&gt;$S$7,Копия_20206[[#This Row],[Value (in 1000 rub)]]&lt;$S$6),"outlier","not outlier")</f>
        <v>not outlier</v>
      </c>
      <c r="L1179" s="4" t="str">
        <f>IF(OR(Копия_20206[[#This Row],[Volume (in 1000 kg)]]&gt;$T$7,Копия_20206[[#This Row],[Volume (in 1000 kg)]]&lt;$T$6),"outlier","not outlier")</f>
        <v>not outlier</v>
      </c>
      <c r="M1179" s="4" t="str">
        <f>IF(OR(Копия_20206[[#This Row],[Number of stores]]&gt;$U$7,Копия_20206[[#This Row],[Number of stores]]&lt;$U$6),"outlier","not outlier")</f>
        <v>not outlier</v>
      </c>
    </row>
    <row r="1180" spans="1:13" x14ac:dyDescent="0.25">
      <c r="A1180">
        <v>2021</v>
      </c>
      <c r="B1180">
        <v>6</v>
      </c>
      <c r="C1180" s="1" t="s">
        <v>8</v>
      </c>
      <c r="D1180" s="1" t="s">
        <v>19</v>
      </c>
      <c r="E1180" s="1" t="s">
        <v>11</v>
      </c>
      <c r="F1180" s="4">
        <v>0.5625</v>
      </c>
      <c r="G1180" s="4">
        <v>97.748138999999995</v>
      </c>
      <c r="H1180" s="4">
        <v>0.20810000000000001</v>
      </c>
      <c r="I1180">
        <v>0</v>
      </c>
      <c r="J1180" s="4" t="str">
        <f>IF(OR(Копия_20206[[#This Row],[Units (in 1000)]]&gt;$R$7,Копия_20206[[#This Row],[Units (in 1000)]]&lt;$R$6),"outlier","not outlier")</f>
        <v>not outlier</v>
      </c>
      <c r="K1180" s="4" t="str">
        <f>IF(OR(Копия_20206[[#This Row],[Value (in 1000 rub)]]&gt;$S$7,Копия_20206[[#This Row],[Value (in 1000 rub)]]&lt;$S$6),"outlier","not outlier")</f>
        <v>not outlier</v>
      </c>
      <c r="L1180" s="4" t="str">
        <f>IF(OR(Копия_20206[[#This Row],[Volume (in 1000 kg)]]&gt;$T$7,Копия_20206[[#This Row],[Volume (in 1000 kg)]]&lt;$T$6),"outlier","not outlier")</f>
        <v>not outlier</v>
      </c>
      <c r="M1180" s="4" t="str">
        <f>IF(OR(Копия_20206[[#This Row],[Number of stores]]&gt;$U$7,Копия_20206[[#This Row],[Number of stores]]&lt;$U$6),"outlier","not outlier")</f>
        <v>not outlier</v>
      </c>
    </row>
    <row r="1181" spans="1:13" x14ac:dyDescent="0.25">
      <c r="A1181">
        <v>2021</v>
      </c>
      <c r="B1181">
        <v>6</v>
      </c>
      <c r="C1181" s="1" t="s">
        <v>25</v>
      </c>
      <c r="D1181" s="1" t="s">
        <v>19</v>
      </c>
      <c r="E1181" s="1" t="s">
        <v>11</v>
      </c>
      <c r="F1181" s="4">
        <v>0.57640000000000002</v>
      </c>
      <c r="G1181" s="4">
        <v>94.428791000000004</v>
      </c>
      <c r="H1181" s="4">
        <v>0.21329999999999999</v>
      </c>
      <c r="I1181">
        <v>265</v>
      </c>
      <c r="J1181" s="4" t="str">
        <f>IF(OR(Копия_20206[[#This Row],[Units (in 1000)]]&gt;$R$7,Копия_20206[[#This Row],[Units (in 1000)]]&lt;$R$6),"outlier","not outlier")</f>
        <v>not outlier</v>
      </c>
      <c r="K1181" s="4" t="str">
        <f>IF(OR(Копия_20206[[#This Row],[Value (in 1000 rub)]]&gt;$S$7,Копия_20206[[#This Row],[Value (in 1000 rub)]]&lt;$S$6),"outlier","not outlier")</f>
        <v>not outlier</v>
      </c>
      <c r="L1181" s="4" t="str">
        <f>IF(OR(Копия_20206[[#This Row],[Volume (in 1000 kg)]]&gt;$T$7,Копия_20206[[#This Row],[Volume (in 1000 kg)]]&lt;$T$6),"outlier","not outlier")</f>
        <v>not outlier</v>
      </c>
      <c r="M1181" s="4" t="str">
        <f>IF(OR(Копия_20206[[#This Row],[Number of stores]]&gt;$U$7,Копия_20206[[#This Row],[Number of stores]]&lt;$U$6),"outlier","not outlier")</f>
        <v>not outlier</v>
      </c>
    </row>
    <row r="1182" spans="1:13" x14ac:dyDescent="0.25">
      <c r="A1182">
        <v>2021</v>
      </c>
      <c r="B1182">
        <v>6</v>
      </c>
      <c r="C1182" s="1" t="s">
        <v>29</v>
      </c>
      <c r="D1182" s="1" t="s">
        <v>19</v>
      </c>
      <c r="E1182" s="1" t="s">
        <v>11</v>
      </c>
      <c r="F1182" s="4">
        <v>1.6137999999999999</v>
      </c>
      <c r="G1182" s="4">
        <v>318.983902</v>
      </c>
      <c r="H1182" s="4">
        <v>0.59709999999999996</v>
      </c>
      <c r="I1182">
        <v>176</v>
      </c>
      <c r="J1182" s="4" t="str">
        <f>IF(OR(Копия_20206[[#This Row],[Units (in 1000)]]&gt;$R$7,Копия_20206[[#This Row],[Units (in 1000)]]&lt;$R$6),"outlier","not outlier")</f>
        <v>not outlier</v>
      </c>
      <c r="K1182" s="4" t="str">
        <f>IF(OR(Копия_20206[[#This Row],[Value (in 1000 rub)]]&gt;$S$7,Копия_20206[[#This Row],[Value (in 1000 rub)]]&lt;$S$6),"outlier","not outlier")</f>
        <v>not outlier</v>
      </c>
      <c r="L1182" s="4" t="str">
        <f>IF(OR(Копия_20206[[#This Row],[Volume (in 1000 kg)]]&gt;$T$7,Копия_20206[[#This Row],[Volume (in 1000 kg)]]&lt;$T$6),"outlier","not outlier")</f>
        <v>not outlier</v>
      </c>
      <c r="M1182" s="4" t="str">
        <f>IF(OR(Копия_20206[[#This Row],[Number of stores]]&gt;$U$7,Копия_20206[[#This Row],[Number of stores]]&lt;$U$6),"outlier","not outlier")</f>
        <v>not outlier</v>
      </c>
    </row>
    <row r="1183" spans="1:13" x14ac:dyDescent="0.25">
      <c r="A1183">
        <v>2021</v>
      </c>
      <c r="B1183">
        <v>7</v>
      </c>
      <c r="C1183" s="1" t="s">
        <v>8</v>
      </c>
      <c r="D1183" s="1" t="s">
        <v>19</v>
      </c>
      <c r="E1183" s="1" t="s">
        <v>11</v>
      </c>
      <c r="F1183" s="4">
        <v>0.72399999999999998</v>
      </c>
      <c r="G1183" s="4">
        <v>94.276286999999996</v>
      </c>
      <c r="H1183" s="4">
        <v>0.26790000000000003</v>
      </c>
      <c r="I1183">
        <v>0</v>
      </c>
      <c r="J1183" s="4" t="str">
        <f>IF(OR(Копия_20206[[#This Row],[Units (in 1000)]]&gt;$R$7,Копия_20206[[#This Row],[Units (in 1000)]]&lt;$R$6),"outlier","not outlier")</f>
        <v>not outlier</v>
      </c>
      <c r="K1183" s="4" t="str">
        <f>IF(OR(Копия_20206[[#This Row],[Value (in 1000 rub)]]&gt;$S$7,Копия_20206[[#This Row],[Value (in 1000 rub)]]&lt;$S$6),"outlier","not outlier")</f>
        <v>not outlier</v>
      </c>
      <c r="L1183" s="4" t="str">
        <f>IF(OR(Копия_20206[[#This Row],[Volume (in 1000 kg)]]&gt;$T$7,Копия_20206[[#This Row],[Volume (in 1000 kg)]]&lt;$T$6),"outlier","not outlier")</f>
        <v>not outlier</v>
      </c>
      <c r="M1183" s="4" t="str">
        <f>IF(OR(Копия_20206[[#This Row],[Number of stores]]&gt;$U$7,Копия_20206[[#This Row],[Number of stores]]&lt;$U$6),"outlier","not outlier")</f>
        <v>not outlier</v>
      </c>
    </row>
    <row r="1184" spans="1:13" x14ac:dyDescent="0.25">
      <c r="A1184">
        <v>2021</v>
      </c>
      <c r="B1184">
        <v>7</v>
      </c>
      <c r="C1184" s="1" t="s">
        <v>25</v>
      </c>
      <c r="D1184" s="1" t="s">
        <v>19</v>
      </c>
      <c r="E1184" s="1" t="s">
        <v>11</v>
      </c>
      <c r="F1184" s="4">
        <v>0.7097</v>
      </c>
      <c r="G1184" s="4">
        <v>124.258366</v>
      </c>
      <c r="H1184" s="4">
        <v>0.2626</v>
      </c>
      <c r="I1184">
        <v>210</v>
      </c>
      <c r="J1184" s="4" t="str">
        <f>IF(OR(Копия_20206[[#This Row],[Units (in 1000)]]&gt;$R$7,Копия_20206[[#This Row],[Units (in 1000)]]&lt;$R$6),"outlier","not outlier")</f>
        <v>not outlier</v>
      </c>
      <c r="K1184" s="4" t="str">
        <f>IF(OR(Копия_20206[[#This Row],[Value (in 1000 rub)]]&gt;$S$7,Копия_20206[[#This Row],[Value (in 1000 rub)]]&lt;$S$6),"outlier","not outlier")</f>
        <v>not outlier</v>
      </c>
      <c r="L1184" s="4" t="str">
        <f>IF(OR(Копия_20206[[#This Row],[Volume (in 1000 kg)]]&gt;$T$7,Копия_20206[[#This Row],[Volume (in 1000 kg)]]&lt;$T$6),"outlier","not outlier")</f>
        <v>not outlier</v>
      </c>
      <c r="M1184" s="4" t="str">
        <f>IF(OR(Копия_20206[[#This Row],[Number of stores]]&gt;$U$7,Копия_20206[[#This Row],[Number of stores]]&lt;$U$6),"outlier","not outlier")</f>
        <v>not outlier</v>
      </c>
    </row>
    <row r="1185" spans="1:13" x14ac:dyDescent="0.25">
      <c r="A1185">
        <v>2021</v>
      </c>
      <c r="B1185">
        <v>7</v>
      </c>
      <c r="C1185" s="1" t="s">
        <v>29</v>
      </c>
      <c r="D1185" s="1" t="s">
        <v>19</v>
      </c>
      <c r="E1185" s="1" t="s">
        <v>11</v>
      </c>
      <c r="F1185" s="4">
        <v>1.1897</v>
      </c>
      <c r="G1185" s="4">
        <v>225.06434100000001</v>
      </c>
      <c r="H1185" s="4">
        <v>0.44019999999999998</v>
      </c>
      <c r="I1185">
        <v>0</v>
      </c>
      <c r="J1185" s="4" t="str">
        <f>IF(OR(Копия_20206[[#This Row],[Units (in 1000)]]&gt;$R$7,Копия_20206[[#This Row],[Units (in 1000)]]&lt;$R$6),"outlier","not outlier")</f>
        <v>not outlier</v>
      </c>
      <c r="K1185" s="4" t="str">
        <f>IF(OR(Копия_20206[[#This Row],[Value (in 1000 rub)]]&gt;$S$7,Копия_20206[[#This Row],[Value (in 1000 rub)]]&lt;$S$6),"outlier","not outlier")</f>
        <v>not outlier</v>
      </c>
      <c r="L1185" s="4" t="str">
        <f>IF(OR(Копия_20206[[#This Row],[Volume (in 1000 kg)]]&gt;$T$7,Копия_20206[[#This Row],[Volume (in 1000 kg)]]&lt;$T$6),"outlier","not outlier")</f>
        <v>not outlier</v>
      </c>
      <c r="M1185" s="4" t="str">
        <f>IF(OR(Копия_20206[[#This Row],[Number of stores]]&gt;$U$7,Копия_20206[[#This Row],[Number of stores]]&lt;$U$6),"outlier","not outlier")</f>
        <v>not outlier</v>
      </c>
    </row>
    <row r="1186" spans="1:13" x14ac:dyDescent="0.25">
      <c r="A1186">
        <v>2021</v>
      </c>
      <c r="B1186">
        <v>8</v>
      </c>
      <c r="C1186" s="1" t="s">
        <v>8</v>
      </c>
      <c r="D1186" s="1" t="s">
        <v>19</v>
      </c>
      <c r="E1186" s="1" t="s">
        <v>11</v>
      </c>
      <c r="F1186" s="4">
        <v>0.31929999999999997</v>
      </c>
      <c r="G1186" s="4">
        <v>48.341631999999997</v>
      </c>
      <c r="H1186" s="4">
        <v>0.1182</v>
      </c>
      <c r="I1186">
        <v>33</v>
      </c>
      <c r="J1186" s="4" t="str">
        <f>IF(OR(Копия_20206[[#This Row],[Units (in 1000)]]&gt;$R$7,Копия_20206[[#This Row],[Units (in 1000)]]&lt;$R$6),"outlier","not outlier")</f>
        <v>not outlier</v>
      </c>
      <c r="K1186" s="4" t="str">
        <f>IF(OR(Копия_20206[[#This Row],[Value (in 1000 rub)]]&gt;$S$7,Копия_20206[[#This Row],[Value (in 1000 rub)]]&lt;$S$6),"outlier","not outlier")</f>
        <v>not outlier</v>
      </c>
      <c r="L1186" s="4" t="str">
        <f>IF(OR(Копия_20206[[#This Row],[Volume (in 1000 kg)]]&gt;$T$7,Копия_20206[[#This Row],[Volume (in 1000 kg)]]&lt;$T$6),"outlier","not outlier")</f>
        <v>not outlier</v>
      </c>
      <c r="M1186" s="4" t="str">
        <f>IF(OR(Копия_20206[[#This Row],[Number of stores]]&gt;$U$7,Копия_20206[[#This Row],[Number of stores]]&lt;$U$6),"outlier","not outlier")</f>
        <v>not outlier</v>
      </c>
    </row>
    <row r="1187" spans="1:13" x14ac:dyDescent="0.25">
      <c r="A1187">
        <v>2021</v>
      </c>
      <c r="B1187">
        <v>8</v>
      </c>
      <c r="C1187" s="1" t="s">
        <v>29</v>
      </c>
      <c r="D1187" s="1" t="s">
        <v>19</v>
      </c>
      <c r="E1187" s="1" t="s">
        <v>11</v>
      </c>
      <c r="F1187" s="4">
        <v>1.3411999999999999</v>
      </c>
      <c r="G1187" s="4">
        <v>264.76622600000002</v>
      </c>
      <c r="H1187" s="4">
        <v>0.49619999999999997</v>
      </c>
      <c r="I1187">
        <v>0</v>
      </c>
      <c r="J1187" s="4" t="str">
        <f>IF(OR(Копия_20206[[#This Row],[Units (in 1000)]]&gt;$R$7,Копия_20206[[#This Row],[Units (in 1000)]]&lt;$R$6),"outlier","not outlier")</f>
        <v>not outlier</v>
      </c>
      <c r="K1187" s="4" t="str">
        <f>IF(OR(Копия_20206[[#This Row],[Value (in 1000 rub)]]&gt;$S$7,Копия_20206[[#This Row],[Value (in 1000 rub)]]&lt;$S$6),"outlier","not outlier")</f>
        <v>not outlier</v>
      </c>
      <c r="L1187" s="4" t="str">
        <f>IF(OR(Копия_20206[[#This Row],[Volume (in 1000 kg)]]&gt;$T$7,Копия_20206[[#This Row],[Volume (in 1000 kg)]]&lt;$T$6),"outlier","not outlier")</f>
        <v>not outlier</v>
      </c>
      <c r="M1187" s="4" t="str">
        <f>IF(OR(Копия_20206[[#This Row],[Number of stores]]&gt;$U$7,Копия_20206[[#This Row],[Number of stores]]&lt;$U$6),"outlier","not outlier")</f>
        <v>not outlier</v>
      </c>
    </row>
    <row r="1188" spans="1:13" x14ac:dyDescent="0.25">
      <c r="A1188">
        <v>2021</v>
      </c>
      <c r="B1188">
        <v>9</v>
      </c>
      <c r="C1188" s="1" t="s">
        <v>8</v>
      </c>
      <c r="D1188" s="1" t="s">
        <v>19</v>
      </c>
      <c r="E1188" s="1" t="s">
        <v>11</v>
      </c>
      <c r="F1188" s="4">
        <v>0.28839999999999999</v>
      </c>
      <c r="G1188" s="4">
        <v>45.792495000000002</v>
      </c>
      <c r="H1188" s="4">
        <v>0.1067</v>
      </c>
      <c r="I1188">
        <v>36</v>
      </c>
      <c r="J1188" s="4" t="str">
        <f>IF(OR(Копия_20206[[#This Row],[Units (in 1000)]]&gt;$R$7,Копия_20206[[#This Row],[Units (in 1000)]]&lt;$R$6),"outlier","not outlier")</f>
        <v>not outlier</v>
      </c>
      <c r="K1188" s="4" t="str">
        <f>IF(OR(Копия_20206[[#This Row],[Value (in 1000 rub)]]&gt;$S$7,Копия_20206[[#This Row],[Value (in 1000 rub)]]&lt;$S$6),"outlier","not outlier")</f>
        <v>not outlier</v>
      </c>
      <c r="L1188" s="4" t="str">
        <f>IF(OR(Копия_20206[[#This Row],[Volume (in 1000 kg)]]&gt;$T$7,Копия_20206[[#This Row],[Volume (in 1000 kg)]]&lt;$T$6),"outlier","not outlier")</f>
        <v>not outlier</v>
      </c>
      <c r="M1188" s="4" t="str">
        <f>IF(OR(Копия_20206[[#This Row],[Number of stores]]&gt;$U$7,Копия_20206[[#This Row],[Number of stores]]&lt;$U$6),"outlier","not outlier")</f>
        <v>not outlier</v>
      </c>
    </row>
    <row r="1189" spans="1:13" x14ac:dyDescent="0.25">
      <c r="A1189">
        <v>2021</v>
      </c>
      <c r="B1189">
        <v>9</v>
      </c>
      <c r="C1189" s="1" t="s">
        <v>29</v>
      </c>
      <c r="D1189" s="1" t="s">
        <v>19</v>
      </c>
      <c r="E1189" s="1" t="s">
        <v>11</v>
      </c>
      <c r="F1189" s="4">
        <v>1.9244000000000001</v>
      </c>
      <c r="G1189" s="4">
        <v>381.29071900000002</v>
      </c>
      <c r="H1189" s="4">
        <v>0.71199999999999997</v>
      </c>
      <c r="I1189">
        <v>0</v>
      </c>
      <c r="J1189" s="4" t="str">
        <f>IF(OR(Копия_20206[[#This Row],[Units (in 1000)]]&gt;$R$7,Копия_20206[[#This Row],[Units (in 1000)]]&lt;$R$6),"outlier","not outlier")</f>
        <v>not outlier</v>
      </c>
      <c r="K1189" s="4" t="str">
        <f>IF(OR(Копия_20206[[#This Row],[Value (in 1000 rub)]]&gt;$S$7,Копия_20206[[#This Row],[Value (in 1000 rub)]]&lt;$S$6),"outlier","not outlier")</f>
        <v>not outlier</v>
      </c>
      <c r="L1189" s="4" t="str">
        <f>IF(OR(Копия_20206[[#This Row],[Volume (in 1000 kg)]]&gt;$T$7,Копия_20206[[#This Row],[Volume (in 1000 kg)]]&lt;$T$6),"outlier","not outlier")</f>
        <v>not outlier</v>
      </c>
      <c r="M1189" s="4" t="str">
        <f>IF(OR(Копия_20206[[#This Row],[Number of stores]]&gt;$U$7,Копия_20206[[#This Row],[Number of stores]]&lt;$U$6),"outlier","not outlier")</f>
        <v>not outlier</v>
      </c>
    </row>
    <row r="1190" spans="1:13" x14ac:dyDescent="0.25">
      <c r="A1190">
        <v>2021</v>
      </c>
      <c r="B1190">
        <v>10</v>
      </c>
      <c r="C1190" s="1" t="s">
        <v>8</v>
      </c>
      <c r="D1190" s="1" t="s">
        <v>19</v>
      </c>
      <c r="E1190" s="1" t="s">
        <v>11</v>
      </c>
      <c r="F1190" s="4">
        <v>0.25650000000000001</v>
      </c>
      <c r="G1190" s="4">
        <v>46.124091999999997</v>
      </c>
      <c r="H1190" s="4">
        <v>9.4899999999999998E-2</v>
      </c>
      <c r="I1190">
        <v>36</v>
      </c>
      <c r="J1190" s="4" t="str">
        <f>IF(OR(Копия_20206[[#This Row],[Units (in 1000)]]&gt;$R$7,Копия_20206[[#This Row],[Units (in 1000)]]&lt;$R$6),"outlier","not outlier")</f>
        <v>not outlier</v>
      </c>
      <c r="K1190" s="4" t="str">
        <f>IF(OR(Копия_20206[[#This Row],[Value (in 1000 rub)]]&gt;$S$7,Копия_20206[[#This Row],[Value (in 1000 rub)]]&lt;$S$6),"outlier","not outlier")</f>
        <v>not outlier</v>
      </c>
      <c r="L1190" s="4" t="str">
        <f>IF(OR(Копия_20206[[#This Row],[Volume (in 1000 kg)]]&gt;$T$7,Копия_20206[[#This Row],[Volume (in 1000 kg)]]&lt;$T$6),"outlier","not outlier")</f>
        <v>not outlier</v>
      </c>
      <c r="M1190" s="4" t="str">
        <f>IF(OR(Копия_20206[[#This Row],[Number of stores]]&gt;$U$7,Копия_20206[[#This Row],[Number of stores]]&lt;$U$6),"outlier","not outlier")</f>
        <v>not outlier</v>
      </c>
    </row>
    <row r="1191" spans="1:13" x14ac:dyDescent="0.25">
      <c r="A1191">
        <v>2021</v>
      </c>
      <c r="B1191">
        <v>10</v>
      </c>
      <c r="C1191" s="1" t="s">
        <v>29</v>
      </c>
      <c r="D1191" s="1" t="s">
        <v>19</v>
      </c>
      <c r="E1191" s="1" t="s">
        <v>11</v>
      </c>
      <c r="F1191" s="4">
        <v>2.1044</v>
      </c>
      <c r="G1191" s="4">
        <v>449.28334699999999</v>
      </c>
      <c r="H1191" s="4">
        <v>0.77859999999999996</v>
      </c>
      <c r="I1191">
        <v>0</v>
      </c>
      <c r="J1191" s="4" t="str">
        <f>IF(OR(Копия_20206[[#This Row],[Units (in 1000)]]&gt;$R$7,Копия_20206[[#This Row],[Units (in 1000)]]&lt;$R$6),"outlier","not outlier")</f>
        <v>not outlier</v>
      </c>
      <c r="K1191" s="4" t="str">
        <f>IF(OR(Копия_20206[[#This Row],[Value (in 1000 rub)]]&gt;$S$7,Копия_20206[[#This Row],[Value (in 1000 rub)]]&lt;$S$6),"outlier","not outlier")</f>
        <v>not outlier</v>
      </c>
      <c r="L1191" s="4" t="str">
        <f>IF(OR(Копия_20206[[#This Row],[Volume (in 1000 kg)]]&gt;$T$7,Копия_20206[[#This Row],[Volume (in 1000 kg)]]&lt;$T$6),"outlier","not outlier")</f>
        <v>not outlier</v>
      </c>
      <c r="M1191" s="4" t="str">
        <f>IF(OR(Копия_20206[[#This Row],[Number of stores]]&gt;$U$7,Копия_20206[[#This Row],[Number of stores]]&lt;$U$6),"outlier","not outlier")</f>
        <v>not outlier</v>
      </c>
    </row>
    <row r="1192" spans="1:13" x14ac:dyDescent="0.25">
      <c r="A1192">
        <v>2021</v>
      </c>
      <c r="B1192">
        <v>11</v>
      </c>
      <c r="C1192" s="1" t="s">
        <v>8</v>
      </c>
      <c r="D1192" s="1" t="s">
        <v>19</v>
      </c>
      <c r="E1192" s="1" t="s">
        <v>11</v>
      </c>
      <c r="F1192" s="4">
        <v>0.37459999999999999</v>
      </c>
      <c r="G1192" s="4">
        <v>70.102818999999997</v>
      </c>
      <c r="H1192" s="4">
        <v>0.1386</v>
      </c>
      <c r="I1192">
        <v>33</v>
      </c>
      <c r="J1192" s="4" t="str">
        <f>IF(OR(Копия_20206[[#This Row],[Units (in 1000)]]&gt;$R$7,Копия_20206[[#This Row],[Units (in 1000)]]&lt;$R$6),"outlier","not outlier")</f>
        <v>not outlier</v>
      </c>
      <c r="K1192" s="4" t="str">
        <f>IF(OR(Копия_20206[[#This Row],[Value (in 1000 rub)]]&gt;$S$7,Копия_20206[[#This Row],[Value (in 1000 rub)]]&lt;$S$6),"outlier","not outlier")</f>
        <v>not outlier</v>
      </c>
      <c r="L1192" s="4" t="str">
        <f>IF(OR(Копия_20206[[#This Row],[Volume (in 1000 kg)]]&gt;$T$7,Копия_20206[[#This Row],[Volume (in 1000 kg)]]&lt;$T$6),"outlier","not outlier")</f>
        <v>not outlier</v>
      </c>
      <c r="M1192" s="4" t="str">
        <f>IF(OR(Копия_20206[[#This Row],[Number of stores]]&gt;$U$7,Копия_20206[[#This Row],[Number of stores]]&lt;$U$6),"outlier","not outlier")</f>
        <v>not outlier</v>
      </c>
    </row>
    <row r="1193" spans="1:13" x14ac:dyDescent="0.25">
      <c r="A1193">
        <v>2021</v>
      </c>
      <c r="B1193">
        <v>11</v>
      </c>
      <c r="C1193" s="1" t="s">
        <v>25</v>
      </c>
      <c r="D1193" s="1" t="s">
        <v>19</v>
      </c>
      <c r="E1193" s="1" t="s">
        <v>11</v>
      </c>
      <c r="F1193" s="4">
        <v>0.52100000000000002</v>
      </c>
      <c r="G1193" s="4">
        <v>103.76481800000001</v>
      </c>
      <c r="H1193" s="4">
        <v>0.1928</v>
      </c>
      <c r="I1193">
        <v>0</v>
      </c>
      <c r="J1193" s="4" t="str">
        <f>IF(OR(Копия_20206[[#This Row],[Units (in 1000)]]&gt;$R$7,Копия_20206[[#This Row],[Units (in 1000)]]&lt;$R$6),"outlier","not outlier")</f>
        <v>not outlier</v>
      </c>
      <c r="K1193" s="4" t="str">
        <f>IF(OR(Копия_20206[[#This Row],[Value (in 1000 rub)]]&gt;$S$7,Копия_20206[[#This Row],[Value (in 1000 rub)]]&lt;$S$6),"outlier","not outlier")</f>
        <v>not outlier</v>
      </c>
      <c r="L1193" s="4" t="str">
        <f>IF(OR(Копия_20206[[#This Row],[Volume (in 1000 kg)]]&gt;$T$7,Копия_20206[[#This Row],[Volume (in 1000 kg)]]&lt;$T$6),"outlier","not outlier")</f>
        <v>not outlier</v>
      </c>
      <c r="M1193" s="4" t="str">
        <f>IF(OR(Копия_20206[[#This Row],[Number of stores]]&gt;$U$7,Копия_20206[[#This Row],[Number of stores]]&lt;$U$6),"outlier","not outlier")</f>
        <v>not outlier</v>
      </c>
    </row>
    <row r="1194" spans="1:13" x14ac:dyDescent="0.25">
      <c r="A1194">
        <v>2021</v>
      </c>
      <c r="B1194">
        <v>11</v>
      </c>
      <c r="C1194" s="1" t="s">
        <v>29</v>
      </c>
      <c r="D1194" s="1" t="s">
        <v>19</v>
      </c>
      <c r="E1194" s="1" t="s">
        <v>11</v>
      </c>
      <c r="F1194" s="4">
        <v>1.827</v>
      </c>
      <c r="G1194" s="4">
        <v>378.37265500000001</v>
      </c>
      <c r="H1194" s="4">
        <v>0.67600000000000005</v>
      </c>
      <c r="I1194">
        <v>0</v>
      </c>
      <c r="J1194" s="4" t="str">
        <f>IF(OR(Копия_20206[[#This Row],[Units (in 1000)]]&gt;$R$7,Копия_20206[[#This Row],[Units (in 1000)]]&lt;$R$6),"outlier","not outlier")</f>
        <v>not outlier</v>
      </c>
      <c r="K1194" s="4" t="str">
        <f>IF(OR(Копия_20206[[#This Row],[Value (in 1000 rub)]]&gt;$S$7,Копия_20206[[#This Row],[Value (in 1000 rub)]]&lt;$S$6),"outlier","not outlier")</f>
        <v>not outlier</v>
      </c>
      <c r="L1194" s="4" t="str">
        <f>IF(OR(Копия_20206[[#This Row],[Volume (in 1000 kg)]]&gt;$T$7,Копия_20206[[#This Row],[Volume (in 1000 kg)]]&lt;$T$6),"outlier","not outlier")</f>
        <v>not outlier</v>
      </c>
      <c r="M1194" s="4" t="str">
        <f>IF(OR(Копия_20206[[#This Row],[Number of stores]]&gt;$U$7,Копия_20206[[#This Row],[Number of stores]]&lt;$U$6),"outlier","not outlier")</f>
        <v>not outlier</v>
      </c>
    </row>
    <row r="1195" spans="1:13" x14ac:dyDescent="0.25">
      <c r="A1195">
        <v>2021</v>
      </c>
      <c r="B1195">
        <v>12</v>
      </c>
      <c r="C1195" s="1" t="s">
        <v>8</v>
      </c>
      <c r="D1195" s="1" t="s">
        <v>19</v>
      </c>
      <c r="E1195" s="1" t="s">
        <v>11</v>
      </c>
      <c r="F1195" s="4">
        <v>0.75990000000000002</v>
      </c>
      <c r="G1195" s="4">
        <v>127.89406</v>
      </c>
      <c r="H1195" s="4">
        <v>0.28120000000000001</v>
      </c>
      <c r="I1195">
        <v>35</v>
      </c>
      <c r="J1195" s="4" t="str">
        <f>IF(OR(Копия_20206[[#This Row],[Units (in 1000)]]&gt;$R$7,Копия_20206[[#This Row],[Units (in 1000)]]&lt;$R$6),"outlier","not outlier")</f>
        <v>not outlier</v>
      </c>
      <c r="K1195" s="4" t="str">
        <f>IF(OR(Копия_20206[[#This Row],[Value (in 1000 rub)]]&gt;$S$7,Копия_20206[[#This Row],[Value (in 1000 rub)]]&lt;$S$6),"outlier","not outlier")</f>
        <v>not outlier</v>
      </c>
      <c r="L1195" s="4" t="str">
        <f>IF(OR(Копия_20206[[#This Row],[Volume (in 1000 kg)]]&gt;$T$7,Копия_20206[[#This Row],[Volume (in 1000 kg)]]&lt;$T$6),"outlier","not outlier")</f>
        <v>not outlier</v>
      </c>
      <c r="M1195" s="4" t="str">
        <f>IF(OR(Копия_20206[[#This Row],[Number of stores]]&gt;$U$7,Копия_20206[[#This Row],[Number of stores]]&lt;$U$6),"outlier","not outlier")</f>
        <v>not outlier</v>
      </c>
    </row>
    <row r="1196" spans="1:13" x14ac:dyDescent="0.25">
      <c r="A1196">
        <v>2021</v>
      </c>
      <c r="B1196">
        <v>12</v>
      </c>
      <c r="C1196" s="1" t="s">
        <v>25</v>
      </c>
      <c r="D1196" s="1" t="s">
        <v>19</v>
      </c>
      <c r="E1196" s="1" t="s">
        <v>11</v>
      </c>
      <c r="F1196" s="4">
        <v>0.66469999999999996</v>
      </c>
      <c r="G1196" s="4">
        <v>133.35575700000001</v>
      </c>
      <c r="H1196" s="4">
        <v>0.24590000000000001</v>
      </c>
      <c r="I1196">
        <v>0</v>
      </c>
      <c r="J1196" s="4" t="str">
        <f>IF(OR(Копия_20206[[#This Row],[Units (in 1000)]]&gt;$R$7,Копия_20206[[#This Row],[Units (in 1000)]]&lt;$R$6),"outlier","not outlier")</f>
        <v>not outlier</v>
      </c>
      <c r="K1196" s="4" t="str">
        <f>IF(OR(Копия_20206[[#This Row],[Value (in 1000 rub)]]&gt;$S$7,Копия_20206[[#This Row],[Value (in 1000 rub)]]&lt;$S$6),"outlier","not outlier")</f>
        <v>not outlier</v>
      </c>
      <c r="L1196" s="4" t="str">
        <f>IF(OR(Копия_20206[[#This Row],[Volume (in 1000 kg)]]&gt;$T$7,Копия_20206[[#This Row],[Volume (in 1000 kg)]]&lt;$T$6),"outlier","not outlier")</f>
        <v>not outlier</v>
      </c>
      <c r="M1196" s="4" t="str">
        <f>IF(OR(Копия_20206[[#This Row],[Number of stores]]&gt;$U$7,Копия_20206[[#This Row],[Number of stores]]&lt;$U$6),"outlier","not outlier")</f>
        <v>not outlier</v>
      </c>
    </row>
    <row r="1197" spans="1:13" x14ac:dyDescent="0.25">
      <c r="A1197">
        <v>2021</v>
      </c>
      <c r="B1197">
        <v>12</v>
      </c>
      <c r="C1197" s="1" t="s">
        <v>29</v>
      </c>
      <c r="D1197" s="1" t="s">
        <v>19</v>
      </c>
      <c r="E1197" s="1" t="s">
        <v>11</v>
      </c>
      <c r="F1197" s="4">
        <v>1.341</v>
      </c>
      <c r="G1197" s="4">
        <v>266.45908700000001</v>
      </c>
      <c r="H1197" s="4">
        <v>0.49619999999999997</v>
      </c>
      <c r="I1197">
        <v>0</v>
      </c>
      <c r="J1197" s="4" t="str">
        <f>IF(OR(Копия_20206[[#This Row],[Units (in 1000)]]&gt;$R$7,Копия_20206[[#This Row],[Units (in 1000)]]&lt;$R$6),"outlier","not outlier")</f>
        <v>not outlier</v>
      </c>
      <c r="K1197" s="4" t="str">
        <f>IF(OR(Копия_20206[[#This Row],[Value (in 1000 rub)]]&gt;$S$7,Копия_20206[[#This Row],[Value (in 1000 rub)]]&lt;$S$6),"outlier","not outlier")</f>
        <v>not outlier</v>
      </c>
      <c r="L1197" s="4" t="str">
        <f>IF(OR(Копия_20206[[#This Row],[Volume (in 1000 kg)]]&gt;$T$7,Копия_20206[[#This Row],[Volume (in 1000 kg)]]&lt;$T$6),"outlier","not outlier")</f>
        <v>not outlier</v>
      </c>
      <c r="M1197" s="4" t="str">
        <f>IF(OR(Копия_20206[[#This Row],[Number of stores]]&gt;$U$7,Копия_20206[[#This Row],[Number of stores]]&lt;$U$6),"outlier","not outlier")</f>
        <v>not outlier</v>
      </c>
    </row>
    <row r="1198" spans="1:13" x14ac:dyDescent="0.25">
      <c r="A1198">
        <v>2021</v>
      </c>
      <c r="B1198">
        <v>4</v>
      </c>
      <c r="C1198" s="1" t="s">
        <v>25</v>
      </c>
      <c r="D1198" s="1" t="s">
        <v>38</v>
      </c>
      <c r="E1198" s="1" t="s">
        <v>11</v>
      </c>
      <c r="F1198" s="4">
        <v>0.96150000000000002</v>
      </c>
      <c r="G1198" s="4">
        <v>73.015910000000005</v>
      </c>
      <c r="H1198" s="4">
        <v>0.37019999999999997</v>
      </c>
      <c r="I1198">
        <v>1065</v>
      </c>
      <c r="J1198" s="4" t="str">
        <f>IF(OR(Копия_20206[[#This Row],[Units (in 1000)]]&gt;$R$7,Копия_20206[[#This Row],[Units (in 1000)]]&lt;$R$6),"outlier","not outlier")</f>
        <v>not outlier</v>
      </c>
      <c r="K1198" s="4" t="str">
        <f>IF(OR(Копия_20206[[#This Row],[Value (in 1000 rub)]]&gt;$S$7,Копия_20206[[#This Row],[Value (in 1000 rub)]]&lt;$S$6),"outlier","not outlier")</f>
        <v>not outlier</v>
      </c>
      <c r="L1198" s="4" t="str">
        <f>IF(OR(Копия_20206[[#This Row],[Volume (in 1000 kg)]]&gt;$T$7,Копия_20206[[#This Row],[Volume (in 1000 kg)]]&lt;$T$6),"outlier","not outlier")</f>
        <v>not outlier</v>
      </c>
      <c r="M1198" s="4" t="str">
        <f>IF(OR(Копия_20206[[#This Row],[Number of stores]]&gt;$U$7,Копия_20206[[#This Row],[Number of stores]]&lt;$U$6),"outlier","not outlier")</f>
        <v>not outlier</v>
      </c>
    </row>
    <row r="1199" spans="1:13" x14ac:dyDescent="0.25">
      <c r="A1199">
        <v>2021</v>
      </c>
      <c r="B1199">
        <v>5</v>
      </c>
      <c r="C1199" s="1" t="s">
        <v>25</v>
      </c>
      <c r="D1199" s="1" t="s">
        <v>38</v>
      </c>
      <c r="E1199" s="1" t="s">
        <v>11</v>
      </c>
      <c r="F1199" s="4">
        <v>9.2888000000000002</v>
      </c>
      <c r="G1199" s="4">
        <v>616.157152</v>
      </c>
      <c r="H1199" s="4">
        <v>3.5762</v>
      </c>
      <c r="I1199">
        <v>2250</v>
      </c>
      <c r="J1199" s="4" t="str">
        <f>IF(OR(Копия_20206[[#This Row],[Units (in 1000)]]&gt;$R$7,Копия_20206[[#This Row],[Units (in 1000)]]&lt;$R$6),"outlier","not outlier")</f>
        <v>not outlier</v>
      </c>
      <c r="K1199" s="4" t="str">
        <f>IF(OR(Копия_20206[[#This Row],[Value (in 1000 rub)]]&gt;$S$7,Копия_20206[[#This Row],[Value (in 1000 rub)]]&lt;$S$6),"outlier","not outlier")</f>
        <v>not outlier</v>
      </c>
      <c r="L1199" s="4" t="str">
        <f>IF(OR(Копия_20206[[#This Row],[Volume (in 1000 kg)]]&gt;$T$7,Копия_20206[[#This Row],[Volume (in 1000 kg)]]&lt;$T$6),"outlier","not outlier")</f>
        <v>not outlier</v>
      </c>
      <c r="M1199" s="4" t="str">
        <f>IF(OR(Копия_20206[[#This Row],[Number of stores]]&gt;$U$7,Копия_20206[[#This Row],[Number of stores]]&lt;$U$6),"outlier","not outlier")</f>
        <v>not outlier</v>
      </c>
    </row>
    <row r="1200" spans="1:13" x14ac:dyDescent="0.25">
      <c r="A1200">
        <v>2021</v>
      </c>
      <c r="B1200">
        <v>5</v>
      </c>
      <c r="C1200" s="1" t="s">
        <v>25</v>
      </c>
      <c r="D1200" s="1" t="s">
        <v>38</v>
      </c>
      <c r="E1200" s="1" t="s">
        <v>12</v>
      </c>
      <c r="F1200" s="4">
        <v>8.9300000000000004E-2</v>
      </c>
      <c r="G1200" s="4">
        <v>8.5145610000000005</v>
      </c>
      <c r="H1200" s="4">
        <v>4.3799999999999999E-2</v>
      </c>
      <c r="I1200">
        <v>138</v>
      </c>
      <c r="J1200" s="4" t="str">
        <f>IF(OR(Копия_20206[[#This Row],[Units (in 1000)]]&gt;$R$7,Копия_20206[[#This Row],[Units (in 1000)]]&lt;$R$6),"outlier","not outlier")</f>
        <v>not outlier</v>
      </c>
      <c r="K1200" s="4" t="str">
        <f>IF(OR(Копия_20206[[#This Row],[Value (in 1000 rub)]]&gt;$S$7,Копия_20206[[#This Row],[Value (in 1000 rub)]]&lt;$S$6),"outlier","not outlier")</f>
        <v>not outlier</v>
      </c>
      <c r="L1200" s="4" t="str">
        <f>IF(OR(Копия_20206[[#This Row],[Volume (in 1000 kg)]]&gt;$T$7,Копия_20206[[#This Row],[Volume (in 1000 kg)]]&lt;$T$6),"outlier","not outlier")</f>
        <v>not outlier</v>
      </c>
      <c r="M1200" s="4" t="str">
        <f>IF(OR(Копия_20206[[#This Row],[Number of stores]]&gt;$U$7,Копия_20206[[#This Row],[Number of stores]]&lt;$U$6),"outlier","not outlier")</f>
        <v>not outlier</v>
      </c>
    </row>
    <row r="1201" spans="1:13" x14ac:dyDescent="0.25">
      <c r="A1201">
        <v>2021</v>
      </c>
      <c r="B1201">
        <v>5</v>
      </c>
      <c r="C1201" s="1" t="s">
        <v>29</v>
      </c>
      <c r="D1201" s="1" t="s">
        <v>38</v>
      </c>
      <c r="E1201" s="1" t="s">
        <v>11</v>
      </c>
      <c r="F1201" s="4">
        <v>34.928600000000003</v>
      </c>
      <c r="G1201" s="4">
        <v>2329.209672</v>
      </c>
      <c r="H1201" s="4">
        <v>13.4475</v>
      </c>
      <c r="I1201">
        <v>7585</v>
      </c>
      <c r="J1201" s="4" t="str">
        <f>IF(OR(Копия_20206[[#This Row],[Units (in 1000)]]&gt;$R$7,Копия_20206[[#This Row],[Units (in 1000)]]&lt;$R$6),"outlier","not outlier")</f>
        <v>outlier</v>
      </c>
      <c r="K1201" s="4" t="str">
        <f>IF(OR(Копия_20206[[#This Row],[Value (in 1000 rub)]]&gt;$S$7,Копия_20206[[#This Row],[Value (in 1000 rub)]]&lt;$S$6),"outlier","not outlier")</f>
        <v>outlier</v>
      </c>
      <c r="L1201" s="4" t="str">
        <f>IF(OR(Копия_20206[[#This Row],[Volume (in 1000 kg)]]&gt;$T$7,Копия_20206[[#This Row],[Volume (in 1000 kg)]]&lt;$T$6),"outlier","not outlier")</f>
        <v>outlier</v>
      </c>
      <c r="M1201" s="4" t="str">
        <f>IF(OR(Копия_20206[[#This Row],[Number of stores]]&gt;$U$7,Копия_20206[[#This Row],[Number of stores]]&lt;$U$6),"outlier","not outlier")</f>
        <v>outlier</v>
      </c>
    </row>
    <row r="1202" spans="1:13" x14ac:dyDescent="0.25">
      <c r="A1202">
        <v>2021</v>
      </c>
      <c r="B1202">
        <v>5</v>
      </c>
      <c r="C1202" s="1" t="s">
        <v>29</v>
      </c>
      <c r="D1202" s="1" t="s">
        <v>38</v>
      </c>
      <c r="E1202" s="1" t="s">
        <v>12</v>
      </c>
      <c r="F1202" s="4">
        <v>4.3999999999999997E-2</v>
      </c>
      <c r="G1202" s="4">
        <v>4.9994110000000003</v>
      </c>
      <c r="H1202" s="4">
        <v>2.1499999999999998E-2</v>
      </c>
      <c r="I1202">
        <v>72</v>
      </c>
      <c r="J1202" s="4" t="str">
        <f>IF(OR(Копия_20206[[#This Row],[Units (in 1000)]]&gt;$R$7,Копия_20206[[#This Row],[Units (in 1000)]]&lt;$R$6),"outlier","not outlier")</f>
        <v>not outlier</v>
      </c>
      <c r="K1202" s="4" t="str">
        <f>IF(OR(Копия_20206[[#This Row],[Value (in 1000 rub)]]&gt;$S$7,Копия_20206[[#This Row],[Value (in 1000 rub)]]&lt;$S$6),"outlier","not outlier")</f>
        <v>not outlier</v>
      </c>
      <c r="L1202" s="4" t="str">
        <f>IF(OR(Копия_20206[[#This Row],[Volume (in 1000 kg)]]&gt;$T$7,Копия_20206[[#This Row],[Volume (in 1000 kg)]]&lt;$T$6),"outlier","not outlier")</f>
        <v>not outlier</v>
      </c>
      <c r="M1202" s="4" t="str">
        <f>IF(OR(Копия_20206[[#This Row],[Number of stores]]&gt;$U$7,Копия_20206[[#This Row],[Number of stores]]&lt;$U$6),"outlier","not outlier")</f>
        <v>not outlier</v>
      </c>
    </row>
    <row r="1203" spans="1:13" x14ac:dyDescent="0.25">
      <c r="A1203">
        <v>2021</v>
      </c>
      <c r="B1203">
        <v>6</v>
      </c>
      <c r="C1203" s="1" t="s">
        <v>8</v>
      </c>
      <c r="D1203" s="1" t="s">
        <v>38</v>
      </c>
      <c r="E1203" s="1" t="s">
        <v>11</v>
      </c>
      <c r="F1203" s="4">
        <v>0.12709999999999999</v>
      </c>
      <c r="G1203" s="4">
        <v>9.6023119999999995</v>
      </c>
      <c r="H1203" s="4">
        <v>4.8899999999999999E-2</v>
      </c>
      <c r="I1203">
        <v>18</v>
      </c>
      <c r="J1203" s="4" t="str">
        <f>IF(OR(Копия_20206[[#This Row],[Units (in 1000)]]&gt;$R$7,Копия_20206[[#This Row],[Units (in 1000)]]&lt;$R$6),"outlier","not outlier")</f>
        <v>not outlier</v>
      </c>
      <c r="K1203" s="4" t="str">
        <f>IF(OR(Копия_20206[[#This Row],[Value (in 1000 rub)]]&gt;$S$7,Копия_20206[[#This Row],[Value (in 1000 rub)]]&lt;$S$6),"outlier","not outlier")</f>
        <v>not outlier</v>
      </c>
      <c r="L1203" s="4" t="str">
        <f>IF(OR(Копия_20206[[#This Row],[Volume (in 1000 kg)]]&gt;$T$7,Копия_20206[[#This Row],[Volume (in 1000 kg)]]&lt;$T$6),"outlier","not outlier")</f>
        <v>not outlier</v>
      </c>
      <c r="M1203" s="4" t="str">
        <f>IF(OR(Копия_20206[[#This Row],[Number of stores]]&gt;$U$7,Копия_20206[[#This Row],[Number of stores]]&lt;$U$6),"outlier","not outlier")</f>
        <v>not outlier</v>
      </c>
    </row>
    <row r="1204" spans="1:13" x14ac:dyDescent="0.25">
      <c r="A1204">
        <v>2021</v>
      </c>
      <c r="B1204">
        <v>6</v>
      </c>
      <c r="C1204" s="1" t="s">
        <v>8</v>
      </c>
      <c r="D1204" s="1" t="s">
        <v>38</v>
      </c>
      <c r="E1204" s="1" t="s">
        <v>12</v>
      </c>
      <c r="F1204" s="4">
        <v>0.66779999999999995</v>
      </c>
      <c r="G1204" s="4">
        <v>49.925815999999998</v>
      </c>
      <c r="H1204" s="4">
        <v>0.32719999999999999</v>
      </c>
      <c r="I1204">
        <v>108</v>
      </c>
      <c r="J1204" s="4" t="str">
        <f>IF(OR(Копия_20206[[#This Row],[Units (in 1000)]]&gt;$R$7,Копия_20206[[#This Row],[Units (in 1000)]]&lt;$R$6),"outlier","not outlier")</f>
        <v>not outlier</v>
      </c>
      <c r="K1204" s="4" t="str">
        <f>IF(OR(Копия_20206[[#This Row],[Value (in 1000 rub)]]&gt;$S$7,Копия_20206[[#This Row],[Value (in 1000 rub)]]&lt;$S$6),"outlier","not outlier")</f>
        <v>not outlier</v>
      </c>
      <c r="L1204" s="4" t="str">
        <f>IF(OR(Копия_20206[[#This Row],[Volume (in 1000 kg)]]&gt;$T$7,Копия_20206[[#This Row],[Volume (in 1000 kg)]]&lt;$T$6),"outlier","not outlier")</f>
        <v>not outlier</v>
      </c>
      <c r="M1204" s="4" t="str">
        <f>IF(OR(Копия_20206[[#This Row],[Number of stores]]&gt;$U$7,Копия_20206[[#This Row],[Number of stores]]&lt;$U$6),"outlier","not outlier")</f>
        <v>not outlier</v>
      </c>
    </row>
    <row r="1205" spans="1:13" x14ac:dyDescent="0.25">
      <c r="A1205">
        <v>2021</v>
      </c>
      <c r="B1205">
        <v>6</v>
      </c>
      <c r="C1205" s="1" t="s">
        <v>25</v>
      </c>
      <c r="D1205" s="1" t="s">
        <v>38</v>
      </c>
      <c r="E1205" s="1" t="s">
        <v>11</v>
      </c>
      <c r="F1205" s="4">
        <v>5.6432000000000002</v>
      </c>
      <c r="G1205" s="4">
        <v>371.37457999999998</v>
      </c>
      <c r="H1205" s="4">
        <v>2.1726999999999999</v>
      </c>
      <c r="I1205">
        <v>2335</v>
      </c>
      <c r="J1205" s="4" t="str">
        <f>IF(OR(Копия_20206[[#This Row],[Units (in 1000)]]&gt;$R$7,Копия_20206[[#This Row],[Units (in 1000)]]&lt;$R$6),"outlier","not outlier")</f>
        <v>not outlier</v>
      </c>
      <c r="K1205" s="4" t="str">
        <f>IF(OR(Копия_20206[[#This Row],[Value (in 1000 rub)]]&gt;$S$7,Копия_20206[[#This Row],[Value (in 1000 rub)]]&lt;$S$6),"outlier","not outlier")</f>
        <v>not outlier</v>
      </c>
      <c r="L1205" s="4" t="str">
        <f>IF(OR(Копия_20206[[#This Row],[Volume (in 1000 kg)]]&gt;$T$7,Копия_20206[[#This Row],[Volume (in 1000 kg)]]&lt;$T$6),"outlier","not outlier")</f>
        <v>not outlier</v>
      </c>
      <c r="M1205" s="4" t="str">
        <f>IF(OR(Копия_20206[[#This Row],[Number of stores]]&gt;$U$7,Копия_20206[[#This Row],[Number of stores]]&lt;$U$6),"outlier","not outlier")</f>
        <v>not outlier</v>
      </c>
    </row>
    <row r="1206" spans="1:13" x14ac:dyDescent="0.25">
      <c r="A1206">
        <v>2021</v>
      </c>
      <c r="B1206">
        <v>6</v>
      </c>
      <c r="C1206" s="1" t="s">
        <v>25</v>
      </c>
      <c r="D1206" s="1" t="s">
        <v>38</v>
      </c>
      <c r="E1206" s="1" t="s">
        <v>12</v>
      </c>
      <c r="F1206" s="4">
        <v>5.2977999999999996</v>
      </c>
      <c r="G1206" s="4">
        <v>395.90145899999999</v>
      </c>
      <c r="H1206" s="4">
        <v>2.5958999999999999</v>
      </c>
      <c r="I1206">
        <v>2479</v>
      </c>
      <c r="J1206" s="4" t="str">
        <f>IF(OR(Копия_20206[[#This Row],[Units (in 1000)]]&gt;$R$7,Копия_20206[[#This Row],[Units (in 1000)]]&lt;$R$6),"outlier","not outlier")</f>
        <v>not outlier</v>
      </c>
      <c r="K1206" s="4" t="str">
        <f>IF(OR(Копия_20206[[#This Row],[Value (in 1000 rub)]]&gt;$S$7,Копия_20206[[#This Row],[Value (in 1000 rub)]]&lt;$S$6),"outlier","not outlier")</f>
        <v>not outlier</v>
      </c>
      <c r="L1206" s="4" t="str">
        <f>IF(OR(Копия_20206[[#This Row],[Volume (in 1000 kg)]]&gt;$T$7,Копия_20206[[#This Row],[Volume (in 1000 kg)]]&lt;$T$6),"outlier","not outlier")</f>
        <v>not outlier</v>
      </c>
      <c r="M1206" s="4" t="str">
        <f>IF(OR(Копия_20206[[#This Row],[Number of stores]]&gt;$U$7,Копия_20206[[#This Row],[Number of stores]]&lt;$U$6),"outlier","not outlier")</f>
        <v>not outlier</v>
      </c>
    </row>
    <row r="1207" spans="1:13" x14ac:dyDescent="0.25">
      <c r="A1207">
        <v>2021</v>
      </c>
      <c r="B1207">
        <v>6</v>
      </c>
      <c r="C1207" s="1" t="s">
        <v>29</v>
      </c>
      <c r="D1207" s="1" t="s">
        <v>38</v>
      </c>
      <c r="E1207" s="1" t="s">
        <v>11</v>
      </c>
      <c r="F1207" s="4">
        <v>20.603200000000001</v>
      </c>
      <c r="G1207" s="4">
        <v>1369.1364100000001</v>
      </c>
      <c r="H1207" s="4">
        <v>7.9321999999999999</v>
      </c>
      <c r="I1207">
        <v>7311</v>
      </c>
      <c r="J1207" s="4" t="str">
        <f>IF(OR(Копия_20206[[#This Row],[Units (in 1000)]]&gt;$R$7,Копия_20206[[#This Row],[Units (in 1000)]]&lt;$R$6),"outlier","not outlier")</f>
        <v>not outlier</v>
      </c>
      <c r="K1207" s="4" t="str">
        <f>IF(OR(Копия_20206[[#This Row],[Value (in 1000 rub)]]&gt;$S$7,Копия_20206[[#This Row],[Value (in 1000 rub)]]&lt;$S$6),"outlier","not outlier")</f>
        <v>not outlier</v>
      </c>
      <c r="L1207" s="4" t="str">
        <f>IF(OR(Копия_20206[[#This Row],[Volume (in 1000 kg)]]&gt;$T$7,Копия_20206[[#This Row],[Volume (in 1000 kg)]]&lt;$T$6),"outlier","not outlier")</f>
        <v>outlier</v>
      </c>
      <c r="M1207" s="4" t="str">
        <f>IF(OR(Копия_20206[[#This Row],[Number of stores]]&gt;$U$7,Копия_20206[[#This Row],[Number of stores]]&lt;$U$6),"outlier","not outlier")</f>
        <v>outlier</v>
      </c>
    </row>
    <row r="1208" spans="1:13" x14ac:dyDescent="0.25">
      <c r="A1208">
        <v>2021</v>
      </c>
      <c r="B1208">
        <v>6</v>
      </c>
      <c r="C1208" s="1" t="s">
        <v>29</v>
      </c>
      <c r="D1208" s="1" t="s">
        <v>38</v>
      </c>
      <c r="E1208" s="1" t="s">
        <v>12</v>
      </c>
      <c r="F1208" s="4">
        <v>11.262</v>
      </c>
      <c r="G1208" s="4">
        <v>844.10972000000004</v>
      </c>
      <c r="H1208" s="4">
        <v>5.5183999999999997</v>
      </c>
      <c r="I1208">
        <v>4054</v>
      </c>
      <c r="J1208" s="4" t="str">
        <f>IF(OR(Копия_20206[[#This Row],[Units (in 1000)]]&gt;$R$7,Копия_20206[[#This Row],[Units (in 1000)]]&lt;$R$6),"outlier","not outlier")</f>
        <v>not outlier</v>
      </c>
      <c r="K1208" s="4" t="str">
        <f>IF(OR(Копия_20206[[#This Row],[Value (in 1000 rub)]]&gt;$S$7,Копия_20206[[#This Row],[Value (in 1000 rub)]]&lt;$S$6),"outlier","not outlier")</f>
        <v>not outlier</v>
      </c>
      <c r="L1208" s="4" t="str">
        <f>IF(OR(Копия_20206[[#This Row],[Volume (in 1000 kg)]]&gt;$T$7,Копия_20206[[#This Row],[Volume (in 1000 kg)]]&lt;$T$6),"outlier","not outlier")</f>
        <v>not outlier</v>
      </c>
      <c r="M1208" s="4" t="str">
        <f>IF(OR(Копия_20206[[#This Row],[Number of stores]]&gt;$U$7,Копия_20206[[#This Row],[Number of stores]]&lt;$U$6),"outlier","not outlier")</f>
        <v>outlier</v>
      </c>
    </row>
    <row r="1209" spans="1:13" x14ac:dyDescent="0.25">
      <c r="A1209">
        <v>2021</v>
      </c>
      <c r="B1209">
        <v>7</v>
      </c>
      <c r="C1209" s="1" t="s">
        <v>8</v>
      </c>
      <c r="D1209" s="1" t="s">
        <v>38</v>
      </c>
      <c r="E1209" s="1" t="s">
        <v>11</v>
      </c>
      <c r="F1209" s="4">
        <v>0.24929999999999999</v>
      </c>
      <c r="G1209" s="4">
        <v>18.507283000000001</v>
      </c>
      <c r="H1209" s="4">
        <v>9.6000000000000002E-2</v>
      </c>
      <c r="I1209">
        <v>37</v>
      </c>
      <c r="J1209" s="4" t="str">
        <f>IF(OR(Копия_20206[[#This Row],[Units (in 1000)]]&gt;$R$7,Копия_20206[[#This Row],[Units (in 1000)]]&lt;$R$6),"outlier","not outlier")</f>
        <v>not outlier</v>
      </c>
      <c r="K1209" s="4" t="str">
        <f>IF(OR(Копия_20206[[#This Row],[Value (in 1000 rub)]]&gt;$S$7,Копия_20206[[#This Row],[Value (in 1000 rub)]]&lt;$S$6),"outlier","not outlier")</f>
        <v>not outlier</v>
      </c>
      <c r="L1209" s="4" t="str">
        <f>IF(OR(Копия_20206[[#This Row],[Volume (in 1000 kg)]]&gt;$T$7,Копия_20206[[#This Row],[Volume (in 1000 kg)]]&lt;$T$6),"outlier","not outlier")</f>
        <v>not outlier</v>
      </c>
      <c r="M1209" s="4" t="str">
        <f>IF(OR(Копия_20206[[#This Row],[Number of stores]]&gt;$U$7,Копия_20206[[#This Row],[Number of stores]]&lt;$U$6),"outlier","not outlier")</f>
        <v>not outlier</v>
      </c>
    </row>
    <row r="1210" spans="1:13" x14ac:dyDescent="0.25">
      <c r="A1210">
        <v>2021</v>
      </c>
      <c r="B1210">
        <v>7</v>
      </c>
      <c r="C1210" s="1" t="s">
        <v>8</v>
      </c>
      <c r="D1210" s="1" t="s">
        <v>38</v>
      </c>
      <c r="E1210" s="1" t="s">
        <v>12</v>
      </c>
      <c r="F1210" s="4">
        <v>1.0944</v>
      </c>
      <c r="G1210" s="4">
        <v>66.562140999999997</v>
      </c>
      <c r="H1210" s="4">
        <v>0.53620000000000001</v>
      </c>
      <c r="I1210">
        <v>109</v>
      </c>
      <c r="J1210" s="4" t="str">
        <f>IF(OR(Копия_20206[[#This Row],[Units (in 1000)]]&gt;$R$7,Копия_20206[[#This Row],[Units (in 1000)]]&lt;$R$6),"outlier","not outlier")</f>
        <v>not outlier</v>
      </c>
      <c r="K1210" s="4" t="str">
        <f>IF(OR(Копия_20206[[#This Row],[Value (in 1000 rub)]]&gt;$S$7,Копия_20206[[#This Row],[Value (in 1000 rub)]]&lt;$S$6),"outlier","not outlier")</f>
        <v>not outlier</v>
      </c>
      <c r="L1210" s="4" t="str">
        <f>IF(OR(Копия_20206[[#This Row],[Volume (in 1000 kg)]]&gt;$T$7,Копия_20206[[#This Row],[Volume (in 1000 kg)]]&lt;$T$6),"outlier","not outlier")</f>
        <v>not outlier</v>
      </c>
      <c r="M1210" s="4" t="str">
        <f>IF(OR(Копия_20206[[#This Row],[Number of stores]]&gt;$U$7,Копия_20206[[#This Row],[Number of stores]]&lt;$U$6),"outlier","not outlier")</f>
        <v>not outlier</v>
      </c>
    </row>
    <row r="1211" spans="1:13" x14ac:dyDescent="0.25">
      <c r="A1211">
        <v>2021</v>
      </c>
      <c r="B1211">
        <v>7</v>
      </c>
      <c r="C1211" s="1" t="s">
        <v>25</v>
      </c>
      <c r="D1211" s="1" t="s">
        <v>38</v>
      </c>
      <c r="E1211" s="1" t="s">
        <v>11</v>
      </c>
      <c r="F1211" s="4">
        <v>3.1949000000000001</v>
      </c>
      <c r="G1211" s="4">
        <v>253.928765</v>
      </c>
      <c r="H1211" s="4">
        <v>1.23</v>
      </c>
      <c r="I1211">
        <v>1785</v>
      </c>
      <c r="J1211" s="4" t="str">
        <f>IF(OR(Копия_20206[[#This Row],[Units (in 1000)]]&gt;$R$7,Копия_20206[[#This Row],[Units (in 1000)]]&lt;$R$6),"outlier","not outlier")</f>
        <v>not outlier</v>
      </c>
      <c r="K1211" s="4" t="str">
        <f>IF(OR(Копия_20206[[#This Row],[Value (in 1000 rub)]]&gt;$S$7,Копия_20206[[#This Row],[Value (in 1000 rub)]]&lt;$S$6),"outlier","not outlier")</f>
        <v>not outlier</v>
      </c>
      <c r="L1211" s="4" t="str">
        <f>IF(OR(Копия_20206[[#This Row],[Volume (in 1000 kg)]]&gt;$T$7,Копия_20206[[#This Row],[Volume (in 1000 kg)]]&lt;$T$6),"outlier","not outlier")</f>
        <v>not outlier</v>
      </c>
      <c r="M1211" s="4" t="str">
        <f>IF(OR(Копия_20206[[#This Row],[Number of stores]]&gt;$U$7,Копия_20206[[#This Row],[Number of stores]]&lt;$U$6),"outlier","not outlier")</f>
        <v>not outlier</v>
      </c>
    </row>
    <row r="1212" spans="1:13" x14ac:dyDescent="0.25">
      <c r="A1212">
        <v>2021</v>
      </c>
      <c r="B1212">
        <v>7</v>
      </c>
      <c r="C1212" s="1" t="s">
        <v>25</v>
      </c>
      <c r="D1212" s="1" t="s">
        <v>38</v>
      </c>
      <c r="E1212" s="1" t="s">
        <v>12</v>
      </c>
      <c r="F1212" s="4">
        <v>11.364699999999999</v>
      </c>
      <c r="G1212" s="4">
        <v>777.13694499999997</v>
      </c>
      <c r="H1212" s="4">
        <v>5.5686</v>
      </c>
      <c r="I1212">
        <v>3381</v>
      </c>
      <c r="J1212" s="4" t="str">
        <f>IF(OR(Копия_20206[[#This Row],[Units (in 1000)]]&gt;$R$7,Копия_20206[[#This Row],[Units (in 1000)]]&lt;$R$6),"outlier","not outlier")</f>
        <v>not outlier</v>
      </c>
      <c r="K1212" s="4" t="str">
        <f>IF(OR(Копия_20206[[#This Row],[Value (in 1000 rub)]]&gt;$S$7,Копия_20206[[#This Row],[Value (in 1000 rub)]]&lt;$S$6),"outlier","not outlier")</f>
        <v>not outlier</v>
      </c>
      <c r="L1212" s="4" t="str">
        <f>IF(OR(Копия_20206[[#This Row],[Volume (in 1000 kg)]]&gt;$T$7,Копия_20206[[#This Row],[Volume (in 1000 kg)]]&lt;$T$6),"outlier","not outlier")</f>
        <v>not outlier</v>
      </c>
      <c r="M1212" s="4" t="str">
        <f>IF(OR(Копия_20206[[#This Row],[Number of stores]]&gt;$U$7,Копия_20206[[#This Row],[Number of stores]]&lt;$U$6),"outlier","not outlier")</f>
        <v>outlier</v>
      </c>
    </row>
    <row r="1213" spans="1:13" x14ac:dyDescent="0.25">
      <c r="A1213">
        <v>2021</v>
      </c>
      <c r="B1213">
        <v>7</v>
      </c>
      <c r="C1213" s="1" t="s">
        <v>29</v>
      </c>
      <c r="D1213" s="1" t="s">
        <v>38</v>
      </c>
      <c r="E1213" s="1" t="s">
        <v>11</v>
      </c>
      <c r="F1213" s="4">
        <v>10.131600000000001</v>
      </c>
      <c r="G1213" s="4">
        <v>816.48217</v>
      </c>
      <c r="H1213" s="4">
        <v>3.9007000000000001</v>
      </c>
      <c r="I1213">
        <v>5403</v>
      </c>
      <c r="J1213" s="4" t="str">
        <f>IF(OR(Копия_20206[[#This Row],[Units (in 1000)]]&gt;$R$7,Копия_20206[[#This Row],[Units (in 1000)]]&lt;$R$6),"outlier","not outlier")</f>
        <v>not outlier</v>
      </c>
      <c r="K1213" s="4" t="str">
        <f>IF(OR(Копия_20206[[#This Row],[Value (in 1000 rub)]]&gt;$S$7,Копия_20206[[#This Row],[Value (in 1000 rub)]]&lt;$S$6),"outlier","not outlier")</f>
        <v>not outlier</v>
      </c>
      <c r="L1213" s="4" t="str">
        <f>IF(OR(Копия_20206[[#This Row],[Volume (in 1000 kg)]]&gt;$T$7,Копия_20206[[#This Row],[Volume (in 1000 kg)]]&lt;$T$6),"outlier","not outlier")</f>
        <v>not outlier</v>
      </c>
      <c r="M1213" s="4" t="str">
        <f>IF(OR(Копия_20206[[#This Row],[Number of stores]]&gt;$U$7,Копия_20206[[#This Row],[Number of stores]]&lt;$U$6),"outlier","not outlier")</f>
        <v>outlier</v>
      </c>
    </row>
    <row r="1214" spans="1:13" x14ac:dyDescent="0.25">
      <c r="A1214">
        <v>2021</v>
      </c>
      <c r="B1214">
        <v>7</v>
      </c>
      <c r="C1214" s="1" t="s">
        <v>29</v>
      </c>
      <c r="D1214" s="1" t="s">
        <v>38</v>
      </c>
      <c r="E1214" s="1" t="s">
        <v>12</v>
      </c>
      <c r="F1214" s="4">
        <v>19.1341</v>
      </c>
      <c r="G1214" s="4">
        <v>1313.90949</v>
      </c>
      <c r="H1214" s="4">
        <v>9.3757000000000001</v>
      </c>
      <c r="I1214">
        <v>5075</v>
      </c>
      <c r="J1214" s="4" t="str">
        <f>IF(OR(Копия_20206[[#This Row],[Units (in 1000)]]&gt;$R$7,Копия_20206[[#This Row],[Units (in 1000)]]&lt;$R$6),"outlier","not outlier")</f>
        <v>not outlier</v>
      </c>
      <c r="K1214" s="4" t="str">
        <f>IF(OR(Копия_20206[[#This Row],[Value (in 1000 rub)]]&gt;$S$7,Копия_20206[[#This Row],[Value (in 1000 rub)]]&lt;$S$6),"outlier","not outlier")</f>
        <v>not outlier</v>
      </c>
      <c r="L1214" s="4" t="str">
        <f>IF(OR(Копия_20206[[#This Row],[Volume (in 1000 kg)]]&gt;$T$7,Копия_20206[[#This Row],[Volume (in 1000 kg)]]&lt;$T$6),"outlier","not outlier")</f>
        <v>outlier</v>
      </c>
      <c r="M1214" s="4" t="str">
        <f>IF(OR(Копия_20206[[#This Row],[Number of stores]]&gt;$U$7,Копия_20206[[#This Row],[Number of stores]]&lt;$U$6),"outlier","not outlier")</f>
        <v>outlier</v>
      </c>
    </row>
    <row r="1215" spans="1:13" x14ac:dyDescent="0.25">
      <c r="A1215">
        <v>2021</v>
      </c>
      <c r="B1215">
        <v>8</v>
      </c>
      <c r="C1215" s="1" t="s">
        <v>8</v>
      </c>
      <c r="D1215" s="1" t="s">
        <v>38</v>
      </c>
      <c r="E1215" s="1" t="s">
        <v>11</v>
      </c>
      <c r="F1215" s="4">
        <v>0.2014</v>
      </c>
      <c r="G1215" s="4">
        <v>14.455451999999999</v>
      </c>
      <c r="H1215" s="4">
        <v>7.7499999999999999E-2</v>
      </c>
      <c r="I1215">
        <v>32</v>
      </c>
      <c r="J1215" s="4" t="str">
        <f>IF(OR(Копия_20206[[#This Row],[Units (in 1000)]]&gt;$R$7,Копия_20206[[#This Row],[Units (in 1000)]]&lt;$R$6),"outlier","not outlier")</f>
        <v>not outlier</v>
      </c>
      <c r="K1215" s="4" t="str">
        <f>IF(OR(Копия_20206[[#This Row],[Value (in 1000 rub)]]&gt;$S$7,Копия_20206[[#This Row],[Value (in 1000 rub)]]&lt;$S$6),"outlier","not outlier")</f>
        <v>not outlier</v>
      </c>
      <c r="L1215" s="4" t="str">
        <f>IF(OR(Копия_20206[[#This Row],[Volume (in 1000 kg)]]&gt;$T$7,Копия_20206[[#This Row],[Volume (in 1000 kg)]]&lt;$T$6),"outlier","not outlier")</f>
        <v>not outlier</v>
      </c>
      <c r="M1215" s="4" t="str">
        <f>IF(OR(Копия_20206[[#This Row],[Number of stores]]&gt;$U$7,Копия_20206[[#This Row],[Number of stores]]&lt;$U$6),"outlier","not outlier")</f>
        <v>not outlier</v>
      </c>
    </row>
    <row r="1216" spans="1:13" x14ac:dyDescent="0.25">
      <c r="A1216">
        <v>2021</v>
      </c>
      <c r="B1216">
        <v>8</v>
      </c>
      <c r="C1216" s="1" t="s">
        <v>8</v>
      </c>
      <c r="D1216" s="1" t="s">
        <v>38</v>
      </c>
      <c r="E1216" s="1" t="s">
        <v>12</v>
      </c>
      <c r="F1216" s="4">
        <v>0.40289999999999998</v>
      </c>
      <c r="G1216" s="4">
        <v>20.786090000000002</v>
      </c>
      <c r="H1216" s="4">
        <v>0.19750000000000001</v>
      </c>
      <c r="I1216">
        <v>48</v>
      </c>
      <c r="J1216" s="4" t="str">
        <f>IF(OR(Копия_20206[[#This Row],[Units (in 1000)]]&gt;$R$7,Копия_20206[[#This Row],[Units (in 1000)]]&lt;$R$6),"outlier","not outlier")</f>
        <v>not outlier</v>
      </c>
      <c r="K1216" s="4" t="str">
        <f>IF(OR(Копия_20206[[#This Row],[Value (in 1000 rub)]]&gt;$S$7,Копия_20206[[#This Row],[Value (in 1000 rub)]]&lt;$S$6),"outlier","not outlier")</f>
        <v>not outlier</v>
      </c>
      <c r="L1216" s="4" t="str">
        <f>IF(OR(Копия_20206[[#This Row],[Volume (in 1000 kg)]]&gt;$T$7,Копия_20206[[#This Row],[Volume (in 1000 kg)]]&lt;$T$6),"outlier","not outlier")</f>
        <v>not outlier</v>
      </c>
      <c r="M1216" s="4" t="str">
        <f>IF(OR(Копия_20206[[#This Row],[Number of stores]]&gt;$U$7,Копия_20206[[#This Row],[Number of stores]]&lt;$U$6),"outlier","not outlier")</f>
        <v>not outlier</v>
      </c>
    </row>
    <row r="1217" spans="1:13" x14ac:dyDescent="0.25">
      <c r="A1217">
        <v>2021</v>
      </c>
      <c r="B1217">
        <v>8</v>
      </c>
      <c r="C1217" s="1" t="s">
        <v>25</v>
      </c>
      <c r="D1217" s="1" t="s">
        <v>38</v>
      </c>
      <c r="E1217" s="1" t="s">
        <v>11</v>
      </c>
      <c r="F1217" s="4">
        <v>4.3242000000000003</v>
      </c>
      <c r="G1217" s="4">
        <v>270.11420900000002</v>
      </c>
      <c r="H1217" s="4">
        <v>1.6648000000000001</v>
      </c>
      <c r="I1217">
        <v>1760</v>
      </c>
      <c r="J1217" s="4" t="str">
        <f>IF(OR(Копия_20206[[#This Row],[Units (in 1000)]]&gt;$R$7,Копия_20206[[#This Row],[Units (in 1000)]]&lt;$R$6),"outlier","not outlier")</f>
        <v>not outlier</v>
      </c>
      <c r="K1217" s="4" t="str">
        <f>IF(OR(Копия_20206[[#This Row],[Value (in 1000 rub)]]&gt;$S$7,Копия_20206[[#This Row],[Value (in 1000 rub)]]&lt;$S$6),"outlier","not outlier")</f>
        <v>not outlier</v>
      </c>
      <c r="L1217" s="4" t="str">
        <f>IF(OR(Копия_20206[[#This Row],[Volume (in 1000 kg)]]&gt;$T$7,Копия_20206[[#This Row],[Volume (in 1000 kg)]]&lt;$T$6),"outlier","not outlier")</f>
        <v>not outlier</v>
      </c>
      <c r="M1217" s="4" t="str">
        <f>IF(OR(Копия_20206[[#This Row],[Number of stores]]&gt;$U$7,Копия_20206[[#This Row],[Number of stores]]&lt;$U$6),"outlier","not outlier")</f>
        <v>not outlier</v>
      </c>
    </row>
    <row r="1218" spans="1:13" x14ac:dyDescent="0.25">
      <c r="A1218">
        <v>2021</v>
      </c>
      <c r="B1218">
        <v>8</v>
      </c>
      <c r="C1218" s="1" t="s">
        <v>25</v>
      </c>
      <c r="D1218" s="1" t="s">
        <v>38</v>
      </c>
      <c r="E1218" s="1" t="s">
        <v>12</v>
      </c>
      <c r="F1218" s="4">
        <v>9.6874000000000002</v>
      </c>
      <c r="G1218" s="4">
        <v>621.28009199999997</v>
      </c>
      <c r="H1218" s="4">
        <v>4.7468000000000004</v>
      </c>
      <c r="I1218">
        <v>3253</v>
      </c>
      <c r="J1218" s="4" t="str">
        <f>IF(OR(Копия_20206[[#This Row],[Units (in 1000)]]&gt;$R$7,Копия_20206[[#This Row],[Units (in 1000)]]&lt;$R$6),"outlier","not outlier")</f>
        <v>not outlier</v>
      </c>
      <c r="K1218" s="4" t="str">
        <f>IF(OR(Копия_20206[[#This Row],[Value (in 1000 rub)]]&gt;$S$7,Копия_20206[[#This Row],[Value (in 1000 rub)]]&lt;$S$6),"outlier","not outlier")</f>
        <v>not outlier</v>
      </c>
      <c r="L1218" s="4" t="str">
        <f>IF(OR(Копия_20206[[#This Row],[Volume (in 1000 kg)]]&gt;$T$7,Копия_20206[[#This Row],[Volume (in 1000 kg)]]&lt;$T$6),"outlier","not outlier")</f>
        <v>not outlier</v>
      </c>
      <c r="M1218" s="4" t="str">
        <f>IF(OR(Копия_20206[[#This Row],[Number of stores]]&gt;$U$7,Копия_20206[[#This Row],[Number of stores]]&lt;$U$6),"outlier","not outlier")</f>
        <v>outlier</v>
      </c>
    </row>
    <row r="1219" spans="1:13" x14ac:dyDescent="0.25">
      <c r="A1219">
        <v>2021</v>
      </c>
      <c r="B1219">
        <v>8</v>
      </c>
      <c r="C1219" s="1" t="s">
        <v>29</v>
      </c>
      <c r="D1219" s="1" t="s">
        <v>38</v>
      </c>
      <c r="E1219" s="1" t="s">
        <v>11</v>
      </c>
      <c r="F1219" s="4">
        <v>12.6958</v>
      </c>
      <c r="G1219" s="4">
        <v>809.17729599999996</v>
      </c>
      <c r="H1219" s="4">
        <v>4.8879000000000001</v>
      </c>
      <c r="I1219">
        <v>5067</v>
      </c>
      <c r="J1219" s="4" t="str">
        <f>IF(OR(Копия_20206[[#This Row],[Units (in 1000)]]&gt;$R$7,Копия_20206[[#This Row],[Units (in 1000)]]&lt;$R$6),"outlier","not outlier")</f>
        <v>not outlier</v>
      </c>
      <c r="K1219" s="4" t="str">
        <f>IF(OR(Копия_20206[[#This Row],[Value (in 1000 rub)]]&gt;$S$7,Копия_20206[[#This Row],[Value (in 1000 rub)]]&lt;$S$6),"outlier","not outlier")</f>
        <v>not outlier</v>
      </c>
      <c r="L1219" s="4" t="str">
        <f>IF(OR(Копия_20206[[#This Row],[Volume (in 1000 kg)]]&gt;$T$7,Копия_20206[[#This Row],[Volume (in 1000 kg)]]&lt;$T$6),"outlier","not outlier")</f>
        <v>not outlier</v>
      </c>
      <c r="M1219" s="4" t="str">
        <f>IF(OR(Копия_20206[[#This Row],[Number of stores]]&gt;$U$7,Копия_20206[[#This Row],[Number of stores]]&lt;$U$6),"outlier","not outlier")</f>
        <v>outlier</v>
      </c>
    </row>
    <row r="1220" spans="1:13" x14ac:dyDescent="0.25">
      <c r="A1220">
        <v>2021</v>
      </c>
      <c r="B1220">
        <v>8</v>
      </c>
      <c r="C1220" s="1" t="s">
        <v>29</v>
      </c>
      <c r="D1220" s="1" t="s">
        <v>38</v>
      </c>
      <c r="E1220" s="1" t="s">
        <v>12</v>
      </c>
      <c r="F1220" s="4">
        <v>14.986800000000001</v>
      </c>
      <c r="G1220" s="4">
        <v>949.28049099999998</v>
      </c>
      <c r="H1220" s="4">
        <v>7.3434999999999997</v>
      </c>
      <c r="I1220">
        <v>4648</v>
      </c>
      <c r="J1220" s="4" t="str">
        <f>IF(OR(Копия_20206[[#This Row],[Units (in 1000)]]&gt;$R$7,Копия_20206[[#This Row],[Units (in 1000)]]&lt;$R$6),"outlier","not outlier")</f>
        <v>not outlier</v>
      </c>
      <c r="K1220" s="4" t="str">
        <f>IF(OR(Копия_20206[[#This Row],[Value (in 1000 rub)]]&gt;$S$7,Копия_20206[[#This Row],[Value (in 1000 rub)]]&lt;$S$6),"outlier","not outlier")</f>
        <v>not outlier</v>
      </c>
      <c r="L1220" s="4" t="str">
        <f>IF(OR(Копия_20206[[#This Row],[Volume (in 1000 kg)]]&gt;$T$7,Копия_20206[[#This Row],[Volume (in 1000 kg)]]&lt;$T$6),"outlier","not outlier")</f>
        <v>not outlier</v>
      </c>
      <c r="M1220" s="4" t="str">
        <f>IF(OR(Копия_20206[[#This Row],[Number of stores]]&gt;$U$7,Копия_20206[[#This Row],[Number of stores]]&lt;$U$6),"outlier","not outlier")</f>
        <v>outlier</v>
      </c>
    </row>
    <row r="1221" spans="1:13" x14ac:dyDescent="0.25">
      <c r="A1221">
        <v>2021</v>
      </c>
      <c r="B1221">
        <v>9</v>
      </c>
      <c r="C1221" s="1" t="s">
        <v>25</v>
      </c>
      <c r="D1221" s="1" t="s">
        <v>38</v>
      </c>
      <c r="E1221" s="1" t="s">
        <v>11</v>
      </c>
      <c r="F1221" s="4">
        <v>2.4123000000000001</v>
      </c>
      <c r="G1221" s="4">
        <v>171.65500299999999</v>
      </c>
      <c r="H1221" s="4">
        <v>0.92869999999999997</v>
      </c>
      <c r="I1221">
        <v>1468</v>
      </c>
      <c r="J1221" s="4" t="str">
        <f>IF(OR(Копия_20206[[#This Row],[Units (in 1000)]]&gt;$R$7,Копия_20206[[#This Row],[Units (in 1000)]]&lt;$R$6),"outlier","not outlier")</f>
        <v>not outlier</v>
      </c>
      <c r="K1221" s="4" t="str">
        <f>IF(OR(Копия_20206[[#This Row],[Value (in 1000 rub)]]&gt;$S$7,Копия_20206[[#This Row],[Value (in 1000 rub)]]&lt;$S$6),"outlier","not outlier")</f>
        <v>not outlier</v>
      </c>
      <c r="L1221" s="4" t="str">
        <f>IF(OR(Копия_20206[[#This Row],[Volume (in 1000 kg)]]&gt;$T$7,Копия_20206[[#This Row],[Volume (in 1000 kg)]]&lt;$T$6),"outlier","not outlier")</f>
        <v>not outlier</v>
      </c>
      <c r="M1221" s="4" t="str">
        <f>IF(OR(Копия_20206[[#This Row],[Number of stores]]&gt;$U$7,Копия_20206[[#This Row],[Number of stores]]&lt;$U$6),"outlier","not outlier")</f>
        <v>not outlier</v>
      </c>
    </row>
    <row r="1222" spans="1:13" x14ac:dyDescent="0.25">
      <c r="A1222">
        <v>2021</v>
      </c>
      <c r="B1222">
        <v>9</v>
      </c>
      <c r="C1222" s="1" t="s">
        <v>25</v>
      </c>
      <c r="D1222" s="1" t="s">
        <v>38</v>
      </c>
      <c r="E1222" s="1" t="s">
        <v>12</v>
      </c>
      <c r="F1222" s="4">
        <v>5.2130000000000001</v>
      </c>
      <c r="G1222" s="4">
        <v>342.31342599999999</v>
      </c>
      <c r="H1222" s="4">
        <v>2.5543999999999998</v>
      </c>
      <c r="I1222">
        <v>2666</v>
      </c>
      <c r="J1222" s="4" t="str">
        <f>IF(OR(Копия_20206[[#This Row],[Units (in 1000)]]&gt;$R$7,Копия_20206[[#This Row],[Units (in 1000)]]&lt;$R$6),"outlier","not outlier")</f>
        <v>not outlier</v>
      </c>
      <c r="K1222" s="4" t="str">
        <f>IF(OR(Копия_20206[[#This Row],[Value (in 1000 rub)]]&gt;$S$7,Копия_20206[[#This Row],[Value (in 1000 rub)]]&lt;$S$6),"outlier","not outlier")</f>
        <v>not outlier</v>
      </c>
      <c r="L1222" s="4" t="str">
        <f>IF(OR(Копия_20206[[#This Row],[Volume (in 1000 kg)]]&gt;$T$7,Копия_20206[[#This Row],[Volume (in 1000 kg)]]&lt;$T$6),"outlier","not outlier")</f>
        <v>not outlier</v>
      </c>
      <c r="M1222" s="4" t="str">
        <f>IF(OR(Копия_20206[[#This Row],[Number of stores]]&gt;$U$7,Копия_20206[[#This Row],[Number of stores]]&lt;$U$6),"outlier","not outlier")</f>
        <v>not outlier</v>
      </c>
    </row>
    <row r="1223" spans="1:13" x14ac:dyDescent="0.25">
      <c r="A1223">
        <v>2021</v>
      </c>
      <c r="B1223">
        <v>9</v>
      </c>
      <c r="C1223" s="1" t="s">
        <v>29</v>
      </c>
      <c r="D1223" s="1" t="s">
        <v>38</v>
      </c>
      <c r="E1223" s="1" t="s">
        <v>11</v>
      </c>
      <c r="F1223" s="4">
        <v>6.0693999999999999</v>
      </c>
      <c r="G1223" s="4">
        <v>471.93084700000003</v>
      </c>
      <c r="H1223" s="4">
        <v>2.3367</v>
      </c>
      <c r="I1223">
        <v>4266</v>
      </c>
      <c r="J1223" s="4" t="str">
        <f>IF(OR(Копия_20206[[#This Row],[Units (in 1000)]]&gt;$R$7,Копия_20206[[#This Row],[Units (in 1000)]]&lt;$R$6),"outlier","not outlier")</f>
        <v>not outlier</v>
      </c>
      <c r="K1223" s="4" t="str">
        <f>IF(OR(Копия_20206[[#This Row],[Value (in 1000 rub)]]&gt;$S$7,Копия_20206[[#This Row],[Value (in 1000 rub)]]&lt;$S$6),"outlier","not outlier")</f>
        <v>not outlier</v>
      </c>
      <c r="L1223" s="4" t="str">
        <f>IF(OR(Копия_20206[[#This Row],[Volume (in 1000 kg)]]&gt;$T$7,Копия_20206[[#This Row],[Volume (in 1000 kg)]]&lt;$T$6),"outlier","not outlier")</f>
        <v>not outlier</v>
      </c>
      <c r="M1223" s="4" t="str">
        <f>IF(OR(Копия_20206[[#This Row],[Number of stores]]&gt;$U$7,Копия_20206[[#This Row],[Number of stores]]&lt;$U$6),"outlier","not outlier")</f>
        <v>outlier</v>
      </c>
    </row>
    <row r="1224" spans="1:13" x14ac:dyDescent="0.25">
      <c r="A1224">
        <v>2021</v>
      </c>
      <c r="B1224">
        <v>9</v>
      </c>
      <c r="C1224" s="1" t="s">
        <v>29</v>
      </c>
      <c r="D1224" s="1" t="s">
        <v>38</v>
      </c>
      <c r="E1224" s="1" t="s">
        <v>12</v>
      </c>
      <c r="F1224" s="4">
        <v>7.0548999999999999</v>
      </c>
      <c r="G1224" s="4">
        <v>458.48649599999999</v>
      </c>
      <c r="H1224" s="4">
        <v>3.4569000000000001</v>
      </c>
      <c r="I1224">
        <v>3606</v>
      </c>
      <c r="J1224" s="4" t="str">
        <f>IF(OR(Копия_20206[[#This Row],[Units (in 1000)]]&gt;$R$7,Копия_20206[[#This Row],[Units (in 1000)]]&lt;$R$6),"outlier","not outlier")</f>
        <v>not outlier</v>
      </c>
      <c r="K1224" s="4" t="str">
        <f>IF(OR(Копия_20206[[#This Row],[Value (in 1000 rub)]]&gt;$S$7,Копия_20206[[#This Row],[Value (in 1000 rub)]]&lt;$S$6),"outlier","not outlier")</f>
        <v>not outlier</v>
      </c>
      <c r="L1224" s="4" t="str">
        <f>IF(OR(Копия_20206[[#This Row],[Volume (in 1000 kg)]]&gt;$T$7,Копия_20206[[#This Row],[Volume (in 1000 kg)]]&lt;$T$6),"outlier","not outlier")</f>
        <v>not outlier</v>
      </c>
      <c r="M1224" s="4" t="str">
        <f>IF(OR(Копия_20206[[#This Row],[Number of stores]]&gt;$U$7,Копия_20206[[#This Row],[Number of stores]]&lt;$U$6),"outlier","not outlier")</f>
        <v>outlier</v>
      </c>
    </row>
    <row r="1225" spans="1:13" x14ac:dyDescent="0.25">
      <c r="A1225">
        <v>2021</v>
      </c>
      <c r="B1225">
        <v>10</v>
      </c>
      <c r="C1225" s="1" t="s">
        <v>25</v>
      </c>
      <c r="D1225" s="1" t="s">
        <v>38</v>
      </c>
      <c r="E1225" s="1" t="s">
        <v>11</v>
      </c>
      <c r="F1225" s="4">
        <v>2.415</v>
      </c>
      <c r="G1225" s="4">
        <v>163.86748800000001</v>
      </c>
      <c r="H1225" s="4">
        <v>0.92969999999999997</v>
      </c>
      <c r="I1225">
        <v>1028</v>
      </c>
      <c r="J1225" s="4" t="str">
        <f>IF(OR(Копия_20206[[#This Row],[Units (in 1000)]]&gt;$R$7,Копия_20206[[#This Row],[Units (in 1000)]]&lt;$R$6),"outlier","not outlier")</f>
        <v>not outlier</v>
      </c>
      <c r="K1225" s="4" t="str">
        <f>IF(OR(Копия_20206[[#This Row],[Value (in 1000 rub)]]&gt;$S$7,Копия_20206[[#This Row],[Value (in 1000 rub)]]&lt;$S$6),"outlier","not outlier")</f>
        <v>not outlier</v>
      </c>
      <c r="L1225" s="4" t="str">
        <f>IF(OR(Копия_20206[[#This Row],[Volume (in 1000 kg)]]&gt;$T$7,Копия_20206[[#This Row],[Volume (in 1000 kg)]]&lt;$T$6),"outlier","not outlier")</f>
        <v>not outlier</v>
      </c>
      <c r="M1225" s="4" t="str">
        <f>IF(OR(Копия_20206[[#This Row],[Number of stores]]&gt;$U$7,Копия_20206[[#This Row],[Number of stores]]&lt;$U$6),"outlier","not outlier")</f>
        <v>not outlier</v>
      </c>
    </row>
    <row r="1226" spans="1:13" x14ac:dyDescent="0.25">
      <c r="A1226">
        <v>2021</v>
      </c>
      <c r="B1226">
        <v>10</v>
      </c>
      <c r="C1226" s="1" t="s">
        <v>25</v>
      </c>
      <c r="D1226" s="1" t="s">
        <v>38</v>
      </c>
      <c r="E1226" s="1" t="s">
        <v>12</v>
      </c>
      <c r="F1226" s="4">
        <v>2.2058</v>
      </c>
      <c r="G1226" s="4">
        <v>155.75825599999999</v>
      </c>
      <c r="H1226" s="4">
        <v>1.0809</v>
      </c>
      <c r="I1226">
        <v>1367</v>
      </c>
      <c r="J1226" s="4" t="str">
        <f>IF(OR(Копия_20206[[#This Row],[Units (in 1000)]]&gt;$R$7,Копия_20206[[#This Row],[Units (in 1000)]]&lt;$R$6),"outlier","not outlier")</f>
        <v>not outlier</v>
      </c>
      <c r="K1226" s="4" t="str">
        <f>IF(OR(Копия_20206[[#This Row],[Value (in 1000 rub)]]&gt;$S$7,Копия_20206[[#This Row],[Value (in 1000 rub)]]&lt;$S$6),"outlier","not outlier")</f>
        <v>not outlier</v>
      </c>
      <c r="L1226" s="4" t="str">
        <f>IF(OR(Копия_20206[[#This Row],[Volume (in 1000 kg)]]&gt;$T$7,Копия_20206[[#This Row],[Volume (in 1000 kg)]]&lt;$T$6),"outlier","not outlier")</f>
        <v>not outlier</v>
      </c>
      <c r="M1226" s="4" t="str">
        <f>IF(OR(Копия_20206[[#This Row],[Number of stores]]&gt;$U$7,Копия_20206[[#This Row],[Number of stores]]&lt;$U$6),"outlier","not outlier")</f>
        <v>not outlier</v>
      </c>
    </row>
    <row r="1227" spans="1:13" x14ac:dyDescent="0.25">
      <c r="A1227">
        <v>2021</v>
      </c>
      <c r="B1227">
        <v>10</v>
      </c>
      <c r="C1227" s="1" t="s">
        <v>29</v>
      </c>
      <c r="D1227" s="1" t="s">
        <v>38</v>
      </c>
      <c r="E1227" s="1" t="s">
        <v>11</v>
      </c>
      <c r="F1227" s="4">
        <v>8.6252999999999993</v>
      </c>
      <c r="G1227" s="4">
        <v>595.80271500000003</v>
      </c>
      <c r="H1227" s="4">
        <v>3.3207</v>
      </c>
      <c r="I1227">
        <v>2973</v>
      </c>
      <c r="J1227" s="4" t="str">
        <f>IF(OR(Копия_20206[[#This Row],[Units (in 1000)]]&gt;$R$7,Копия_20206[[#This Row],[Units (in 1000)]]&lt;$R$6),"outlier","not outlier")</f>
        <v>not outlier</v>
      </c>
      <c r="K1227" s="4" t="str">
        <f>IF(OR(Копия_20206[[#This Row],[Value (in 1000 rub)]]&gt;$S$7,Копия_20206[[#This Row],[Value (in 1000 rub)]]&lt;$S$6),"outlier","not outlier")</f>
        <v>not outlier</v>
      </c>
      <c r="L1227" s="4" t="str">
        <f>IF(OR(Копия_20206[[#This Row],[Volume (in 1000 kg)]]&gt;$T$7,Копия_20206[[#This Row],[Volume (in 1000 kg)]]&lt;$T$6),"outlier","not outlier")</f>
        <v>not outlier</v>
      </c>
      <c r="M1227" s="4" t="str">
        <f>IF(OR(Копия_20206[[#This Row],[Number of stores]]&gt;$U$7,Копия_20206[[#This Row],[Number of stores]]&lt;$U$6),"outlier","not outlier")</f>
        <v>outlier</v>
      </c>
    </row>
    <row r="1228" spans="1:13" x14ac:dyDescent="0.25">
      <c r="A1228">
        <v>2021</v>
      </c>
      <c r="B1228">
        <v>10</v>
      </c>
      <c r="C1228" s="1" t="s">
        <v>29</v>
      </c>
      <c r="D1228" s="1" t="s">
        <v>38</v>
      </c>
      <c r="E1228" s="1" t="s">
        <v>12</v>
      </c>
      <c r="F1228" s="4">
        <v>3.7985000000000002</v>
      </c>
      <c r="G1228" s="4">
        <v>275.08570500000002</v>
      </c>
      <c r="H1228" s="4">
        <v>1.8613</v>
      </c>
      <c r="I1228">
        <v>1927</v>
      </c>
      <c r="J1228" s="4" t="str">
        <f>IF(OR(Копия_20206[[#This Row],[Units (in 1000)]]&gt;$R$7,Копия_20206[[#This Row],[Units (in 1000)]]&lt;$R$6),"outlier","not outlier")</f>
        <v>not outlier</v>
      </c>
      <c r="K1228" s="4" t="str">
        <f>IF(OR(Копия_20206[[#This Row],[Value (in 1000 rub)]]&gt;$S$7,Копия_20206[[#This Row],[Value (in 1000 rub)]]&lt;$S$6),"outlier","not outlier")</f>
        <v>not outlier</v>
      </c>
      <c r="L1228" s="4" t="str">
        <f>IF(OR(Копия_20206[[#This Row],[Volume (in 1000 kg)]]&gt;$T$7,Копия_20206[[#This Row],[Volume (in 1000 kg)]]&lt;$T$6),"outlier","not outlier")</f>
        <v>not outlier</v>
      </c>
      <c r="M1228" s="4" t="str">
        <f>IF(OR(Копия_20206[[#This Row],[Number of stores]]&gt;$U$7,Копия_20206[[#This Row],[Number of stores]]&lt;$U$6),"outlier","not outlier")</f>
        <v>not outlier</v>
      </c>
    </row>
    <row r="1229" spans="1:13" x14ac:dyDescent="0.25">
      <c r="A1229">
        <v>2021</v>
      </c>
      <c r="B1229">
        <v>11</v>
      </c>
      <c r="C1229" s="1" t="s">
        <v>25</v>
      </c>
      <c r="D1229" s="1" t="s">
        <v>38</v>
      </c>
      <c r="E1229" s="1" t="s">
        <v>11</v>
      </c>
      <c r="F1229" s="4">
        <v>2.6768000000000001</v>
      </c>
      <c r="G1229" s="4">
        <v>167.30194399999999</v>
      </c>
      <c r="H1229" s="4">
        <v>1.0306</v>
      </c>
      <c r="I1229">
        <v>788</v>
      </c>
      <c r="J1229" s="4" t="str">
        <f>IF(OR(Копия_20206[[#This Row],[Units (in 1000)]]&gt;$R$7,Копия_20206[[#This Row],[Units (in 1000)]]&lt;$R$6),"outlier","not outlier")</f>
        <v>not outlier</v>
      </c>
      <c r="K1229" s="4" t="str">
        <f>IF(OR(Копия_20206[[#This Row],[Value (in 1000 rub)]]&gt;$S$7,Копия_20206[[#This Row],[Value (in 1000 rub)]]&lt;$S$6),"outlier","not outlier")</f>
        <v>not outlier</v>
      </c>
      <c r="L1229" s="4" t="str">
        <f>IF(OR(Копия_20206[[#This Row],[Volume (in 1000 kg)]]&gt;$T$7,Копия_20206[[#This Row],[Volume (in 1000 kg)]]&lt;$T$6),"outlier","not outlier")</f>
        <v>not outlier</v>
      </c>
      <c r="M1229" s="4" t="str">
        <f>IF(OR(Копия_20206[[#This Row],[Number of stores]]&gt;$U$7,Копия_20206[[#This Row],[Number of stores]]&lt;$U$6),"outlier","not outlier")</f>
        <v>not outlier</v>
      </c>
    </row>
    <row r="1230" spans="1:13" x14ac:dyDescent="0.25">
      <c r="A1230">
        <v>2021</v>
      </c>
      <c r="B1230">
        <v>11</v>
      </c>
      <c r="C1230" s="1" t="s">
        <v>25</v>
      </c>
      <c r="D1230" s="1" t="s">
        <v>38</v>
      </c>
      <c r="E1230" s="1" t="s">
        <v>12</v>
      </c>
      <c r="F1230" s="4">
        <v>1.2911999999999999</v>
      </c>
      <c r="G1230" s="4">
        <v>91.374932000000001</v>
      </c>
      <c r="H1230" s="4">
        <v>0.63270000000000004</v>
      </c>
      <c r="I1230">
        <v>1002</v>
      </c>
      <c r="J1230" s="4" t="str">
        <f>IF(OR(Копия_20206[[#This Row],[Units (in 1000)]]&gt;$R$7,Копия_20206[[#This Row],[Units (in 1000)]]&lt;$R$6),"outlier","not outlier")</f>
        <v>not outlier</v>
      </c>
      <c r="K1230" s="4" t="str">
        <f>IF(OR(Копия_20206[[#This Row],[Value (in 1000 rub)]]&gt;$S$7,Копия_20206[[#This Row],[Value (in 1000 rub)]]&lt;$S$6),"outlier","not outlier")</f>
        <v>not outlier</v>
      </c>
      <c r="L1230" s="4" t="str">
        <f>IF(OR(Копия_20206[[#This Row],[Volume (in 1000 kg)]]&gt;$T$7,Копия_20206[[#This Row],[Volume (in 1000 kg)]]&lt;$T$6),"outlier","not outlier")</f>
        <v>not outlier</v>
      </c>
      <c r="M1230" s="4" t="str">
        <f>IF(OR(Копия_20206[[#This Row],[Number of stores]]&gt;$U$7,Копия_20206[[#This Row],[Number of stores]]&lt;$U$6),"outlier","not outlier")</f>
        <v>not outlier</v>
      </c>
    </row>
    <row r="1231" spans="1:13" x14ac:dyDescent="0.25">
      <c r="A1231">
        <v>2021</v>
      </c>
      <c r="B1231">
        <v>11</v>
      </c>
      <c r="C1231" s="1" t="s">
        <v>29</v>
      </c>
      <c r="D1231" s="1" t="s">
        <v>38</v>
      </c>
      <c r="E1231" s="1" t="s">
        <v>11</v>
      </c>
      <c r="F1231" s="4">
        <v>8.0768000000000004</v>
      </c>
      <c r="G1231" s="4">
        <v>479.585418</v>
      </c>
      <c r="H1231" s="4">
        <v>3.1095999999999999</v>
      </c>
      <c r="I1231">
        <v>2321</v>
      </c>
      <c r="J1231" s="4" t="str">
        <f>IF(OR(Копия_20206[[#This Row],[Units (in 1000)]]&gt;$R$7,Копия_20206[[#This Row],[Units (in 1000)]]&lt;$R$6),"outlier","not outlier")</f>
        <v>not outlier</v>
      </c>
      <c r="K1231" s="4" t="str">
        <f>IF(OR(Копия_20206[[#This Row],[Value (in 1000 rub)]]&gt;$S$7,Копия_20206[[#This Row],[Value (in 1000 rub)]]&lt;$S$6),"outlier","not outlier")</f>
        <v>not outlier</v>
      </c>
      <c r="L1231" s="4" t="str">
        <f>IF(OR(Копия_20206[[#This Row],[Volume (in 1000 kg)]]&gt;$T$7,Копия_20206[[#This Row],[Volume (in 1000 kg)]]&lt;$T$6),"outlier","not outlier")</f>
        <v>not outlier</v>
      </c>
      <c r="M1231" s="4" t="str">
        <f>IF(OR(Копия_20206[[#This Row],[Number of stores]]&gt;$U$7,Копия_20206[[#This Row],[Number of stores]]&lt;$U$6),"outlier","not outlier")</f>
        <v>not outlier</v>
      </c>
    </row>
    <row r="1232" spans="1:13" x14ac:dyDescent="0.25">
      <c r="A1232">
        <v>2021</v>
      </c>
      <c r="B1232">
        <v>11</v>
      </c>
      <c r="C1232" s="1" t="s">
        <v>29</v>
      </c>
      <c r="D1232" s="1" t="s">
        <v>38</v>
      </c>
      <c r="E1232" s="1" t="s">
        <v>12</v>
      </c>
      <c r="F1232" s="4">
        <v>1.7141</v>
      </c>
      <c r="G1232" s="4">
        <v>119.78602100000001</v>
      </c>
      <c r="H1232" s="4">
        <v>0.83989999999999998</v>
      </c>
      <c r="I1232">
        <v>1202</v>
      </c>
      <c r="J1232" s="4" t="str">
        <f>IF(OR(Копия_20206[[#This Row],[Units (in 1000)]]&gt;$R$7,Копия_20206[[#This Row],[Units (in 1000)]]&lt;$R$6),"outlier","not outlier")</f>
        <v>not outlier</v>
      </c>
      <c r="K1232" s="4" t="str">
        <f>IF(OR(Копия_20206[[#This Row],[Value (in 1000 rub)]]&gt;$S$7,Копия_20206[[#This Row],[Value (in 1000 rub)]]&lt;$S$6),"outlier","not outlier")</f>
        <v>not outlier</v>
      </c>
      <c r="L1232" s="4" t="str">
        <f>IF(OR(Копия_20206[[#This Row],[Volume (in 1000 kg)]]&gt;$T$7,Копия_20206[[#This Row],[Volume (in 1000 kg)]]&lt;$T$6),"outlier","not outlier")</f>
        <v>not outlier</v>
      </c>
      <c r="M1232" s="4" t="str">
        <f>IF(OR(Копия_20206[[#This Row],[Number of stores]]&gt;$U$7,Копия_20206[[#This Row],[Number of stores]]&lt;$U$6),"outlier","not outlier")</f>
        <v>not outlier</v>
      </c>
    </row>
    <row r="1233" spans="1:13" x14ac:dyDescent="0.25">
      <c r="A1233">
        <v>2021</v>
      </c>
      <c r="B1233">
        <v>12</v>
      </c>
      <c r="C1233" s="1" t="s">
        <v>25</v>
      </c>
      <c r="D1233" s="1" t="s">
        <v>38</v>
      </c>
      <c r="E1233" s="1" t="s">
        <v>11</v>
      </c>
      <c r="F1233" s="4">
        <v>2.3610000000000002</v>
      </c>
      <c r="G1233" s="4">
        <v>171.533862</v>
      </c>
      <c r="H1233" s="4">
        <v>0.90900000000000003</v>
      </c>
      <c r="I1233">
        <v>785</v>
      </c>
      <c r="J1233" s="4" t="str">
        <f>IF(OR(Копия_20206[[#This Row],[Units (in 1000)]]&gt;$R$7,Копия_20206[[#This Row],[Units (in 1000)]]&lt;$R$6),"outlier","not outlier")</f>
        <v>not outlier</v>
      </c>
      <c r="K1233" s="4" t="str">
        <f>IF(OR(Копия_20206[[#This Row],[Value (in 1000 rub)]]&gt;$S$7,Копия_20206[[#This Row],[Value (in 1000 rub)]]&lt;$S$6),"outlier","not outlier")</f>
        <v>not outlier</v>
      </c>
      <c r="L1233" s="4" t="str">
        <f>IF(OR(Копия_20206[[#This Row],[Volume (in 1000 kg)]]&gt;$T$7,Копия_20206[[#This Row],[Volume (in 1000 kg)]]&lt;$T$6),"outlier","not outlier")</f>
        <v>not outlier</v>
      </c>
      <c r="M1233" s="4" t="str">
        <f>IF(OR(Копия_20206[[#This Row],[Number of stores]]&gt;$U$7,Копия_20206[[#This Row],[Number of stores]]&lt;$U$6),"outlier","not outlier")</f>
        <v>not outlier</v>
      </c>
    </row>
    <row r="1234" spans="1:13" x14ac:dyDescent="0.25">
      <c r="A1234">
        <v>2021</v>
      </c>
      <c r="B1234">
        <v>12</v>
      </c>
      <c r="C1234" s="1" t="s">
        <v>25</v>
      </c>
      <c r="D1234" s="1" t="s">
        <v>38</v>
      </c>
      <c r="E1234" s="1" t="s">
        <v>12</v>
      </c>
      <c r="F1234" s="4">
        <v>0.69650000000000001</v>
      </c>
      <c r="G1234" s="4">
        <v>55.380153</v>
      </c>
      <c r="H1234" s="4">
        <v>0.34129999999999999</v>
      </c>
      <c r="I1234">
        <v>408</v>
      </c>
      <c r="J1234" s="4" t="str">
        <f>IF(OR(Копия_20206[[#This Row],[Units (in 1000)]]&gt;$R$7,Копия_20206[[#This Row],[Units (in 1000)]]&lt;$R$6),"outlier","not outlier")</f>
        <v>not outlier</v>
      </c>
      <c r="K1234" s="4" t="str">
        <f>IF(OR(Копия_20206[[#This Row],[Value (in 1000 rub)]]&gt;$S$7,Копия_20206[[#This Row],[Value (in 1000 rub)]]&lt;$S$6),"outlier","not outlier")</f>
        <v>not outlier</v>
      </c>
      <c r="L1234" s="4" t="str">
        <f>IF(OR(Копия_20206[[#This Row],[Volume (in 1000 kg)]]&gt;$T$7,Копия_20206[[#This Row],[Volume (in 1000 kg)]]&lt;$T$6),"outlier","not outlier")</f>
        <v>not outlier</v>
      </c>
      <c r="M1234" s="4" t="str">
        <f>IF(OR(Копия_20206[[#This Row],[Number of stores]]&gt;$U$7,Копия_20206[[#This Row],[Number of stores]]&lt;$U$6),"outlier","not outlier")</f>
        <v>not outlier</v>
      </c>
    </row>
    <row r="1235" spans="1:13" x14ac:dyDescent="0.25">
      <c r="A1235">
        <v>2021</v>
      </c>
      <c r="B1235">
        <v>12</v>
      </c>
      <c r="C1235" s="1" t="s">
        <v>29</v>
      </c>
      <c r="D1235" s="1" t="s">
        <v>38</v>
      </c>
      <c r="E1235" s="1" t="s">
        <v>11</v>
      </c>
      <c r="F1235" s="4">
        <v>3.5261999999999998</v>
      </c>
      <c r="G1235" s="4">
        <v>303.53724</v>
      </c>
      <c r="H1235" s="4">
        <v>1.3575999999999999</v>
      </c>
      <c r="I1235">
        <v>1857</v>
      </c>
      <c r="J1235" s="4" t="str">
        <f>IF(OR(Копия_20206[[#This Row],[Units (in 1000)]]&gt;$R$7,Копия_20206[[#This Row],[Units (in 1000)]]&lt;$R$6),"outlier","not outlier")</f>
        <v>not outlier</v>
      </c>
      <c r="K1235" s="4" t="str">
        <f>IF(OR(Копия_20206[[#This Row],[Value (in 1000 rub)]]&gt;$S$7,Копия_20206[[#This Row],[Value (in 1000 rub)]]&lt;$S$6),"outlier","not outlier")</f>
        <v>not outlier</v>
      </c>
      <c r="L1235" s="4" t="str">
        <f>IF(OR(Копия_20206[[#This Row],[Volume (in 1000 kg)]]&gt;$T$7,Копия_20206[[#This Row],[Volume (in 1000 kg)]]&lt;$T$6),"outlier","not outlier")</f>
        <v>not outlier</v>
      </c>
      <c r="M1235" s="4" t="str">
        <f>IF(OR(Копия_20206[[#This Row],[Number of stores]]&gt;$U$7,Копия_20206[[#This Row],[Number of stores]]&lt;$U$6),"outlier","not outlier")</f>
        <v>not outlier</v>
      </c>
    </row>
    <row r="1236" spans="1:13" x14ac:dyDescent="0.25">
      <c r="A1236">
        <v>2021</v>
      </c>
      <c r="B1236">
        <v>12</v>
      </c>
      <c r="C1236" s="1" t="s">
        <v>29</v>
      </c>
      <c r="D1236" s="1" t="s">
        <v>38</v>
      </c>
      <c r="E1236" s="1" t="s">
        <v>12</v>
      </c>
      <c r="F1236" s="4">
        <v>0.58360000000000001</v>
      </c>
      <c r="G1236" s="4">
        <v>45.059480999999998</v>
      </c>
      <c r="H1236" s="4">
        <v>0.28599999999999998</v>
      </c>
      <c r="I1236">
        <v>483</v>
      </c>
      <c r="J1236" s="4" t="str">
        <f>IF(OR(Копия_20206[[#This Row],[Units (in 1000)]]&gt;$R$7,Копия_20206[[#This Row],[Units (in 1000)]]&lt;$R$6),"outlier","not outlier")</f>
        <v>not outlier</v>
      </c>
      <c r="K1236" s="4" t="str">
        <f>IF(OR(Копия_20206[[#This Row],[Value (in 1000 rub)]]&gt;$S$7,Копия_20206[[#This Row],[Value (in 1000 rub)]]&lt;$S$6),"outlier","not outlier")</f>
        <v>not outlier</v>
      </c>
      <c r="L1236" s="4" t="str">
        <f>IF(OR(Копия_20206[[#This Row],[Volume (in 1000 kg)]]&gt;$T$7,Копия_20206[[#This Row],[Volume (in 1000 kg)]]&lt;$T$6),"outlier","not outlier")</f>
        <v>not outlier</v>
      </c>
      <c r="M1236" s="4" t="str">
        <f>IF(OR(Копия_20206[[#This Row],[Number of stores]]&gt;$U$7,Копия_20206[[#This Row],[Number of stores]]&lt;$U$6),"outlier","not outlier")</f>
        <v>not outlier</v>
      </c>
    </row>
    <row r="1237" spans="1:13" x14ac:dyDescent="0.25">
      <c r="A1237">
        <v>2021</v>
      </c>
      <c r="B1237">
        <v>9</v>
      </c>
      <c r="C1237" s="1" t="s">
        <v>8</v>
      </c>
      <c r="D1237" s="1" t="s">
        <v>43</v>
      </c>
      <c r="E1237" s="1" t="s">
        <v>12</v>
      </c>
      <c r="F1237" s="4">
        <v>0.1928</v>
      </c>
      <c r="G1237" s="4">
        <v>34.859684999999999</v>
      </c>
      <c r="H1237" s="4">
        <v>9.64E-2</v>
      </c>
      <c r="I1237">
        <v>0</v>
      </c>
      <c r="J1237" s="4" t="str">
        <f>IF(OR(Копия_20206[[#This Row],[Units (in 1000)]]&gt;$R$7,Копия_20206[[#This Row],[Units (in 1000)]]&lt;$R$6),"outlier","not outlier")</f>
        <v>not outlier</v>
      </c>
      <c r="K1237" s="4" t="str">
        <f>IF(OR(Копия_20206[[#This Row],[Value (in 1000 rub)]]&gt;$S$7,Копия_20206[[#This Row],[Value (in 1000 rub)]]&lt;$S$6),"outlier","not outlier")</f>
        <v>not outlier</v>
      </c>
      <c r="L1237" s="4" t="str">
        <f>IF(OR(Копия_20206[[#This Row],[Volume (in 1000 kg)]]&gt;$T$7,Копия_20206[[#This Row],[Volume (in 1000 kg)]]&lt;$T$6),"outlier","not outlier")</f>
        <v>not outlier</v>
      </c>
      <c r="M1237" s="4" t="str">
        <f>IF(OR(Копия_20206[[#This Row],[Number of stores]]&gt;$U$7,Копия_20206[[#This Row],[Number of stores]]&lt;$U$6),"outlier","not outlier")</f>
        <v>not outlier</v>
      </c>
    </row>
    <row r="1238" spans="1:13" x14ac:dyDescent="0.25">
      <c r="A1238">
        <v>2021</v>
      </c>
      <c r="B1238">
        <v>10</v>
      </c>
      <c r="C1238" s="1" t="s">
        <v>8</v>
      </c>
      <c r="D1238" s="1" t="s">
        <v>43</v>
      </c>
      <c r="E1238" s="1" t="s">
        <v>12</v>
      </c>
      <c r="F1238" s="4">
        <v>0.17879999999999999</v>
      </c>
      <c r="G1238" s="4">
        <v>30.823634999999999</v>
      </c>
      <c r="H1238" s="4">
        <v>8.9399999999999993E-2</v>
      </c>
      <c r="I1238">
        <v>0</v>
      </c>
      <c r="J1238" s="4" t="str">
        <f>IF(OR(Копия_20206[[#This Row],[Units (in 1000)]]&gt;$R$7,Копия_20206[[#This Row],[Units (in 1000)]]&lt;$R$6),"outlier","not outlier")</f>
        <v>not outlier</v>
      </c>
      <c r="K1238" s="4" t="str">
        <f>IF(OR(Копия_20206[[#This Row],[Value (in 1000 rub)]]&gt;$S$7,Копия_20206[[#This Row],[Value (in 1000 rub)]]&lt;$S$6),"outlier","not outlier")</f>
        <v>not outlier</v>
      </c>
      <c r="L1238" s="4" t="str">
        <f>IF(OR(Копия_20206[[#This Row],[Volume (in 1000 kg)]]&gt;$T$7,Копия_20206[[#This Row],[Volume (in 1000 kg)]]&lt;$T$6),"outlier","not outlier")</f>
        <v>not outlier</v>
      </c>
      <c r="M1238" s="4" t="str">
        <f>IF(OR(Копия_20206[[#This Row],[Number of stores]]&gt;$U$7,Копия_20206[[#This Row],[Number of stores]]&lt;$U$6),"outlier","not outlier")</f>
        <v>not outlier</v>
      </c>
    </row>
    <row r="1239" spans="1:13" x14ac:dyDescent="0.25">
      <c r="A1239">
        <v>2021</v>
      </c>
      <c r="B1239">
        <v>9</v>
      </c>
      <c r="C1239" s="1" t="s">
        <v>25</v>
      </c>
      <c r="D1239" s="1" t="s">
        <v>44</v>
      </c>
      <c r="E1239" s="1" t="s">
        <v>11</v>
      </c>
      <c r="F1239" s="4">
        <v>1.7236</v>
      </c>
      <c r="G1239" s="4">
        <v>68.770531000000005</v>
      </c>
      <c r="H1239" s="4">
        <v>0.60329999999999995</v>
      </c>
      <c r="I1239">
        <v>188</v>
      </c>
      <c r="J1239" s="4" t="str">
        <f>IF(OR(Копия_20206[[#This Row],[Units (in 1000)]]&gt;$R$7,Копия_20206[[#This Row],[Units (in 1000)]]&lt;$R$6),"outlier","not outlier")</f>
        <v>not outlier</v>
      </c>
      <c r="K1239" s="4" t="str">
        <f>IF(OR(Копия_20206[[#This Row],[Value (in 1000 rub)]]&gt;$S$7,Копия_20206[[#This Row],[Value (in 1000 rub)]]&lt;$S$6),"outlier","not outlier")</f>
        <v>not outlier</v>
      </c>
      <c r="L1239" s="4" t="str">
        <f>IF(OR(Копия_20206[[#This Row],[Volume (in 1000 kg)]]&gt;$T$7,Копия_20206[[#This Row],[Volume (in 1000 kg)]]&lt;$T$6),"outlier","not outlier")</f>
        <v>not outlier</v>
      </c>
      <c r="M1239" s="4" t="str">
        <f>IF(OR(Копия_20206[[#This Row],[Number of stores]]&gt;$U$7,Копия_20206[[#This Row],[Number of stores]]&lt;$U$6),"outlier","not outlier")</f>
        <v>not outlier</v>
      </c>
    </row>
    <row r="1240" spans="1:13" x14ac:dyDescent="0.25">
      <c r="A1240">
        <v>2021</v>
      </c>
      <c r="B1240">
        <v>12</v>
      </c>
      <c r="C1240" s="1" t="s">
        <v>25</v>
      </c>
      <c r="D1240" s="1" t="s">
        <v>44</v>
      </c>
      <c r="E1240" s="1" t="s">
        <v>11</v>
      </c>
      <c r="F1240" s="4">
        <v>2.4750999999999999</v>
      </c>
      <c r="G1240" s="4">
        <v>121.583181</v>
      </c>
      <c r="H1240" s="4">
        <v>0.86629999999999996</v>
      </c>
      <c r="I1240">
        <v>429</v>
      </c>
      <c r="J1240" s="4" t="str">
        <f>IF(OR(Копия_20206[[#This Row],[Units (in 1000)]]&gt;$R$7,Копия_20206[[#This Row],[Units (in 1000)]]&lt;$R$6),"outlier","not outlier")</f>
        <v>not outlier</v>
      </c>
      <c r="K1240" s="4" t="str">
        <f>IF(OR(Копия_20206[[#This Row],[Value (in 1000 rub)]]&gt;$S$7,Копия_20206[[#This Row],[Value (in 1000 rub)]]&lt;$S$6),"outlier","not outlier")</f>
        <v>not outlier</v>
      </c>
      <c r="L1240" s="4" t="str">
        <f>IF(OR(Копия_20206[[#This Row],[Volume (in 1000 kg)]]&gt;$T$7,Копия_20206[[#This Row],[Volume (in 1000 kg)]]&lt;$T$6),"outlier","not outlier")</f>
        <v>not outlier</v>
      </c>
      <c r="M1240" s="4" t="str">
        <f>IF(OR(Копия_20206[[#This Row],[Number of stores]]&gt;$U$7,Копия_20206[[#This Row],[Number of stores]]&lt;$U$6),"outlier","not outlier")</f>
        <v>not outlier</v>
      </c>
    </row>
    <row r="1241" spans="1:13" x14ac:dyDescent="0.25">
      <c r="A1241">
        <v>2021</v>
      </c>
      <c r="B1241">
        <v>3</v>
      </c>
      <c r="C1241" s="1" t="s">
        <v>25</v>
      </c>
      <c r="D1241" s="1" t="s">
        <v>36</v>
      </c>
      <c r="E1241" s="1" t="s">
        <v>35</v>
      </c>
      <c r="F1241" s="4">
        <v>0.25309999999999999</v>
      </c>
      <c r="G1241" s="4">
        <v>50.093305000000001</v>
      </c>
      <c r="H1241" s="4">
        <v>8.1000000000000003E-2</v>
      </c>
      <c r="I1241">
        <v>0</v>
      </c>
      <c r="J1241" s="4" t="str">
        <f>IF(OR(Копия_20206[[#This Row],[Units (in 1000)]]&gt;$R$7,Копия_20206[[#This Row],[Units (in 1000)]]&lt;$R$6),"outlier","not outlier")</f>
        <v>not outlier</v>
      </c>
      <c r="K1241" s="4" t="str">
        <f>IF(OR(Копия_20206[[#This Row],[Value (in 1000 rub)]]&gt;$S$7,Копия_20206[[#This Row],[Value (in 1000 rub)]]&lt;$S$6),"outlier","not outlier")</f>
        <v>not outlier</v>
      </c>
      <c r="L1241" s="4" t="str">
        <f>IF(OR(Копия_20206[[#This Row],[Volume (in 1000 kg)]]&gt;$T$7,Копия_20206[[#This Row],[Volume (in 1000 kg)]]&lt;$T$6),"outlier","not outlier")</f>
        <v>not outlier</v>
      </c>
      <c r="M1241" s="4" t="str">
        <f>IF(OR(Копия_20206[[#This Row],[Number of stores]]&gt;$U$7,Копия_20206[[#This Row],[Number of stores]]&lt;$U$6),"outlier","not outlier")</f>
        <v>not outlier</v>
      </c>
    </row>
    <row r="1242" spans="1:13" x14ac:dyDescent="0.25">
      <c r="A1242">
        <v>2021</v>
      </c>
      <c r="B1242">
        <v>1</v>
      </c>
      <c r="C1242" s="1" t="s">
        <v>25</v>
      </c>
      <c r="D1242" s="1" t="s">
        <v>28</v>
      </c>
      <c r="E1242" s="1" t="s">
        <v>18</v>
      </c>
      <c r="F1242" s="4">
        <v>2.0299999999999999E-2</v>
      </c>
      <c r="G1242" s="4">
        <v>3.688142</v>
      </c>
      <c r="H1242" s="4">
        <v>3.5999999999999999E-3</v>
      </c>
      <c r="I1242">
        <v>0</v>
      </c>
      <c r="J1242" s="4" t="str">
        <f>IF(OR(Копия_20206[[#This Row],[Units (in 1000)]]&gt;$R$7,Копия_20206[[#This Row],[Units (in 1000)]]&lt;$R$6),"outlier","not outlier")</f>
        <v>not outlier</v>
      </c>
      <c r="K1242" s="4" t="str">
        <f>IF(OR(Копия_20206[[#This Row],[Value (in 1000 rub)]]&gt;$S$7,Копия_20206[[#This Row],[Value (in 1000 rub)]]&lt;$S$6),"outlier","not outlier")</f>
        <v>not outlier</v>
      </c>
      <c r="L1242" s="4" t="str">
        <f>IF(OR(Копия_20206[[#This Row],[Volume (in 1000 kg)]]&gt;$T$7,Копия_20206[[#This Row],[Volume (in 1000 kg)]]&lt;$T$6),"outlier","not outlier")</f>
        <v>not outlier</v>
      </c>
      <c r="M1242" s="4" t="str">
        <f>IF(OR(Копия_20206[[#This Row],[Number of stores]]&gt;$U$7,Копия_20206[[#This Row],[Number of stores]]&lt;$U$6),"outlier","not outlier")</f>
        <v>not outlier</v>
      </c>
    </row>
    <row r="1243" spans="1:13" x14ac:dyDescent="0.25">
      <c r="A1243">
        <v>2021</v>
      </c>
      <c r="B1243">
        <v>1</v>
      </c>
      <c r="C1243" s="1" t="s">
        <v>25</v>
      </c>
      <c r="D1243" s="1" t="s">
        <v>28</v>
      </c>
      <c r="E1243" s="1" t="s">
        <v>11</v>
      </c>
      <c r="F1243" s="4">
        <v>0.2341</v>
      </c>
      <c r="G1243" s="4">
        <v>52.410370999999998</v>
      </c>
      <c r="H1243" s="4">
        <v>8.2000000000000003E-2</v>
      </c>
      <c r="I1243">
        <v>0</v>
      </c>
      <c r="J1243" s="4" t="str">
        <f>IF(OR(Копия_20206[[#This Row],[Units (in 1000)]]&gt;$R$7,Копия_20206[[#This Row],[Units (in 1000)]]&lt;$R$6),"outlier","not outlier")</f>
        <v>not outlier</v>
      </c>
      <c r="K1243" s="4" t="str">
        <f>IF(OR(Копия_20206[[#This Row],[Value (in 1000 rub)]]&gt;$S$7,Копия_20206[[#This Row],[Value (in 1000 rub)]]&lt;$S$6),"outlier","not outlier")</f>
        <v>not outlier</v>
      </c>
      <c r="L1243" s="4" t="str">
        <f>IF(OR(Копия_20206[[#This Row],[Volume (in 1000 kg)]]&gt;$T$7,Копия_20206[[#This Row],[Volume (in 1000 kg)]]&lt;$T$6),"outlier","not outlier")</f>
        <v>not outlier</v>
      </c>
      <c r="M1243" s="4" t="str">
        <f>IF(OR(Копия_20206[[#This Row],[Number of stores]]&gt;$U$7,Копия_20206[[#This Row],[Number of stores]]&lt;$U$6),"outlier","not outlier")</f>
        <v>not outlier</v>
      </c>
    </row>
    <row r="1244" spans="1:13" x14ac:dyDescent="0.25">
      <c r="A1244">
        <v>2021</v>
      </c>
      <c r="B1244">
        <v>1</v>
      </c>
      <c r="C1244" s="1" t="s">
        <v>29</v>
      </c>
      <c r="D1244" s="1" t="s">
        <v>28</v>
      </c>
      <c r="E1244" s="1" t="s">
        <v>18</v>
      </c>
      <c r="F1244" s="4">
        <v>0.32469999999999999</v>
      </c>
      <c r="G1244" s="4">
        <v>59.056691999999998</v>
      </c>
      <c r="H1244" s="4">
        <v>5.8500000000000003E-2</v>
      </c>
      <c r="I1244">
        <v>75</v>
      </c>
      <c r="J1244" s="4" t="str">
        <f>IF(OR(Копия_20206[[#This Row],[Units (in 1000)]]&gt;$R$7,Копия_20206[[#This Row],[Units (in 1000)]]&lt;$R$6),"outlier","not outlier")</f>
        <v>not outlier</v>
      </c>
      <c r="K1244" s="4" t="str">
        <f>IF(OR(Копия_20206[[#This Row],[Value (in 1000 rub)]]&gt;$S$7,Копия_20206[[#This Row],[Value (in 1000 rub)]]&lt;$S$6),"outlier","not outlier")</f>
        <v>not outlier</v>
      </c>
      <c r="L1244" s="4" t="str">
        <f>IF(OR(Копия_20206[[#This Row],[Volume (in 1000 kg)]]&gt;$T$7,Копия_20206[[#This Row],[Volume (in 1000 kg)]]&lt;$T$6),"outlier","not outlier")</f>
        <v>not outlier</v>
      </c>
      <c r="M1244" s="4" t="str">
        <f>IF(OR(Копия_20206[[#This Row],[Number of stores]]&gt;$U$7,Копия_20206[[#This Row],[Number of stores]]&lt;$U$6),"outlier","not outlier")</f>
        <v>not outlier</v>
      </c>
    </row>
    <row r="1245" spans="1:13" x14ac:dyDescent="0.25">
      <c r="A1245">
        <v>2021</v>
      </c>
      <c r="B1245">
        <v>1</v>
      </c>
      <c r="C1245" s="1" t="s">
        <v>29</v>
      </c>
      <c r="D1245" s="1" t="s">
        <v>28</v>
      </c>
      <c r="E1245" s="1" t="s">
        <v>11</v>
      </c>
      <c r="F1245" s="4">
        <v>1.147</v>
      </c>
      <c r="G1245" s="4">
        <v>246.98121499999999</v>
      </c>
      <c r="H1245" s="4">
        <v>0.40150000000000002</v>
      </c>
      <c r="I1245">
        <v>88</v>
      </c>
      <c r="J1245" s="4" t="str">
        <f>IF(OR(Копия_20206[[#This Row],[Units (in 1000)]]&gt;$R$7,Копия_20206[[#This Row],[Units (in 1000)]]&lt;$R$6),"outlier","not outlier")</f>
        <v>not outlier</v>
      </c>
      <c r="K1245" s="4" t="str">
        <f>IF(OR(Копия_20206[[#This Row],[Value (in 1000 rub)]]&gt;$S$7,Копия_20206[[#This Row],[Value (in 1000 rub)]]&lt;$S$6),"outlier","not outlier")</f>
        <v>not outlier</v>
      </c>
      <c r="L1245" s="4" t="str">
        <f>IF(OR(Копия_20206[[#This Row],[Volume (in 1000 kg)]]&gt;$T$7,Копия_20206[[#This Row],[Volume (in 1000 kg)]]&lt;$T$6),"outlier","not outlier")</f>
        <v>not outlier</v>
      </c>
      <c r="M1245" s="4" t="str">
        <f>IF(OR(Копия_20206[[#This Row],[Number of stores]]&gt;$U$7,Копия_20206[[#This Row],[Number of stores]]&lt;$U$6),"outlier","not outlier")</f>
        <v>not outlier</v>
      </c>
    </row>
    <row r="1246" spans="1:13" x14ac:dyDescent="0.25">
      <c r="A1246">
        <v>2021</v>
      </c>
      <c r="B1246">
        <v>2</v>
      </c>
      <c r="C1246" s="1" t="s">
        <v>25</v>
      </c>
      <c r="D1246" s="1" t="s">
        <v>28</v>
      </c>
      <c r="E1246" s="1" t="s">
        <v>18</v>
      </c>
      <c r="F1246" s="4">
        <v>2.35E-2</v>
      </c>
      <c r="G1246" s="4">
        <v>4.2909309999999996</v>
      </c>
      <c r="H1246" s="4">
        <v>4.1999999999999997E-3</v>
      </c>
      <c r="I1246">
        <v>0</v>
      </c>
      <c r="J1246" s="4" t="str">
        <f>IF(OR(Копия_20206[[#This Row],[Units (in 1000)]]&gt;$R$7,Копия_20206[[#This Row],[Units (in 1000)]]&lt;$R$6),"outlier","not outlier")</f>
        <v>not outlier</v>
      </c>
      <c r="K1246" s="4" t="str">
        <f>IF(OR(Копия_20206[[#This Row],[Value (in 1000 rub)]]&gt;$S$7,Копия_20206[[#This Row],[Value (in 1000 rub)]]&lt;$S$6),"outlier","not outlier")</f>
        <v>not outlier</v>
      </c>
      <c r="L1246" s="4" t="str">
        <f>IF(OR(Копия_20206[[#This Row],[Volume (in 1000 kg)]]&gt;$T$7,Копия_20206[[#This Row],[Volume (in 1000 kg)]]&lt;$T$6),"outlier","not outlier")</f>
        <v>not outlier</v>
      </c>
      <c r="M1246" s="4" t="str">
        <f>IF(OR(Копия_20206[[#This Row],[Number of stores]]&gt;$U$7,Копия_20206[[#This Row],[Number of stores]]&lt;$U$6),"outlier","not outlier")</f>
        <v>not outlier</v>
      </c>
    </row>
    <row r="1247" spans="1:13" x14ac:dyDescent="0.25">
      <c r="A1247">
        <v>2021</v>
      </c>
      <c r="B1247">
        <v>2</v>
      </c>
      <c r="C1247" s="1" t="s">
        <v>25</v>
      </c>
      <c r="D1247" s="1" t="s">
        <v>28</v>
      </c>
      <c r="E1247" s="1" t="s">
        <v>11</v>
      </c>
      <c r="F1247" s="4">
        <v>0.2102</v>
      </c>
      <c r="G1247" s="4">
        <v>48.938783999999998</v>
      </c>
      <c r="H1247" s="4">
        <v>7.3499999999999996E-2</v>
      </c>
      <c r="I1247">
        <v>0</v>
      </c>
      <c r="J1247" s="4" t="str">
        <f>IF(OR(Копия_20206[[#This Row],[Units (in 1000)]]&gt;$R$7,Копия_20206[[#This Row],[Units (in 1000)]]&lt;$R$6),"outlier","not outlier")</f>
        <v>not outlier</v>
      </c>
      <c r="K1247" s="4" t="str">
        <f>IF(OR(Копия_20206[[#This Row],[Value (in 1000 rub)]]&gt;$S$7,Копия_20206[[#This Row],[Value (in 1000 rub)]]&lt;$S$6),"outlier","not outlier")</f>
        <v>not outlier</v>
      </c>
      <c r="L1247" s="4" t="str">
        <f>IF(OR(Копия_20206[[#This Row],[Volume (in 1000 kg)]]&gt;$T$7,Копия_20206[[#This Row],[Volume (in 1000 kg)]]&lt;$T$6),"outlier","not outlier")</f>
        <v>not outlier</v>
      </c>
      <c r="M1247" s="4" t="str">
        <f>IF(OR(Копия_20206[[#This Row],[Number of stores]]&gt;$U$7,Копия_20206[[#This Row],[Number of stores]]&lt;$U$6),"outlier","not outlier")</f>
        <v>not outlier</v>
      </c>
    </row>
    <row r="1248" spans="1:13" x14ac:dyDescent="0.25">
      <c r="A1248">
        <v>2021</v>
      </c>
      <c r="B1248">
        <v>2</v>
      </c>
      <c r="C1248" s="1" t="s">
        <v>29</v>
      </c>
      <c r="D1248" s="1" t="s">
        <v>28</v>
      </c>
      <c r="E1248" s="1" t="s">
        <v>18</v>
      </c>
      <c r="F1248" s="4">
        <v>0.2964</v>
      </c>
      <c r="G1248" s="4">
        <v>53.936470999999997</v>
      </c>
      <c r="H1248" s="4">
        <v>5.33E-2</v>
      </c>
      <c r="I1248">
        <v>78</v>
      </c>
      <c r="J1248" s="4" t="str">
        <f>IF(OR(Копия_20206[[#This Row],[Units (in 1000)]]&gt;$R$7,Копия_20206[[#This Row],[Units (in 1000)]]&lt;$R$6),"outlier","not outlier")</f>
        <v>not outlier</v>
      </c>
      <c r="K1248" s="4" t="str">
        <f>IF(OR(Копия_20206[[#This Row],[Value (in 1000 rub)]]&gt;$S$7,Копия_20206[[#This Row],[Value (in 1000 rub)]]&lt;$S$6),"outlier","not outlier")</f>
        <v>not outlier</v>
      </c>
      <c r="L1248" s="4" t="str">
        <f>IF(OR(Копия_20206[[#This Row],[Volume (in 1000 kg)]]&gt;$T$7,Копия_20206[[#This Row],[Volume (in 1000 kg)]]&lt;$T$6),"outlier","not outlier")</f>
        <v>not outlier</v>
      </c>
      <c r="M1248" s="4" t="str">
        <f>IF(OR(Копия_20206[[#This Row],[Number of stores]]&gt;$U$7,Копия_20206[[#This Row],[Number of stores]]&lt;$U$6),"outlier","not outlier")</f>
        <v>not outlier</v>
      </c>
    </row>
    <row r="1249" spans="1:13" x14ac:dyDescent="0.25">
      <c r="A1249">
        <v>2021</v>
      </c>
      <c r="B1249">
        <v>2</v>
      </c>
      <c r="C1249" s="1" t="s">
        <v>29</v>
      </c>
      <c r="D1249" s="1" t="s">
        <v>28</v>
      </c>
      <c r="E1249" s="1" t="s">
        <v>11</v>
      </c>
      <c r="F1249" s="4">
        <v>0.83420000000000005</v>
      </c>
      <c r="G1249" s="4">
        <v>187.833551</v>
      </c>
      <c r="H1249" s="4">
        <v>0.29199999999999998</v>
      </c>
      <c r="I1249">
        <v>88</v>
      </c>
      <c r="J1249" s="4" t="str">
        <f>IF(OR(Копия_20206[[#This Row],[Units (in 1000)]]&gt;$R$7,Копия_20206[[#This Row],[Units (in 1000)]]&lt;$R$6),"outlier","not outlier")</f>
        <v>not outlier</v>
      </c>
      <c r="K1249" s="4" t="str">
        <f>IF(OR(Копия_20206[[#This Row],[Value (in 1000 rub)]]&gt;$S$7,Копия_20206[[#This Row],[Value (in 1000 rub)]]&lt;$S$6),"outlier","not outlier")</f>
        <v>not outlier</v>
      </c>
      <c r="L1249" s="4" t="str">
        <f>IF(OR(Копия_20206[[#This Row],[Volume (in 1000 kg)]]&gt;$T$7,Копия_20206[[#This Row],[Volume (in 1000 kg)]]&lt;$T$6),"outlier","not outlier")</f>
        <v>not outlier</v>
      </c>
      <c r="M1249" s="4" t="str">
        <f>IF(OR(Копия_20206[[#This Row],[Number of stores]]&gt;$U$7,Копия_20206[[#This Row],[Number of stores]]&lt;$U$6),"outlier","not outlier")</f>
        <v>not outlier</v>
      </c>
    </row>
    <row r="1250" spans="1:13" x14ac:dyDescent="0.25">
      <c r="A1250">
        <v>2021</v>
      </c>
      <c r="B1250">
        <v>3</v>
      </c>
      <c r="C1250" s="1" t="s">
        <v>25</v>
      </c>
      <c r="D1250" s="1" t="s">
        <v>28</v>
      </c>
      <c r="E1250" s="1" t="s">
        <v>18</v>
      </c>
      <c r="F1250" s="4">
        <v>3.7999999999999999E-2</v>
      </c>
      <c r="G1250" s="4">
        <v>6.9116780000000002</v>
      </c>
      <c r="H1250" s="4">
        <v>6.7999999999999996E-3</v>
      </c>
      <c r="I1250">
        <v>0</v>
      </c>
      <c r="J1250" s="4" t="str">
        <f>IF(OR(Копия_20206[[#This Row],[Units (in 1000)]]&gt;$R$7,Копия_20206[[#This Row],[Units (in 1000)]]&lt;$R$6),"outlier","not outlier")</f>
        <v>not outlier</v>
      </c>
      <c r="K1250" s="4" t="str">
        <f>IF(OR(Копия_20206[[#This Row],[Value (in 1000 rub)]]&gt;$S$7,Копия_20206[[#This Row],[Value (in 1000 rub)]]&lt;$S$6),"outlier","not outlier")</f>
        <v>not outlier</v>
      </c>
      <c r="L1250" s="4" t="str">
        <f>IF(OR(Копия_20206[[#This Row],[Volume (in 1000 kg)]]&gt;$T$7,Копия_20206[[#This Row],[Volume (in 1000 kg)]]&lt;$T$6),"outlier","not outlier")</f>
        <v>not outlier</v>
      </c>
      <c r="M1250" s="4" t="str">
        <f>IF(OR(Копия_20206[[#This Row],[Number of stores]]&gt;$U$7,Копия_20206[[#This Row],[Number of stores]]&lt;$U$6),"outlier","not outlier")</f>
        <v>not outlier</v>
      </c>
    </row>
    <row r="1251" spans="1:13" x14ac:dyDescent="0.25">
      <c r="A1251">
        <v>2021</v>
      </c>
      <c r="B1251">
        <v>3</v>
      </c>
      <c r="C1251" s="1" t="s">
        <v>25</v>
      </c>
      <c r="D1251" s="1" t="s">
        <v>28</v>
      </c>
      <c r="E1251" s="1" t="s">
        <v>11</v>
      </c>
      <c r="F1251" s="4">
        <v>0.15709999999999999</v>
      </c>
      <c r="G1251" s="4">
        <v>35.343786000000001</v>
      </c>
      <c r="H1251" s="4">
        <v>5.5E-2</v>
      </c>
      <c r="I1251">
        <v>0</v>
      </c>
      <c r="J1251" s="4" t="str">
        <f>IF(OR(Копия_20206[[#This Row],[Units (in 1000)]]&gt;$R$7,Копия_20206[[#This Row],[Units (in 1000)]]&lt;$R$6),"outlier","not outlier")</f>
        <v>not outlier</v>
      </c>
      <c r="K1251" s="4" t="str">
        <f>IF(OR(Копия_20206[[#This Row],[Value (in 1000 rub)]]&gt;$S$7,Копия_20206[[#This Row],[Value (in 1000 rub)]]&lt;$S$6),"outlier","not outlier")</f>
        <v>not outlier</v>
      </c>
      <c r="L1251" s="4" t="str">
        <f>IF(OR(Копия_20206[[#This Row],[Volume (in 1000 kg)]]&gt;$T$7,Копия_20206[[#This Row],[Volume (in 1000 kg)]]&lt;$T$6),"outlier","not outlier")</f>
        <v>not outlier</v>
      </c>
      <c r="M1251" s="4" t="str">
        <f>IF(OR(Копия_20206[[#This Row],[Number of stores]]&gt;$U$7,Копия_20206[[#This Row],[Number of stores]]&lt;$U$6),"outlier","not outlier")</f>
        <v>not outlier</v>
      </c>
    </row>
    <row r="1252" spans="1:13" x14ac:dyDescent="0.25">
      <c r="A1252">
        <v>2021</v>
      </c>
      <c r="B1252">
        <v>3</v>
      </c>
      <c r="C1252" s="1" t="s">
        <v>29</v>
      </c>
      <c r="D1252" s="1" t="s">
        <v>28</v>
      </c>
      <c r="E1252" s="1" t="s">
        <v>18</v>
      </c>
      <c r="F1252" s="4">
        <v>0.35270000000000001</v>
      </c>
      <c r="G1252" s="4">
        <v>64.167697000000004</v>
      </c>
      <c r="H1252" s="4">
        <v>6.3500000000000001E-2</v>
      </c>
      <c r="I1252">
        <v>77</v>
      </c>
      <c r="J1252" s="4" t="str">
        <f>IF(OR(Копия_20206[[#This Row],[Units (in 1000)]]&gt;$R$7,Копия_20206[[#This Row],[Units (in 1000)]]&lt;$R$6),"outlier","not outlier")</f>
        <v>not outlier</v>
      </c>
      <c r="K1252" s="4" t="str">
        <f>IF(OR(Копия_20206[[#This Row],[Value (in 1000 rub)]]&gt;$S$7,Копия_20206[[#This Row],[Value (in 1000 rub)]]&lt;$S$6),"outlier","not outlier")</f>
        <v>not outlier</v>
      </c>
      <c r="L1252" s="4" t="str">
        <f>IF(OR(Копия_20206[[#This Row],[Volume (in 1000 kg)]]&gt;$T$7,Копия_20206[[#This Row],[Volume (in 1000 kg)]]&lt;$T$6),"outlier","not outlier")</f>
        <v>not outlier</v>
      </c>
      <c r="M1252" s="4" t="str">
        <f>IF(OR(Копия_20206[[#This Row],[Number of stores]]&gt;$U$7,Копия_20206[[#This Row],[Number of stores]]&lt;$U$6),"outlier","not outlier")</f>
        <v>not outlier</v>
      </c>
    </row>
    <row r="1253" spans="1:13" x14ac:dyDescent="0.25">
      <c r="A1253">
        <v>2021</v>
      </c>
      <c r="B1253">
        <v>3</v>
      </c>
      <c r="C1253" s="1" t="s">
        <v>29</v>
      </c>
      <c r="D1253" s="1" t="s">
        <v>28</v>
      </c>
      <c r="E1253" s="1" t="s">
        <v>11</v>
      </c>
      <c r="F1253" s="4">
        <v>1.0125999999999999</v>
      </c>
      <c r="G1253" s="4">
        <v>211.265253</v>
      </c>
      <c r="H1253" s="4">
        <v>0.35439999999999999</v>
      </c>
      <c r="I1253">
        <v>87</v>
      </c>
      <c r="J1253" s="4" t="str">
        <f>IF(OR(Копия_20206[[#This Row],[Units (in 1000)]]&gt;$R$7,Копия_20206[[#This Row],[Units (in 1000)]]&lt;$R$6),"outlier","not outlier")</f>
        <v>not outlier</v>
      </c>
      <c r="K1253" s="4" t="str">
        <f>IF(OR(Копия_20206[[#This Row],[Value (in 1000 rub)]]&gt;$S$7,Копия_20206[[#This Row],[Value (in 1000 rub)]]&lt;$S$6),"outlier","not outlier")</f>
        <v>not outlier</v>
      </c>
      <c r="L1253" s="4" t="str">
        <f>IF(OR(Копия_20206[[#This Row],[Volume (in 1000 kg)]]&gt;$T$7,Копия_20206[[#This Row],[Volume (in 1000 kg)]]&lt;$T$6),"outlier","not outlier")</f>
        <v>not outlier</v>
      </c>
      <c r="M1253" s="4" t="str">
        <f>IF(OR(Копия_20206[[#This Row],[Number of stores]]&gt;$U$7,Копия_20206[[#This Row],[Number of stores]]&lt;$U$6),"outlier","not outlier")</f>
        <v>not outlier</v>
      </c>
    </row>
    <row r="1254" spans="1:13" x14ac:dyDescent="0.25">
      <c r="A1254">
        <v>2021</v>
      </c>
      <c r="B1254">
        <v>1</v>
      </c>
      <c r="C1254" s="1" t="s">
        <v>8</v>
      </c>
      <c r="D1254" s="1" t="s">
        <v>17</v>
      </c>
      <c r="E1254" s="1" t="s">
        <v>18</v>
      </c>
      <c r="F1254" s="4">
        <v>2.5630000000000002</v>
      </c>
      <c r="G1254" s="4">
        <v>286.24733700000002</v>
      </c>
      <c r="H1254" s="4">
        <v>0.46139999999999998</v>
      </c>
      <c r="I1254">
        <v>102</v>
      </c>
      <c r="J1254" s="4" t="str">
        <f>IF(OR(Копия_20206[[#This Row],[Units (in 1000)]]&gt;$R$7,Копия_20206[[#This Row],[Units (in 1000)]]&lt;$R$6),"outlier","not outlier")</f>
        <v>not outlier</v>
      </c>
      <c r="K1254" s="4" t="str">
        <f>IF(OR(Копия_20206[[#This Row],[Value (in 1000 rub)]]&gt;$S$7,Копия_20206[[#This Row],[Value (in 1000 rub)]]&lt;$S$6),"outlier","not outlier")</f>
        <v>not outlier</v>
      </c>
      <c r="L1254" s="4" t="str">
        <f>IF(OR(Копия_20206[[#This Row],[Volume (in 1000 kg)]]&gt;$T$7,Копия_20206[[#This Row],[Volume (in 1000 kg)]]&lt;$T$6),"outlier","not outlier")</f>
        <v>not outlier</v>
      </c>
      <c r="M1254" s="4" t="str">
        <f>IF(OR(Копия_20206[[#This Row],[Number of stores]]&gt;$U$7,Копия_20206[[#This Row],[Number of stores]]&lt;$U$6),"outlier","not outlier")</f>
        <v>not outlier</v>
      </c>
    </row>
    <row r="1255" spans="1:13" x14ac:dyDescent="0.25">
      <c r="A1255">
        <v>2021</v>
      </c>
      <c r="B1255">
        <v>1</v>
      </c>
      <c r="C1255" s="1" t="s">
        <v>25</v>
      </c>
      <c r="D1255" s="1" t="s">
        <v>17</v>
      </c>
      <c r="E1255" s="1" t="s">
        <v>18</v>
      </c>
      <c r="F1255" s="4">
        <v>1.5582</v>
      </c>
      <c r="G1255" s="4">
        <v>144.102644</v>
      </c>
      <c r="H1255" s="4">
        <v>0.28039999999999998</v>
      </c>
      <c r="I1255">
        <v>254</v>
      </c>
      <c r="J1255" s="4" t="str">
        <f>IF(OR(Копия_20206[[#This Row],[Units (in 1000)]]&gt;$R$7,Копия_20206[[#This Row],[Units (in 1000)]]&lt;$R$6),"outlier","not outlier")</f>
        <v>not outlier</v>
      </c>
      <c r="K1255" s="4" t="str">
        <f>IF(OR(Копия_20206[[#This Row],[Value (in 1000 rub)]]&gt;$S$7,Копия_20206[[#This Row],[Value (in 1000 rub)]]&lt;$S$6),"outlier","not outlier")</f>
        <v>not outlier</v>
      </c>
      <c r="L1255" s="4" t="str">
        <f>IF(OR(Копия_20206[[#This Row],[Volume (in 1000 kg)]]&gt;$T$7,Копия_20206[[#This Row],[Volume (in 1000 kg)]]&lt;$T$6),"outlier","not outlier")</f>
        <v>not outlier</v>
      </c>
      <c r="M1255" s="4" t="str">
        <f>IF(OR(Копия_20206[[#This Row],[Number of stores]]&gt;$U$7,Копия_20206[[#This Row],[Number of stores]]&lt;$U$6),"outlier","not outlier")</f>
        <v>not outlier</v>
      </c>
    </row>
    <row r="1256" spans="1:13" x14ac:dyDescent="0.25">
      <c r="A1256">
        <v>2021</v>
      </c>
      <c r="B1256">
        <v>2</v>
      </c>
      <c r="C1256" s="1" t="s">
        <v>8</v>
      </c>
      <c r="D1256" s="1" t="s">
        <v>17</v>
      </c>
      <c r="E1256" s="1" t="s">
        <v>18</v>
      </c>
      <c r="F1256" s="4">
        <v>2.5794000000000001</v>
      </c>
      <c r="G1256" s="4">
        <v>284.872613</v>
      </c>
      <c r="H1256" s="4">
        <v>0.46429999999999999</v>
      </c>
      <c r="I1256">
        <v>105</v>
      </c>
      <c r="J1256" s="4" t="str">
        <f>IF(OR(Копия_20206[[#This Row],[Units (in 1000)]]&gt;$R$7,Копия_20206[[#This Row],[Units (in 1000)]]&lt;$R$6),"outlier","not outlier")</f>
        <v>not outlier</v>
      </c>
      <c r="K1256" s="4" t="str">
        <f>IF(OR(Копия_20206[[#This Row],[Value (in 1000 rub)]]&gt;$S$7,Копия_20206[[#This Row],[Value (in 1000 rub)]]&lt;$S$6),"outlier","not outlier")</f>
        <v>not outlier</v>
      </c>
      <c r="L1256" s="4" t="str">
        <f>IF(OR(Копия_20206[[#This Row],[Volume (in 1000 kg)]]&gt;$T$7,Копия_20206[[#This Row],[Volume (in 1000 kg)]]&lt;$T$6),"outlier","not outlier")</f>
        <v>not outlier</v>
      </c>
      <c r="M1256" s="4" t="str">
        <f>IF(OR(Копия_20206[[#This Row],[Number of stores]]&gt;$U$7,Копия_20206[[#This Row],[Number of stores]]&lt;$U$6),"outlier","not outlier")</f>
        <v>not outlier</v>
      </c>
    </row>
    <row r="1257" spans="1:13" x14ac:dyDescent="0.25">
      <c r="A1257">
        <v>2021</v>
      </c>
      <c r="B1257">
        <v>2</v>
      </c>
      <c r="C1257" s="1" t="s">
        <v>25</v>
      </c>
      <c r="D1257" s="1" t="s">
        <v>17</v>
      </c>
      <c r="E1257" s="1" t="s">
        <v>18</v>
      </c>
      <c r="F1257" s="4">
        <v>1.4093</v>
      </c>
      <c r="G1257" s="4">
        <v>132.62327400000001</v>
      </c>
      <c r="H1257" s="4">
        <v>0.25369999999999998</v>
      </c>
      <c r="I1257">
        <v>222</v>
      </c>
      <c r="J1257" s="4" t="str">
        <f>IF(OR(Копия_20206[[#This Row],[Units (in 1000)]]&gt;$R$7,Копия_20206[[#This Row],[Units (in 1000)]]&lt;$R$6),"outlier","not outlier")</f>
        <v>not outlier</v>
      </c>
      <c r="K1257" s="4" t="str">
        <f>IF(OR(Копия_20206[[#This Row],[Value (in 1000 rub)]]&gt;$S$7,Копия_20206[[#This Row],[Value (in 1000 rub)]]&lt;$S$6),"outlier","not outlier")</f>
        <v>not outlier</v>
      </c>
      <c r="L1257" s="4" t="str">
        <f>IF(OR(Копия_20206[[#This Row],[Volume (in 1000 kg)]]&gt;$T$7,Копия_20206[[#This Row],[Volume (in 1000 kg)]]&lt;$T$6),"outlier","not outlier")</f>
        <v>not outlier</v>
      </c>
      <c r="M1257" s="4" t="str">
        <f>IF(OR(Копия_20206[[#This Row],[Number of stores]]&gt;$U$7,Копия_20206[[#This Row],[Number of stores]]&lt;$U$6),"outlier","not outlier")</f>
        <v>not outlier</v>
      </c>
    </row>
    <row r="1258" spans="1:13" x14ac:dyDescent="0.25">
      <c r="A1258">
        <v>2021</v>
      </c>
      <c r="B1258">
        <v>3</v>
      </c>
      <c r="C1258" s="1" t="s">
        <v>8</v>
      </c>
      <c r="D1258" s="1" t="s">
        <v>17</v>
      </c>
      <c r="E1258" s="1" t="s">
        <v>18</v>
      </c>
      <c r="F1258" s="4">
        <v>3.6164999999999998</v>
      </c>
      <c r="G1258" s="4">
        <v>381.379502</v>
      </c>
      <c r="H1258" s="4">
        <v>0.65100000000000002</v>
      </c>
      <c r="I1258">
        <v>102</v>
      </c>
      <c r="J1258" s="4" t="str">
        <f>IF(OR(Копия_20206[[#This Row],[Units (in 1000)]]&gt;$R$7,Копия_20206[[#This Row],[Units (in 1000)]]&lt;$R$6),"outlier","not outlier")</f>
        <v>not outlier</v>
      </c>
      <c r="K1258" s="4" t="str">
        <f>IF(OR(Копия_20206[[#This Row],[Value (in 1000 rub)]]&gt;$S$7,Копия_20206[[#This Row],[Value (in 1000 rub)]]&lt;$S$6),"outlier","not outlier")</f>
        <v>not outlier</v>
      </c>
      <c r="L1258" s="4" t="str">
        <f>IF(OR(Копия_20206[[#This Row],[Volume (in 1000 kg)]]&gt;$T$7,Копия_20206[[#This Row],[Volume (in 1000 kg)]]&lt;$T$6),"outlier","not outlier")</f>
        <v>not outlier</v>
      </c>
      <c r="M1258" s="4" t="str">
        <f>IF(OR(Копия_20206[[#This Row],[Number of stores]]&gt;$U$7,Копия_20206[[#This Row],[Number of stores]]&lt;$U$6),"outlier","not outlier")</f>
        <v>not outlier</v>
      </c>
    </row>
    <row r="1259" spans="1:13" x14ac:dyDescent="0.25">
      <c r="A1259">
        <v>2021</v>
      </c>
      <c r="B1259">
        <v>3</v>
      </c>
      <c r="C1259" s="1" t="s">
        <v>25</v>
      </c>
      <c r="D1259" s="1" t="s">
        <v>17</v>
      </c>
      <c r="E1259" s="1" t="s">
        <v>18</v>
      </c>
      <c r="F1259" s="4">
        <v>1.7221</v>
      </c>
      <c r="G1259" s="4">
        <v>162.79008099999999</v>
      </c>
      <c r="H1259" s="4">
        <v>0.31</v>
      </c>
      <c r="I1259">
        <v>232</v>
      </c>
      <c r="J1259" s="4" t="str">
        <f>IF(OR(Копия_20206[[#This Row],[Units (in 1000)]]&gt;$R$7,Копия_20206[[#This Row],[Units (in 1000)]]&lt;$R$6),"outlier","not outlier")</f>
        <v>not outlier</v>
      </c>
      <c r="K1259" s="4" t="str">
        <f>IF(OR(Копия_20206[[#This Row],[Value (in 1000 rub)]]&gt;$S$7,Копия_20206[[#This Row],[Value (in 1000 rub)]]&lt;$S$6),"outlier","not outlier")</f>
        <v>not outlier</v>
      </c>
      <c r="L1259" s="4" t="str">
        <f>IF(OR(Копия_20206[[#This Row],[Volume (in 1000 kg)]]&gt;$T$7,Копия_20206[[#This Row],[Volume (in 1000 kg)]]&lt;$T$6),"outlier","not outlier")</f>
        <v>not outlier</v>
      </c>
      <c r="M1259" s="4" t="str">
        <f>IF(OR(Копия_20206[[#This Row],[Number of stores]]&gt;$U$7,Копия_20206[[#This Row],[Number of stores]]&lt;$U$6),"outlier","not outlier")</f>
        <v>not outlier</v>
      </c>
    </row>
    <row r="1260" spans="1:13" x14ac:dyDescent="0.25">
      <c r="A1260">
        <v>2021</v>
      </c>
      <c r="B1260">
        <v>4</v>
      </c>
      <c r="C1260" s="1" t="s">
        <v>8</v>
      </c>
      <c r="D1260" s="1" t="s">
        <v>17</v>
      </c>
      <c r="E1260" s="1" t="s">
        <v>18</v>
      </c>
      <c r="F1260" s="4">
        <v>2.7690000000000001</v>
      </c>
      <c r="G1260" s="4">
        <v>305.04915099999999</v>
      </c>
      <c r="H1260" s="4">
        <v>0.49840000000000001</v>
      </c>
      <c r="I1260">
        <v>101</v>
      </c>
      <c r="J1260" s="4" t="str">
        <f>IF(OR(Копия_20206[[#This Row],[Units (in 1000)]]&gt;$R$7,Копия_20206[[#This Row],[Units (in 1000)]]&lt;$R$6),"outlier","not outlier")</f>
        <v>not outlier</v>
      </c>
      <c r="K1260" s="4" t="str">
        <f>IF(OR(Копия_20206[[#This Row],[Value (in 1000 rub)]]&gt;$S$7,Копия_20206[[#This Row],[Value (in 1000 rub)]]&lt;$S$6),"outlier","not outlier")</f>
        <v>not outlier</v>
      </c>
      <c r="L1260" s="4" t="str">
        <f>IF(OR(Копия_20206[[#This Row],[Volume (in 1000 kg)]]&gt;$T$7,Копия_20206[[#This Row],[Volume (in 1000 kg)]]&lt;$T$6),"outlier","not outlier")</f>
        <v>not outlier</v>
      </c>
      <c r="M1260" s="4" t="str">
        <f>IF(OR(Копия_20206[[#This Row],[Number of stores]]&gt;$U$7,Копия_20206[[#This Row],[Number of stores]]&lt;$U$6),"outlier","not outlier")</f>
        <v>not outlier</v>
      </c>
    </row>
    <row r="1261" spans="1:13" x14ac:dyDescent="0.25">
      <c r="A1261">
        <v>2021</v>
      </c>
      <c r="B1261">
        <v>4</v>
      </c>
      <c r="C1261" s="1" t="s">
        <v>25</v>
      </c>
      <c r="D1261" s="1" t="s">
        <v>17</v>
      </c>
      <c r="E1261" s="1" t="s">
        <v>18</v>
      </c>
      <c r="F1261" s="4">
        <v>1.4491000000000001</v>
      </c>
      <c r="G1261" s="4">
        <v>133.11645799999999</v>
      </c>
      <c r="H1261" s="4">
        <v>0.26079999999999998</v>
      </c>
      <c r="I1261">
        <v>245</v>
      </c>
      <c r="J1261" s="4" t="str">
        <f>IF(OR(Копия_20206[[#This Row],[Units (in 1000)]]&gt;$R$7,Копия_20206[[#This Row],[Units (in 1000)]]&lt;$R$6),"outlier","not outlier")</f>
        <v>not outlier</v>
      </c>
      <c r="K1261" s="4" t="str">
        <f>IF(OR(Копия_20206[[#This Row],[Value (in 1000 rub)]]&gt;$S$7,Копия_20206[[#This Row],[Value (in 1000 rub)]]&lt;$S$6),"outlier","not outlier")</f>
        <v>not outlier</v>
      </c>
      <c r="L1261" s="4" t="str">
        <f>IF(OR(Копия_20206[[#This Row],[Volume (in 1000 kg)]]&gt;$T$7,Копия_20206[[#This Row],[Volume (in 1000 kg)]]&lt;$T$6),"outlier","not outlier")</f>
        <v>not outlier</v>
      </c>
      <c r="M1261" s="4" t="str">
        <f>IF(OR(Копия_20206[[#This Row],[Number of stores]]&gt;$U$7,Копия_20206[[#This Row],[Number of stores]]&lt;$U$6),"outlier","not outlier")</f>
        <v>not outlier</v>
      </c>
    </row>
    <row r="1262" spans="1:13" x14ac:dyDescent="0.25">
      <c r="A1262">
        <v>2021</v>
      </c>
      <c r="B1262">
        <v>5</v>
      </c>
      <c r="C1262" s="1" t="s">
        <v>8</v>
      </c>
      <c r="D1262" s="1" t="s">
        <v>17</v>
      </c>
      <c r="E1262" s="1" t="s">
        <v>18</v>
      </c>
      <c r="F1262" s="4">
        <v>2.4346999999999999</v>
      </c>
      <c r="G1262" s="4">
        <v>266.13412099999999</v>
      </c>
      <c r="H1262" s="4">
        <v>0.43830000000000002</v>
      </c>
      <c r="I1262">
        <v>98</v>
      </c>
      <c r="J1262" s="4" t="str">
        <f>IF(OR(Копия_20206[[#This Row],[Units (in 1000)]]&gt;$R$7,Копия_20206[[#This Row],[Units (in 1000)]]&lt;$R$6),"outlier","not outlier")</f>
        <v>not outlier</v>
      </c>
      <c r="K1262" s="4" t="str">
        <f>IF(OR(Копия_20206[[#This Row],[Value (in 1000 rub)]]&gt;$S$7,Копия_20206[[#This Row],[Value (in 1000 rub)]]&lt;$S$6),"outlier","not outlier")</f>
        <v>not outlier</v>
      </c>
      <c r="L1262" s="4" t="str">
        <f>IF(OR(Копия_20206[[#This Row],[Volume (in 1000 kg)]]&gt;$T$7,Копия_20206[[#This Row],[Volume (in 1000 kg)]]&lt;$T$6),"outlier","not outlier")</f>
        <v>not outlier</v>
      </c>
      <c r="M1262" s="4" t="str">
        <f>IF(OR(Копия_20206[[#This Row],[Number of stores]]&gt;$U$7,Копия_20206[[#This Row],[Number of stores]]&lt;$U$6),"outlier","not outlier")</f>
        <v>not outlier</v>
      </c>
    </row>
    <row r="1263" spans="1:13" x14ac:dyDescent="0.25">
      <c r="A1263">
        <v>2021</v>
      </c>
      <c r="B1263">
        <v>5</v>
      </c>
      <c r="C1263" s="1" t="s">
        <v>25</v>
      </c>
      <c r="D1263" s="1" t="s">
        <v>17</v>
      </c>
      <c r="E1263" s="1" t="s">
        <v>18</v>
      </c>
      <c r="F1263" s="4">
        <v>1.5262</v>
      </c>
      <c r="G1263" s="4">
        <v>136.56304800000001</v>
      </c>
      <c r="H1263" s="4">
        <v>0.2747</v>
      </c>
      <c r="I1263">
        <v>212</v>
      </c>
      <c r="J1263" s="4" t="str">
        <f>IF(OR(Копия_20206[[#This Row],[Units (in 1000)]]&gt;$R$7,Копия_20206[[#This Row],[Units (in 1000)]]&lt;$R$6),"outlier","not outlier")</f>
        <v>not outlier</v>
      </c>
      <c r="K1263" s="4" t="str">
        <f>IF(OR(Копия_20206[[#This Row],[Value (in 1000 rub)]]&gt;$S$7,Копия_20206[[#This Row],[Value (in 1000 rub)]]&lt;$S$6),"outlier","not outlier")</f>
        <v>not outlier</v>
      </c>
      <c r="L1263" s="4" t="str">
        <f>IF(OR(Копия_20206[[#This Row],[Volume (in 1000 kg)]]&gt;$T$7,Копия_20206[[#This Row],[Volume (in 1000 kg)]]&lt;$T$6),"outlier","not outlier")</f>
        <v>not outlier</v>
      </c>
      <c r="M1263" s="4" t="str">
        <f>IF(OR(Копия_20206[[#This Row],[Number of stores]]&gt;$U$7,Копия_20206[[#This Row],[Number of stores]]&lt;$U$6),"outlier","not outlier")</f>
        <v>not outlier</v>
      </c>
    </row>
    <row r="1264" spans="1:13" x14ac:dyDescent="0.25">
      <c r="A1264">
        <v>2021</v>
      </c>
      <c r="B1264">
        <v>6</v>
      </c>
      <c r="C1264" s="1" t="s">
        <v>8</v>
      </c>
      <c r="D1264" s="1" t="s">
        <v>17</v>
      </c>
      <c r="E1264" s="1" t="s">
        <v>18</v>
      </c>
      <c r="F1264" s="4">
        <v>2.4222000000000001</v>
      </c>
      <c r="G1264" s="4">
        <v>271.40478999999999</v>
      </c>
      <c r="H1264" s="4">
        <v>0.436</v>
      </c>
      <c r="I1264">
        <v>99</v>
      </c>
      <c r="J1264" s="4" t="str">
        <f>IF(OR(Копия_20206[[#This Row],[Units (in 1000)]]&gt;$R$7,Копия_20206[[#This Row],[Units (in 1000)]]&lt;$R$6),"outlier","not outlier")</f>
        <v>not outlier</v>
      </c>
      <c r="K1264" s="4" t="str">
        <f>IF(OR(Копия_20206[[#This Row],[Value (in 1000 rub)]]&gt;$S$7,Копия_20206[[#This Row],[Value (in 1000 rub)]]&lt;$S$6),"outlier","not outlier")</f>
        <v>not outlier</v>
      </c>
      <c r="L1264" s="4" t="str">
        <f>IF(OR(Копия_20206[[#This Row],[Volume (in 1000 kg)]]&gt;$T$7,Копия_20206[[#This Row],[Volume (in 1000 kg)]]&lt;$T$6),"outlier","not outlier")</f>
        <v>not outlier</v>
      </c>
      <c r="M1264" s="4" t="str">
        <f>IF(OR(Копия_20206[[#This Row],[Number of stores]]&gt;$U$7,Копия_20206[[#This Row],[Number of stores]]&lt;$U$6),"outlier","not outlier")</f>
        <v>not outlier</v>
      </c>
    </row>
    <row r="1265" spans="1:13" x14ac:dyDescent="0.25">
      <c r="A1265">
        <v>2021</v>
      </c>
      <c r="B1265">
        <v>6</v>
      </c>
      <c r="C1265" s="1" t="s">
        <v>25</v>
      </c>
      <c r="D1265" s="1" t="s">
        <v>17</v>
      </c>
      <c r="E1265" s="1" t="s">
        <v>18</v>
      </c>
      <c r="F1265" s="4">
        <v>1.4657</v>
      </c>
      <c r="G1265" s="4">
        <v>133.87228099999999</v>
      </c>
      <c r="H1265" s="4">
        <v>0.26379999999999998</v>
      </c>
      <c r="I1265">
        <v>243</v>
      </c>
      <c r="J1265" s="4" t="str">
        <f>IF(OR(Копия_20206[[#This Row],[Units (in 1000)]]&gt;$R$7,Копия_20206[[#This Row],[Units (in 1000)]]&lt;$R$6),"outlier","not outlier")</f>
        <v>not outlier</v>
      </c>
      <c r="K1265" s="4" t="str">
        <f>IF(OR(Копия_20206[[#This Row],[Value (in 1000 rub)]]&gt;$S$7,Копия_20206[[#This Row],[Value (in 1000 rub)]]&lt;$S$6),"outlier","not outlier")</f>
        <v>not outlier</v>
      </c>
      <c r="L1265" s="4" t="str">
        <f>IF(OR(Копия_20206[[#This Row],[Volume (in 1000 kg)]]&gt;$T$7,Копия_20206[[#This Row],[Volume (in 1000 kg)]]&lt;$T$6),"outlier","not outlier")</f>
        <v>not outlier</v>
      </c>
      <c r="M1265" s="4" t="str">
        <f>IF(OR(Копия_20206[[#This Row],[Number of stores]]&gt;$U$7,Копия_20206[[#This Row],[Number of stores]]&lt;$U$6),"outlier","not outlier")</f>
        <v>not outlier</v>
      </c>
    </row>
    <row r="1266" spans="1:13" x14ac:dyDescent="0.25">
      <c r="A1266">
        <v>2021</v>
      </c>
      <c r="B1266">
        <v>7</v>
      </c>
      <c r="C1266" s="1" t="s">
        <v>8</v>
      </c>
      <c r="D1266" s="1" t="s">
        <v>17</v>
      </c>
      <c r="E1266" s="1" t="s">
        <v>18</v>
      </c>
      <c r="F1266" s="4">
        <v>2.4838</v>
      </c>
      <c r="G1266" s="4">
        <v>276.89347299999997</v>
      </c>
      <c r="H1266" s="4">
        <v>0.4471</v>
      </c>
      <c r="I1266">
        <v>101</v>
      </c>
      <c r="J1266" s="4" t="str">
        <f>IF(OR(Копия_20206[[#This Row],[Units (in 1000)]]&gt;$R$7,Копия_20206[[#This Row],[Units (in 1000)]]&lt;$R$6),"outlier","not outlier")</f>
        <v>not outlier</v>
      </c>
      <c r="K1266" s="4" t="str">
        <f>IF(OR(Копия_20206[[#This Row],[Value (in 1000 rub)]]&gt;$S$7,Копия_20206[[#This Row],[Value (in 1000 rub)]]&lt;$S$6),"outlier","not outlier")</f>
        <v>not outlier</v>
      </c>
      <c r="L1266" s="4" t="str">
        <f>IF(OR(Копия_20206[[#This Row],[Volume (in 1000 kg)]]&gt;$T$7,Копия_20206[[#This Row],[Volume (in 1000 kg)]]&lt;$T$6),"outlier","not outlier")</f>
        <v>not outlier</v>
      </c>
      <c r="M1266" s="4" t="str">
        <f>IF(OR(Копия_20206[[#This Row],[Number of stores]]&gt;$U$7,Копия_20206[[#This Row],[Number of stores]]&lt;$U$6),"outlier","not outlier")</f>
        <v>not outlier</v>
      </c>
    </row>
    <row r="1267" spans="1:13" x14ac:dyDescent="0.25">
      <c r="A1267">
        <v>2021</v>
      </c>
      <c r="B1267">
        <v>7</v>
      </c>
      <c r="C1267" s="1" t="s">
        <v>25</v>
      </c>
      <c r="D1267" s="1" t="s">
        <v>17</v>
      </c>
      <c r="E1267" s="1" t="s">
        <v>18</v>
      </c>
      <c r="F1267" s="4">
        <v>1.5719000000000001</v>
      </c>
      <c r="G1267" s="4">
        <v>139.35731799999999</v>
      </c>
      <c r="H1267" s="4">
        <v>0.28289999999999998</v>
      </c>
      <c r="I1267">
        <v>253</v>
      </c>
      <c r="J1267" s="4" t="str">
        <f>IF(OR(Копия_20206[[#This Row],[Units (in 1000)]]&gt;$R$7,Копия_20206[[#This Row],[Units (in 1000)]]&lt;$R$6),"outlier","not outlier")</f>
        <v>not outlier</v>
      </c>
      <c r="K1267" s="4" t="str">
        <f>IF(OR(Копия_20206[[#This Row],[Value (in 1000 rub)]]&gt;$S$7,Копия_20206[[#This Row],[Value (in 1000 rub)]]&lt;$S$6),"outlier","not outlier")</f>
        <v>not outlier</v>
      </c>
      <c r="L1267" s="4" t="str">
        <f>IF(OR(Копия_20206[[#This Row],[Volume (in 1000 kg)]]&gt;$T$7,Копия_20206[[#This Row],[Volume (in 1000 kg)]]&lt;$T$6),"outlier","not outlier")</f>
        <v>not outlier</v>
      </c>
      <c r="M1267" s="4" t="str">
        <f>IF(OR(Копия_20206[[#This Row],[Number of stores]]&gt;$U$7,Копия_20206[[#This Row],[Number of stores]]&lt;$U$6),"outlier","not outlier")</f>
        <v>not outlier</v>
      </c>
    </row>
    <row r="1268" spans="1:13" x14ac:dyDescent="0.25">
      <c r="A1268">
        <v>2021</v>
      </c>
      <c r="B1268">
        <v>8</v>
      </c>
      <c r="C1268" s="1" t="s">
        <v>8</v>
      </c>
      <c r="D1268" s="1" t="s">
        <v>17</v>
      </c>
      <c r="E1268" s="1" t="s">
        <v>18</v>
      </c>
      <c r="F1268" s="4">
        <v>3.1254</v>
      </c>
      <c r="G1268" s="4">
        <v>349.83677799999998</v>
      </c>
      <c r="H1268" s="4">
        <v>0.56259999999999999</v>
      </c>
      <c r="I1268">
        <v>127</v>
      </c>
      <c r="J1268" s="4" t="str">
        <f>IF(OR(Копия_20206[[#This Row],[Units (in 1000)]]&gt;$R$7,Копия_20206[[#This Row],[Units (in 1000)]]&lt;$R$6),"outlier","not outlier")</f>
        <v>not outlier</v>
      </c>
      <c r="K1268" s="4" t="str">
        <f>IF(OR(Копия_20206[[#This Row],[Value (in 1000 rub)]]&gt;$S$7,Копия_20206[[#This Row],[Value (in 1000 rub)]]&lt;$S$6),"outlier","not outlier")</f>
        <v>not outlier</v>
      </c>
      <c r="L1268" s="4" t="str">
        <f>IF(OR(Копия_20206[[#This Row],[Volume (in 1000 kg)]]&gt;$T$7,Копия_20206[[#This Row],[Volume (in 1000 kg)]]&lt;$T$6),"outlier","not outlier")</f>
        <v>not outlier</v>
      </c>
      <c r="M1268" s="4" t="str">
        <f>IF(OR(Копия_20206[[#This Row],[Number of stores]]&gt;$U$7,Копия_20206[[#This Row],[Number of stores]]&lt;$U$6),"outlier","not outlier")</f>
        <v>not outlier</v>
      </c>
    </row>
    <row r="1269" spans="1:13" x14ac:dyDescent="0.25">
      <c r="A1269">
        <v>2021</v>
      </c>
      <c r="B1269">
        <v>8</v>
      </c>
      <c r="C1269" s="1" t="s">
        <v>25</v>
      </c>
      <c r="D1269" s="1" t="s">
        <v>17</v>
      </c>
      <c r="E1269" s="1" t="s">
        <v>18</v>
      </c>
      <c r="F1269" s="4">
        <v>1.5806</v>
      </c>
      <c r="G1269" s="4">
        <v>140.02031199999999</v>
      </c>
      <c r="H1269" s="4">
        <v>0.28449999999999998</v>
      </c>
      <c r="I1269">
        <v>255</v>
      </c>
      <c r="J1269" s="4" t="str">
        <f>IF(OR(Копия_20206[[#This Row],[Units (in 1000)]]&gt;$R$7,Копия_20206[[#This Row],[Units (in 1000)]]&lt;$R$6),"outlier","not outlier")</f>
        <v>not outlier</v>
      </c>
      <c r="K1269" s="4" t="str">
        <f>IF(OR(Копия_20206[[#This Row],[Value (in 1000 rub)]]&gt;$S$7,Копия_20206[[#This Row],[Value (in 1000 rub)]]&lt;$S$6),"outlier","not outlier")</f>
        <v>not outlier</v>
      </c>
      <c r="L1269" s="4" t="str">
        <f>IF(OR(Копия_20206[[#This Row],[Volume (in 1000 kg)]]&gt;$T$7,Копия_20206[[#This Row],[Volume (in 1000 kg)]]&lt;$T$6),"outlier","not outlier")</f>
        <v>not outlier</v>
      </c>
      <c r="M1269" s="4" t="str">
        <f>IF(OR(Копия_20206[[#This Row],[Number of stores]]&gt;$U$7,Копия_20206[[#This Row],[Number of stores]]&lt;$U$6),"outlier","not outlier")</f>
        <v>not outlier</v>
      </c>
    </row>
    <row r="1270" spans="1:13" x14ac:dyDescent="0.25">
      <c r="A1270">
        <v>2021</v>
      </c>
      <c r="B1270">
        <v>9</v>
      </c>
      <c r="C1270" s="1" t="s">
        <v>8</v>
      </c>
      <c r="D1270" s="1" t="s">
        <v>17</v>
      </c>
      <c r="E1270" s="1" t="s">
        <v>18</v>
      </c>
      <c r="F1270" s="4">
        <v>3.2673999999999999</v>
      </c>
      <c r="G1270" s="4">
        <v>356.615048</v>
      </c>
      <c r="H1270" s="4">
        <v>0.58819999999999995</v>
      </c>
      <c r="I1270">
        <v>201</v>
      </c>
      <c r="J1270" s="4" t="str">
        <f>IF(OR(Копия_20206[[#This Row],[Units (in 1000)]]&gt;$R$7,Копия_20206[[#This Row],[Units (in 1000)]]&lt;$R$6),"outlier","not outlier")</f>
        <v>not outlier</v>
      </c>
      <c r="K1270" s="4" t="str">
        <f>IF(OR(Копия_20206[[#This Row],[Value (in 1000 rub)]]&gt;$S$7,Копия_20206[[#This Row],[Value (in 1000 rub)]]&lt;$S$6),"outlier","not outlier")</f>
        <v>not outlier</v>
      </c>
      <c r="L1270" s="4" t="str">
        <f>IF(OR(Копия_20206[[#This Row],[Volume (in 1000 kg)]]&gt;$T$7,Копия_20206[[#This Row],[Volume (in 1000 kg)]]&lt;$T$6),"outlier","not outlier")</f>
        <v>not outlier</v>
      </c>
      <c r="M1270" s="4" t="str">
        <f>IF(OR(Копия_20206[[#This Row],[Number of stores]]&gt;$U$7,Копия_20206[[#This Row],[Number of stores]]&lt;$U$6),"outlier","not outlier")</f>
        <v>not outlier</v>
      </c>
    </row>
    <row r="1271" spans="1:13" x14ac:dyDescent="0.25">
      <c r="A1271">
        <v>2021</v>
      </c>
      <c r="B1271">
        <v>9</v>
      </c>
      <c r="C1271" s="1" t="s">
        <v>25</v>
      </c>
      <c r="D1271" s="1" t="s">
        <v>17</v>
      </c>
      <c r="E1271" s="1" t="s">
        <v>18</v>
      </c>
      <c r="F1271" s="4">
        <v>4.5446</v>
      </c>
      <c r="G1271" s="4">
        <v>414.70506399999999</v>
      </c>
      <c r="H1271" s="4">
        <v>0.81799999999999995</v>
      </c>
      <c r="I1271">
        <v>2241</v>
      </c>
      <c r="J1271" s="4" t="str">
        <f>IF(OR(Копия_20206[[#This Row],[Units (in 1000)]]&gt;$R$7,Копия_20206[[#This Row],[Units (in 1000)]]&lt;$R$6),"outlier","not outlier")</f>
        <v>not outlier</v>
      </c>
      <c r="K1271" s="4" t="str">
        <f>IF(OR(Копия_20206[[#This Row],[Value (in 1000 rub)]]&gt;$S$7,Копия_20206[[#This Row],[Value (in 1000 rub)]]&lt;$S$6),"outlier","not outlier")</f>
        <v>not outlier</v>
      </c>
      <c r="L1271" s="4" t="str">
        <f>IF(OR(Копия_20206[[#This Row],[Volume (in 1000 kg)]]&gt;$T$7,Копия_20206[[#This Row],[Volume (in 1000 kg)]]&lt;$T$6),"outlier","not outlier")</f>
        <v>not outlier</v>
      </c>
      <c r="M1271" s="4" t="str">
        <f>IF(OR(Копия_20206[[#This Row],[Number of stores]]&gt;$U$7,Копия_20206[[#This Row],[Number of stores]]&lt;$U$6),"outlier","not outlier")</f>
        <v>not outlier</v>
      </c>
    </row>
    <row r="1272" spans="1:13" x14ac:dyDescent="0.25">
      <c r="A1272">
        <v>2021</v>
      </c>
      <c r="B1272">
        <v>9</v>
      </c>
      <c r="C1272" s="1" t="s">
        <v>29</v>
      </c>
      <c r="D1272" s="1" t="s">
        <v>17</v>
      </c>
      <c r="E1272" s="1" t="s">
        <v>18</v>
      </c>
      <c r="F1272" s="4">
        <v>7.3345000000000002</v>
      </c>
      <c r="G1272" s="4">
        <v>676.65805699999999</v>
      </c>
      <c r="H1272" s="4">
        <v>1.3202</v>
      </c>
      <c r="I1272">
        <v>3594</v>
      </c>
      <c r="J1272" s="4" t="str">
        <f>IF(OR(Копия_20206[[#This Row],[Units (in 1000)]]&gt;$R$7,Копия_20206[[#This Row],[Units (in 1000)]]&lt;$R$6),"outlier","not outlier")</f>
        <v>not outlier</v>
      </c>
      <c r="K1272" s="4" t="str">
        <f>IF(OR(Копия_20206[[#This Row],[Value (in 1000 rub)]]&gt;$S$7,Копия_20206[[#This Row],[Value (in 1000 rub)]]&lt;$S$6),"outlier","not outlier")</f>
        <v>not outlier</v>
      </c>
      <c r="L1272" s="4" t="str">
        <f>IF(OR(Копия_20206[[#This Row],[Volume (in 1000 kg)]]&gt;$T$7,Копия_20206[[#This Row],[Volume (in 1000 kg)]]&lt;$T$6),"outlier","not outlier")</f>
        <v>not outlier</v>
      </c>
      <c r="M1272" s="4" t="str">
        <f>IF(OR(Копия_20206[[#This Row],[Number of stores]]&gt;$U$7,Копия_20206[[#This Row],[Number of stores]]&lt;$U$6),"outlier","not outlier")</f>
        <v>outlier</v>
      </c>
    </row>
    <row r="1273" spans="1:13" x14ac:dyDescent="0.25">
      <c r="A1273">
        <v>2021</v>
      </c>
      <c r="B1273">
        <v>10</v>
      </c>
      <c r="C1273" s="1" t="s">
        <v>8</v>
      </c>
      <c r="D1273" s="1" t="s">
        <v>17</v>
      </c>
      <c r="E1273" s="1" t="s">
        <v>18</v>
      </c>
      <c r="F1273" s="4">
        <v>3.0682</v>
      </c>
      <c r="G1273" s="4">
        <v>342.04196899999999</v>
      </c>
      <c r="H1273" s="4">
        <v>0.55220000000000002</v>
      </c>
      <c r="I1273">
        <v>196</v>
      </c>
      <c r="J1273" s="4" t="str">
        <f>IF(OR(Копия_20206[[#This Row],[Units (in 1000)]]&gt;$R$7,Копия_20206[[#This Row],[Units (in 1000)]]&lt;$R$6),"outlier","not outlier")</f>
        <v>not outlier</v>
      </c>
      <c r="K1273" s="4" t="str">
        <f>IF(OR(Копия_20206[[#This Row],[Value (in 1000 rub)]]&gt;$S$7,Копия_20206[[#This Row],[Value (in 1000 rub)]]&lt;$S$6),"outlier","not outlier")</f>
        <v>not outlier</v>
      </c>
      <c r="L1273" s="4" t="str">
        <f>IF(OR(Копия_20206[[#This Row],[Volume (in 1000 kg)]]&gt;$T$7,Копия_20206[[#This Row],[Volume (in 1000 kg)]]&lt;$T$6),"outlier","not outlier")</f>
        <v>not outlier</v>
      </c>
      <c r="M1273" s="4" t="str">
        <f>IF(OR(Копия_20206[[#This Row],[Number of stores]]&gt;$U$7,Копия_20206[[#This Row],[Number of stores]]&lt;$U$6),"outlier","not outlier")</f>
        <v>not outlier</v>
      </c>
    </row>
    <row r="1274" spans="1:13" x14ac:dyDescent="0.25">
      <c r="A1274">
        <v>2021</v>
      </c>
      <c r="B1274">
        <v>10</v>
      </c>
      <c r="C1274" s="1" t="s">
        <v>25</v>
      </c>
      <c r="D1274" s="1" t="s">
        <v>17</v>
      </c>
      <c r="E1274" s="1" t="s">
        <v>18</v>
      </c>
      <c r="F1274" s="4">
        <v>14.5779</v>
      </c>
      <c r="G1274" s="4">
        <v>1306.824554</v>
      </c>
      <c r="H1274" s="4">
        <v>2.6240000000000001</v>
      </c>
      <c r="I1274">
        <v>3555</v>
      </c>
      <c r="J1274" s="4" t="str">
        <f>IF(OR(Копия_20206[[#This Row],[Units (in 1000)]]&gt;$R$7,Копия_20206[[#This Row],[Units (in 1000)]]&lt;$R$6),"outlier","not outlier")</f>
        <v>not outlier</v>
      </c>
      <c r="K1274" s="4" t="str">
        <f>IF(OR(Копия_20206[[#This Row],[Value (in 1000 rub)]]&gt;$S$7,Копия_20206[[#This Row],[Value (in 1000 rub)]]&lt;$S$6),"outlier","not outlier")</f>
        <v>not outlier</v>
      </c>
      <c r="L1274" s="4" t="str">
        <f>IF(OR(Копия_20206[[#This Row],[Volume (in 1000 kg)]]&gt;$T$7,Копия_20206[[#This Row],[Volume (in 1000 kg)]]&lt;$T$6),"outlier","not outlier")</f>
        <v>not outlier</v>
      </c>
      <c r="M1274" s="4" t="str">
        <f>IF(OR(Копия_20206[[#This Row],[Number of stores]]&gt;$U$7,Копия_20206[[#This Row],[Number of stores]]&lt;$U$6),"outlier","not outlier")</f>
        <v>outlier</v>
      </c>
    </row>
    <row r="1275" spans="1:13" x14ac:dyDescent="0.25">
      <c r="A1275">
        <v>2021</v>
      </c>
      <c r="B1275">
        <v>10</v>
      </c>
      <c r="C1275" s="1" t="s">
        <v>29</v>
      </c>
      <c r="D1275" s="1" t="s">
        <v>17</v>
      </c>
      <c r="E1275" s="1" t="s">
        <v>18</v>
      </c>
      <c r="F1275" s="4">
        <v>23.237400000000001</v>
      </c>
      <c r="G1275" s="4">
        <v>2101.853462</v>
      </c>
      <c r="H1275" s="4">
        <v>4.1826999999999996</v>
      </c>
      <c r="I1275">
        <v>5351</v>
      </c>
      <c r="J1275" s="4" t="str">
        <f>IF(OR(Копия_20206[[#This Row],[Units (in 1000)]]&gt;$R$7,Копия_20206[[#This Row],[Units (in 1000)]]&lt;$R$6),"outlier","not outlier")</f>
        <v>outlier</v>
      </c>
      <c r="K1275" s="4" t="str">
        <f>IF(OR(Копия_20206[[#This Row],[Value (in 1000 rub)]]&gt;$S$7,Копия_20206[[#This Row],[Value (in 1000 rub)]]&lt;$S$6),"outlier","not outlier")</f>
        <v>outlier</v>
      </c>
      <c r="L1275" s="4" t="str">
        <f>IF(OR(Копия_20206[[#This Row],[Volume (in 1000 kg)]]&gt;$T$7,Копия_20206[[#This Row],[Volume (in 1000 kg)]]&lt;$T$6),"outlier","not outlier")</f>
        <v>not outlier</v>
      </c>
      <c r="M1275" s="4" t="str">
        <f>IF(OR(Копия_20206[[#This Row],[Number of stores]]&gt;$U$7,Копия_20206[[#This Row],[Number of stores]]&lt;$U$6),"outlier","not outlier")</f>
        <v>outlier</v>
      </c>
    </row>
    <row r="1276" spans="1:13" x14ac:dyDescent="0.25">
      <c r="A1276">
        <v>2021</v>
      </c>
      <c r="B1276">
        <v>11</v>
      </c>
      <c r="C1276" s="1" t="s">
        <v>8</v>
      </c>
      <c r="D1276" s="1" t="s">
        <v>17</v>
      </c>
      <c r="E1276" s="1" t="s">
        <v>18</v>
      </c>
      <c r="F1276" s="4">
        <v>2.9588000000000001</v>
      </c>
      <c r="G1276" s="4">
        <v>322.443487</v>
      </c>
      <c r="H1276" s="4">
        <v>0.53259999999999996</v>
      </c>
      <c r="I1276">
        <v>196</v>
      </c>
      <c r="J1276" s="4" t="str">
        <f>IF(OR(Копия_20206[[#This Row],[Units (in 1000)]]&gt;$R$7,Копия_20206[[#This Row],[Units (in 1000)]]&lt;$R$6),"outlier","not outlier")</f>
        <v>not outlier</v>
      </c>
      <c r="K1276" s="4" t="str">
        <f>IF(OR(Копия_20206[[#This Row],[Value (in 1000 rub)]]&gt;$S$7,Копия_20206[[#This Row],[Value (in 1000 rub)]]&lt;$S$6),"outlier","not outlier")</f>
        <v>not outlier</v>
      </c>
      <c r="L1276" s="4" t="str">
        <f>IF(OR(Копия_20206[[#This Row],[Volume (in 1000 kg)]]&gt;$T$7,Копия_20206[[#This Row],[Volume (in 1000 kg)]]&lt;$T$6),"outlier","not outlier")</f>
        <v>not outlier</v>
      </c>
      <c r="M1276" s="4" t="str">
        <f>IF(OR(Копия_20206[[#This Row],[Number of stores]]&gt;$U$7,Копия_20206[[#This Row],[Number of stores]]&lt;$U$6),"outlier","not outlier")</f>
        <v>not outlier</v>
      </c>
    </row>
    <row r="1277" spans="1:13" x14ac:dyDescent="0.25">
      <c r="A1277">
        <v>2021</v>
      </c>
      <c r="B1277">
        <v>11</v>
      </c>
      <c r="C1277" s="1" t="s">
        <v>25</v>
      </c>
      <c r="D1277" s="1" t="s">
        <v>17</v>
      </c>
      <c r="E1277" s="1" t="s">
        <v>18</v>
      </c>
      <c r="F1277" s="4">
        <v>10.259</v>
      </c>
      <c r="G1277" s="4">
        <v>911.95919299999991</v>
      </c>
      <c r="H1277" s="4">
        <v>1.8466</v>
      </c>
      <c r="I1277">
        <v>3204</v>
      </c>
      <c r="J1277" s="4" t="str">
        <f>IF(OR(Копия_20206[[#This Row],[Units (in 1000)]]&gt;$R$7,Копия_20206[[#This Row],[Units (in 1000)]]&lt;$R$6),"outlier","not outlier")</f>
        <v>not outlier</v>
      </c>
      <c r="K1277" s="4" t="str">
        <f>IF(OR(Копия_20206[[#This Row],[Value (in 1000 rub)]]&gt;$S$7,Копия_20206[[#This Row],[Value (in 1000 rub)]]&lt;$S$6),"outlier","not outlier")</f>
        <v>not outlier</v>
      </c>
      <c r="L1277" s="4" t="str">
        <f>IF(OR(Копия_20206[[#This Row],[Volume (in 1000 kg)]]&gt;$T$7,Копия_20206[[#This Row],[Volume (in 1000 kg)]]&lt;$T$6),"outlier","not outlier")</f>
        <v>not outlier</v>
      </c>
      <c r="M1277" s="4" t="str">
        <f>IF(OR(Копия_20206[[#This Row],[Number of stores]]&gt;$U$7,Копия_20206[[#This Row],[Number of stores]]&lt;$U$6),"outlier","not outlier")</f>
        <v>outlier</v>
      </c>
    </row>
    <row r="1278" spans="1:13" x14ac:dyDescent="0.25">
      <c r="A1278">
        <v>2021</v>
      </c>
      <c r="B1278">
        <v>11</v>
      </c>
      <c r="C1278" s="1" t="s">
        <v>29</v>
      </c>
      <c r="D1278" s="1" t="s">
        <v>17</v>
      </c>
      <c r="E1278" s="1" t="s">
        <v>18</v>
      </c>
      <c r="F1278" s="4">
        <v>16.481999999999999</v>
      </c>
      <c r="G1278" s="4">
        <v>1502.999939</v>
      </c>
      <c r="H1278" s="4">
        <v>2.9668000000000001</v>
      </c>
      <c r="I1278">
        <v>4821</v>
      </c>
      <c r="J1278" s="4" t="str">
        <f>IF(OR(Копия_20206[[#This Row],[Units (in 1000)]]&gt;$R$7,Копия_20206[[#This Row],[Units (in 1000)]]&lt;$R$6),"outlier","not outlier")</f>
        <v>not outlier</v>
      </c>
      <c r="K1278" s="4" t="str">
        <f>IF(OR(Копия_20206[[#This Row],[Value (in 1000 rub)]]&gt;$S$7,Копия_20206[[#This Row],[Value (in 1000 rub)]]&lt;$S$6),"outlier","not outlier")</f>
        <v>not outlier</v>
      </c>
      <c r="L1278" s="4" t="str">
        <f>IF(OR(Копия_20206[[#This Row],[Volume (in 1000 kg)]]&gt;$T$7,Копия_20206[[#This Row],[Volume (in 1000 kg)]]&lt;$T$6),"outlier","not outlier")</f>
        <v>not outlier</v>
      </c>
      <c r="M1278" s="4" t="str">
        <f>IF(OR(Копия_20206[[#This Row],[Number of stores]]&gt;$U$7,Копия_20206[[#This Row],[Number of stores]]&lt;$U$6),"outlier","not outlier")</f>
        <v>outlier</v>
      </c>
    </row>
    <row r="1279" spans="1:13" x14ac:dyDescent="0.25">
      <c r="A1279">
        <v>2021</v>
      </c>
      <c r="B1279">
        <v>12</v>
      </c>
      <c r="C1279" s="1" t="s">
        <v>8</v>
      </c>
      <c r="D1279" s="1" t="s">
        <v>17</v>
      </c>
      <c r="E1279" s="1" t="s">
        <v>18</v>
      </c>
      <c r="F1279" s="4">
        <v>3.0142000000000002</v>
      </c>
      <c r="G1279" s="4">
        <v>325.02226300000001</v>
      </c>
      <c r="H1279" s="4">
        <v>0.54249999999999998</v>
      </c>
      <c r="I1279">
        <v>210</v>
      </c>
      <c r="J1279" s="4" t="str">
        <f>IF(OR(Копия_20206[[#This Row],[Units (in 1000)]]&gt;$R$7,Копия_20206[[#This Row],[Units (in 1000)]]&lt;$R$6),"outlier","not outlier")</f>
        <v>not outlier</v>
      </c>
      <c r="K1279" s="4" t="str">
        <f>IF(OR(Копия_20206[[#This Row],[Value (in 1000 rub)]]&gt;$S$7,Копия_20206[[#This Row],[Value (in 1000 rub)]]&lt;$S$6),"outlier","not outlier")</f>
        <v>not outlier</v>
      </c>
      <c r="L1279" s="4" t="str">
        <f>IF(OR(Копия_20206[[#This Row],[Volume (in 1000 kg)]]&gt;$T$7,Копия_20206[[#This Row],[Volume (in 1000 kg)]]&lt;$T$6),"outlier","not outlier")</f>
        <v>not outlier</v>
      </c>
      <c r="M1279" s="4" t="str">
        <f>IF(OR(Копия_20206[[#This Row],[Number of stores]]&gt;$U$7,Копия_20206[[#This Row],[Number of stores]]&lt;$U$6),"outlier","not outlier")</f>
        <v>not outlier</v>
      </c>
    </row>
    <row r="1280" spans="1:13" x14ac:dyDescent="0.25">
      <c r="A1280">
        <v>2021</v>
      </c>
      <c r="B1280">
        <v>12</v>
      </c>
      <c r="C1280" s="1" t="s">
        <v>25</v>
      </c>
      <c r="D1280" s="1" t="s">
        <v>17</v>
      </c>
      <c r="E1280" s="1" t="s">
        <v>18</v>
      </c>
      <c r="F1280" s="4">
        <v>9.2164000000000001</v>
      </c>
      <c r="G1280" s="4">
        <v>785.23974499999997</v>
      </c>
      <c r="H1280" s="4">
        <v>1.6589</v>
      </c>
      <c r="I1280">
        <v>3027</v>
      </c>
      <c r="J1280" s="4" t="str">
        <f>IF(OR(Копия_20206[[#This Row],[Units (in 1000)]]&gt;$R$7,Копия_20206[[#This Row],[Units (in 1000)]]&lt;$R$6),"outlier","not outlier")</f>
        <v>not outlier</v>
      </c>
      <c r="K1280" s="4" t="str">
        <f>IF(OR(Копия_20206[[#This Row],[Value (in 1000 rub)]]&gt;$S$7,Копия_20206[[#This Row],[Value (in 1000 rub)]]&lt;$S$6),"outlier","not outlier")</f>
        <v>not outlier</v>
      </c>
      <c r="L1280" s="4" t="str">
        <f>IF(OR(Копия_20206[[#This Row],[Volume (in 1000 kg)]]&gt;$T$7,Копия_20206[[#This Row],[Volume (in 1000 kg)]]&lt;$T$6),"outlier","not outlier")</f>
        <v>not outlier</v>
      </c>
      <c r="M1280" s="4" t="str">
        <f>IF(OR(Копия_20206[[#This Row],[Number of stores]]&gt;$U$7,Копия_20206[[#This Row],[Number of stores]]&lt;$U$6),"outlier","not outlier")</f>
        <v>outlier</v>
      </c>
    </row>
    <row r="1281" spans="1:13" x14ac:dyDescent="0.25">
      <c r="A1281">
        <v>2021</v>
      </c>
      <c r="B1281">
        <v>12</v>
      </c>
      <c r="C1281" s="1" t="s">
        <v>29</v>
      </c>
      <c r="D1281" s="1" t="s">
        <v>17</v>
      </c>
      <c r="E1281" s="1" t="s">
        <v>18</v>
      </c>
      <c r="F1281" s="4">
        <v>17.0671</v>
      </c>
      <c r="G1281" s="4">
        <v>1470.9417510000001</v>
      </c>
      <c r="H1281" s="4">
        <v>3.0720999999999998</v>
      </c>
      <c r="I1281">
        <v>4837</v>
      </c>
      <c r="J1281" s="4" t="str">
        <f>IF(OR(Копия_20206[[#This Row],[Units (in 1000)]]&gt;$R$7,Копия_20206[[#This Row],[Units (in 1000)]]&lt;$R$6),"outlier","not outlier")</f>
        <v>not outlier</v>
      </c>
      <c r="K1281" s="4" t="str">
        <f>IF(OR(Копия_20206[[#This Row],[Value (in 1000 rub)]]&gt;$S$7,Копия_20206[[#This Row],[Value (in 1000 rub)]]&lt;$S$6),"outlier","not outlier")</f>
        <v>not outlier</v>
      </c>
      <c r="L1281" s="4" t="str">
        <f>IF(OR(Копия_20206[[#This Row],[Volume (in 1000 kg)]]&gt;$T$7,Копия_20206[[#This Row],[Volume (in 1000 kg)]]&lt;$T$6),"outlier","not outlier")</f>
        <v>not outlier</v>
      </c>
      <c r="M1281" s="4" t="str">
        <f>IF(OR(Копия_20206[[#This Row],[Number of stores]]&gt;$U$7,Копия_20206[[#This Row],[Number of stores]]&lt;$U$6),"outlier","not outlier")</f>
        <v>outlier</v>
      </c>
    </row>
    <row r="1282" spans="1:13" x14ac:dyDescent="0.25">
      <c r="A1282">
        <v>2021</v>
      </c>
      <c r="B1282">
        <v>1</v>
      </c>
      <c r="C1282" s="1" t="s">
        <v>8</v>
      </c>
      <c r="D1282" s="1" t="s">
        <v>16</v>
      </c>
      <c r="E1282" s="1" t="s">
        <v>11</v>
      </c>
      <c r="F1282" s="4">
        <v>4.3779000000000003</v>
      </c>
      <c r="G1282" s="4">
        <v>295.58389399999999</v>
      </c>
      <c r="H1282" s="4">
        <v>1.5761000000000001</v>
      </c>
      <c r="I1282">
        <v>234</v>
      </c>
      <c r="J1282" s="4" t="str">
        <f>IF(OR(Копия_20206[[#This Row],[Units (in 1000)]]&gt;$R$7,Копия_20206[[#This Row],[Units (in 1000)]]&lt;$R$6),"outlier","not outlier")</f>
        <v>not outlier</v>
      </c>
      <c r="K1282" s="4" t="str">
        <f>IF(OR(Копия_20206[[#This Row],[Value (in 1000 rub)]]&gt;$S$7,Копия_20206[[#This Row],[Value (in 1000 rub)]]&lt;$S$6),"outlier","not outlier")</f>
        <v>not outlier</v>
      </c>
      <c r="L1282" s="4" t="str">
        <f>IF(OR(Копия_20206[[#This Row],[Volume (in 1000 kg)]]&gt;$T$7,Копия_20206[[#This Row],[Volume (in 1000 kg)]]&lt;$T$6),"outlier","not outlier")</f>
        <v>not outlier</v>
      </c>
      <c r="M1282" s="4" t="str">
        <f>IF(OR(Копия_20206[[#This Row],[Number of stores]]&gt;$U$7,Копия_20206[[#This Row],[Number of stores]]&lt;$U$6),"outlier","not outlier")</f>
        <v>not outlier</v>
      </c>
    </row>
    <row r="1283" spans="1:13" x14ac:dyDescent="0.25">
      <c r="A1283">
        <v>2021</v>
      </c>
      <c r="B1283">
        <v>1</v>
      </c>
      <c r="C1283" s="1" t="s">
        <v>25</v>
      </c>
      <c r="D1283" s="1" t="s">
        <v>16</v>
      </c>
      <c r="E1283" s="1" t="s">
        <v>11</v>
      </c>
      <c r="F1283" s="4">
        <v>22.006499999999999</v>
      </c>
      <c r="G1283" s="4">
        <v>1012.00119</v>
      </c>
      <c r="H1283" s="4">
        <v>7.9222999999999999</v>
      </c>
      <c r="I1283">
        <v>1738</v>
      </c>
      <c r="J1283" s="4" t="str">
        <f>IF(OR(Копия_20206[[#This Row],[Units (in 1000)]]&gt;$R$7,Копия_20206[[#This Row],[Units (in 1000)]]&lt;$R$6),"outlier","not outlier")</f>
        <v>not outlier</v>
      </c>
      <c r="K1283" s="4" t="str">
        <f>IF(OR(Копия_20206[[#This Row],[Value (in 1000 rub)]]&gt;$S$7,Копия_20206[[#This Row],[Value (in 1000 rub)]]&lt;$S$6),"outlier","not outlier")</f>
        <v>not outlier</v>
      </c>
      <c r="L1283" s="4" t="str">
        <f>IF(OR(Копия_20206[[#This Row],[Volume (in 1000 kg)]]&gt;$T$7,Копия_20206[[#This Row],[Volume (in 1000 kg)]]&lt;$T$6),"outlier","not outlier")</f>
        <v>outlier</v>
      </c>
      <c r="M1283" s="4" t="str">
        <f>IF(OR(Копия_20206[[#This Row],[Number of stores]]&gt;$U$7,Копия_20206[[#This Row],[Number of stores]]&lt;$U$6),"outlier","not outlier")</f>
        <v>not outlier</v>
      </c>
    </row>
    <row r="1284" spans="1:13" x14ac:dyDescent="0.25">
      <c r="A1284">
        <v>2021</v>
      </c>
      <c r="B1284">
        <v>1</v>
      </c>
      <c r="C1284" s="1" t="s">
        <v>29</v>
      </c>
      <c r="D1284" s="1" t="s">
        <v>16</v>
      </c>
      <c r="E1284" s="1" t="s">
        <v>11</v>
      </c>
      <c r="F1284" s="4">
        <v>36.8688</v>
      </c>
      <c r="G1284" s="4">
        <v>2073.7657469999999</v>
      </c>
      <c r="H1284" s="4">
        <v>13.2728</v>
      </c>
      <c r="I1284">
        <v>2184</v>
      </c>
      <c r="J1284" s="4" t="str">
        <f>IF(OR(Копия_20206[[#This Row],[Units (in 1000)]]&gt;$R$7,Копия_20206[[#This Row],[Units (in 1000)]]&lt;$R$6),"outlier","not outlier")</f>
        <v>outlier</v>
      </c>
      <c r="K1284" s="4" t="str">
        <f>IF(OR(Копия_20206[[#This Row],[Value (in 1000 rub)]]&gt;$S$7,Копия_20206[[#This Row],[Value (in 1000 rub)]]&lt;$S$6),"outlier","not outlier")</f>
        <v>not outlier</v>
      </c>
      <c r="L1284" s="4" t="str">
        <f>IF(OR(Копия_20206[[#This Row],[Volume (in 1000 kg)]]&gt;$T$7,Копия_20206[[#This Row],[Volume (in 1000 kg)]]&lt;$T$6),"outlier","not outlier")</f>
        <v>outlier</v>
      </c>
      <c r="M1284" s="4" t="str">
        <f>IF(OR(Копия_20206[[#This Row],[Number of stores]]&gt;$U$7,Копия_20206[[#This Row],[Number of stores]]&lt;$U$6),"outlier","not outlier")</f>
        <v>not outlier</v>
      </c>
    </row>
    <row r="1285" spans="1:13" x14ac:dyDescent="0.25">
      <c r="A1285">
        <v>2021</v>
      </c>
      <c r="B1285">
        <v>2</v>
      </c>
      <c r="C1285" s="1" t="s">
        <v>8</v>
      </c>
      <c r="D1285" s="1" t="s">
        <v>16</v>
      </c>
      <c r="E1285" s="1" t="s">
        <v>11</v>
      </c>
      <c r="F1285" s="4">
        <v>4.7880000000000003</v>
      </c>
      <c r="G1285" s="4">
        <v>323.52865200000002</v>
      </c>
      <c r="H1285" s="4">
        <v>1.7237</v>
      </c>
      <c r="I1285">
        <v>237</v>
      </c>
      <c r="J1285" s="4" t="str">
        <f>IF(OR(Копия_20206[[#This Row],[Units (in 1000)]]&gt;$R$7,Копия_20206[[#This Row],[Units (in 1000)]]&lt;$R$6),"outlier","not outlier")</f>
        <v>not outlier</v>
      </c>
      <c r="K1285" s="4" t="str">
        <f>IF(OR(Копия_20206[[#This Row],[Value (in 1000 rub)]]&gt;$S$7,Копия_20206[[#This Row],[Value (in 1000 rub)]]&lt;$S$6),"outlier","not outlier")</f>
        <v>not outlier</v>
      </c>
      <c r="L1285" s="4" t="str">
        <f>IF(OR(Копия_20206[[#This Row],[Volume (in 1000 kg)]]&gt;$T$7,Копия_20206[[#This Row],[Volume (in 1000 kg)]]&lt;$T$6),"outlier","not outlier")</f>
        <v>not outlier</v>
      </c>
      <c r="M1285" s="4" t="str">
        <f>IF(OR(Копия_20206[[#This Row],[Number of stores]]&gt;$U$7,Копия_20206[[#This Row],[Number of stores]]&lt;$U$6),"outlier","not outlier")</f>
        <v>not outlier</v>
      </c>
    </row>
    <row r="1286" spans="1:13" x14ac:dyDescent="0.25">
      <c r="A1286">
        <v>2021</v>
      </c>
      <c r="B1286">
        <v>2</v>
      </c>
      <c r="C1286" s="1" t="s">
        <v>25</v>
      </c>
      <c r="D1286" s="1" t="s">
        <v>16</v>
      </c>
      <c r="E1286" s="1" t="s">
        <v>11</v>
      </c>
      <c r="F1286" s="4">
        <v>7.6459999999999999</v>
      </c>
      <c r="G1286" s="4">
        <v>547.56286299999999</v>
      </c>
      <c r="H1286" s="4">
        <v>2.7526000000000002</v>
      </c>
      <c r="I1286">
        <v>1592</v>
      </c>
      <c r="J1286" s="4" t="str">
        <f>IF(OR(Копия_20206[[#This Row],[Units (in 1000)]]&gt;$R$7,Копия_20206[[#This Row],[Units (in 1000)]]&lt;$R$6),"outlier","not outlier")</f>
        <v>not outlier</v>
      </c>
      <c r="K1286" s="4" t="str">
        <f>IF(OR(Копия_20206[[#This Row],[Value (in 1000 rub)]]&gt;$S$7,Копия_20206[[#This Row],[Value (in 1000 rub)]]&lt;$S$6),"outlier","not outlier")</f>
        <v>not outlier</v>
      </c>
      <c r="L1286" s="4" t="str">
        <f>IF(OR(Копия_20206[[#This Row],[Volume (in 1000 kg)]]&gt;$T$7,Копия_20206[[#This Row],[Volume (in 1000 kg)]]&lt;$T$6),"outlier","not outlier")</f>
        <v>not outlier</v>
      </c>
      <c r="M1286" s="4" t="str">
        <f>IF(OR(Копия_20206[[#This Row],[Number of stores]]&gt;$U$7,Копия_20206[[#This Row],[Number of stores]]&lt;$U$6),"outlier","not outlier")</f>
        <v>not outlier</v>
      </c>
    </row>
    <row r="1287" spans="1:13" x14ac:dyDescent="0.25">
      <c r="A1287">
        <v>2021</v>
      </c>
      <c r="B1287">
        <v>2</v>
      </c>
      <c r="C1287" s="1" t="s">
        <v>29</v>
      </c>
      <c r="D1287" s="1" t="s">
        <v>16</v>
      </c>
      <c r="E1287" s="1" t="s">
        <v>11</v>
      </c>
      <c r="F1287" s="4">
        <v>19.6373</v>
      </c>
      <c r="G1287" s="4">
        <v>1418.480059</v>
      </c>
      <c r="H1287" s="4">
        <v>7.0694999999999997</v>
      </c>
      <c r="I1287">
        <v>2062</v>
      </c>
      <c r="J1287" s="4" t="str">
        <f>IF(OR(Копия_20206[[#This Row],[Units (in 1000)]]&gt;$R$7,Копия_20206[[#This Row],[Units (in 1000)]]&lt;$R$6),"outlier","not outlier")</f>
        <v>not outlier</v>
      </c>
      <c r="K1287" s="4" t="str">
        <f>IF(OR(Копия_20206[[#This Row],[Value (in 1000 rub)]]&gt;$S$7,Копия_20206[[#This Row],[Value (in 1000 rub)]]&lt;$S$6),"outlier","not outlier")</f>
        <v>not outlier</v>
      </c>
      <c r="L1287" s="4" t="str">
        <f>IF(OR(Копия_20206[[#This Row],[Volume (in 1000 kg)]]&gt;$T$7,Копия_20206[[#This Row],[Volume (in 1000 kg)]]&lt;$T$6),"outlier","not outlier")</f>
        <v>not outlier</v>
      </c>
      <c r="M1287" s="4" t="str">
        <f>IF(OR(Копия_20206[[#This Row],[Number of stores]]&gt;$U$7,Копия_20206[[#This Row],[Number of stores]]&lt;$U$6),"outlier","not outlier")</f>
        <v>not outlier</v>
      </c>
    </row>
    <row r="1288" spans="1:13" x14ac:dyDescent="0.25">
      <c r="A1288">
        <v>2021</v>
      </c>
      <c r="B1288">
        <v>3</v>
      </c>
      <c r="C1288" s="1" t="s">
        <v>8</v>
      </c>
      <c r="D1288" s="1" t="s">
        <v>16</v>
      </c>
      <c r="E1288" s="1" t="s">
        <v>11</v>
      </c>
      <c r="F1288" s="4">
        <v>4.7588999999999997</v>
      </c>
      <c r="G1288" s="4">
        <v>326.44578799999999</v>
      </c>
      <c r="H1288" s="4">
        <v>1.7132000000000001</v>
      </c>
      <c r="I1288">
        <v>236</v>
      </c>
      <c r="J1288" s="4" t="str">
        <f>IF(OR(Копия_20206[[#This Row],[Units (in 1000)]]&gt;$R$7,Копия_20206[[#This Row],[Units (in 1000)]]&lt;$R$6),"outlier","not outlier")</f>
        <v>not outlier</v>
      </c>
      <c r="K1288" s="4" t="str">
        <f>IF(OR(Копия_20206[[#This Row],[Value (in 1000 rub)]]&gt;$S$7,Копия_20206[[#This Row],[Value (in 1000 rub)]]&lt;$S$6),"outlier","not outlier")</f>
        <v>not outlier</v>
      </c>
      <c r="L1288" s="4" t="str">
        <f>IF(OR(Копия_20206[[#This Row],[Volume (in 1000 kg)]]&gt;$T$7,Копия_20206[[#This Row],[Volume (in 1000 kg)]]&lt;$T$6),"outlier","not outlier")</f>
        <v>not outlier</v>
      </c>
      <c r="M1288" s="4" t="str">
        <f>IF(OR(Копия_20206[[#This Row],[Number of stores]]&gt;$U$7,Копия_20206[[#This Row],[Number of stores]]&lt;$U$6),"outlier","not outlier")</f>
        <v>not outlier</v>
      </c>
    </row>
    <row r="1289" spans="1:13" x14ac:dyDescent="0.25">
      <c r="A1289">
        <v>2021</v>
      </c>
      <c r="B1289">
        <v>3</v>
      </c>
      <c r="C1289" s="1" t="s">
        <v>25</v>
      </c>
      <c r="D1289" s="1" t="s">
        <v>16</v>
      </c>
      <c r="E1289" s="1" t="s">
        <v>11</v>
      </c>
      <c r="F1289" s="4">
        <v>16.7714</v>
      </c>
      <c r="G1289" s="4">
        <v>957.65010700000005</v>
      </c>
      <c r="H1289" s="4">
        <v>6.0377000000000001</v>
      </c>
      <c r="I1289">
        <v>1817</v>
      </c>
      <c r="J1289" s="4" t="str">
        <f>IF(OR(Копия_20206[[#This Row],[Units (in 1000)]]&gt;$R$7,Копия_20206[[#This Row],[Units (in 1000)]]&lt;$R$6),"outlier","not outlier")</f>
        <v>not outlier</v>
      </c>
      <c r="K1289" s="4" t="str">
        <f>IF(OR(Копия_20206[[#This Row],[Value (in 1000 rub)]]&gt;$S$7,Копия_20206[[#This Row],[Value (in 1000 rub)]]&lt;$S$6),"outlier","not outlier")</f>
        <v>not outlier</v>
      </c>
      <c r="L1289" s="4" t="str">
        <f>IF(OR(Копия_20206[[#This Row],[Volume (in 1000 kg)]]&gt;$T$7,Копия_20206[[#This Row],[Volume (in 1000 kg)]]&lt;$T$6),"outlier","not outlier")</f>
        <v>not outlier</v>
      </c>
      <c r="M1289" s="4" t="str">
        <f>IF(OR(Копия_20206[[#This Row],[Number of stores]]&gt;$U$7,Копия_20206[[#This Row],[Number of stores]]&lt;$U$6),"outlier","not outlier")</f>
        <v>not outlier</v>
      </c>
    </row>
    <row r="1290" spans="1:13" x14ac:dyDescent="0.25">
      <c r="A1290">
        <v>2021</v>
      </c>
      <c r="B1290">
        <v>3</v>
      </c>
      <c r="C1290" s="1" t="s">
        <v>29</v>
      </c>
      <c r="D1290" s="1" t="s">
        <v>16</v>
      </c>
      <c r="E1290" s="1" t="s">
        <v>11</v>
      </c>
      <c r="F1290" s="4">
        <v>26.157699999999998</v>
      </c>
      <c r="G1290" s="4">
        <v>1774.121005</v>
      </c>
      <c r="H1290" s="4">
        <v>9.4168000000000003</v>
      </c>
      <c r="I1290">
        <v>1981</v>
      </c>
      <c r="J1290" s="4" t="str">
        <f>IF(OR(Копия_20206[[#This Row],[Units (in 1000)]]&gt;$R$7,Копия_20206[[#This Row],[Units (in 1000)]]&lt;$R$6),"outlier","not outlier")</f>
        <v>outlier</v>
      </c>
      <c r="K1290" s="4" t="str">
        <f>IF(OR(Копия_20206[[#This Row],[Value (in 1000 rub)]]&gt;$S$7,Копия_20206[[#This Row],[Value (in 1000 rub)]]&lt;$S$6),"outlier","not outlier")</f>
        <v>not outlier</v>
      </c>
      <c r="L1290" s="4" t="str">
        <f>IF(OR(Копия_20206[[#This Row],[Volume (in 1000 kg)]]&gt;$T$7,Копия_20206[[#This Row],[Volume (in 1000 kg)]]&lt;$T$6),"outlier","not outlier")</f>
        <v>outlier</v>
      </c>
      <c r="M1290" s="4" t="str">
        <f>IF(OR(Копия_20206[[#This Row],[Number of stores]]&gt;$U$7,Копия_20206[[#This Row],[Number of stores]]&lt;$U$6),"outlier","not outlier")</f>
        <v>not outlier</v>
      </c>
    </row>
    <row r="1291" spans="1:13" x14ac:dyDescent="0.25">
      <c r="A1291">
        <v>2021</v>
      </c>
      <c r="B1291">
        <v>4</v>
      </c>
      <c r="C1291" s="1" t="s">
        <v>8</v>
      </c>
      <c r="D1291" s="1" t="s">
        <v>16</v>
      </c>
      <c r="E1291" s="1" t="s">
        <v>11</v>
      </c>
      <c r="F1291" s="4">
        <v>4.0396999999999998</v>
      </c>
      <c r="G1291" s="4">
        <v>308.45032099999997</v>
      </c>
      <c r="H1291" s="4">
        <v>1.4541999999999999</v>
      </c>
      <c r="I1291">
        <v>232</v>
      </c>
      <c r="J1291" s="4" t="str">
        <f>IF(OR(Копия_20206[[#This Row],[Units (in 1000)]]&gt;$R$7,Копия_20206[[#This Row],[Units (in 1000)]]&lt;$R$6),"outlier","not outlier")</f>
        <v>not outlier</v>
      </c>
      <c r="K1291" s="4" t="str">
        <f>IF(OR(Копия_20206[[#This Row],[Value (in 1000 rub)]]&gt;$S$7,Копия_20206[[#This Row],[Value (in 1000 rub)]]&lt;$S$6),"outlier","not outlier")</f>
        <v>not outlier</v>
      </c>
      <c r="L1291" s="4" t="str">
        <f>IF(OR(Копия_20206[[#This Row],[Volume (in 1000 kg)]]&gt;$T$7,Копия_20206[[#This Row],[Volume (in 1000 kg)]]&lt;$T$6),"outlier","not outlier")</f>
        <v>not outlier</v>
      </c>
      <c r="M1291" s="4" t="str">
        <f>IF(OR(Копия_20206[[#This Row],[Number of stores]]&gt;$U$7,Копия_20206[[#This Row],[Number of stores]]&lt;$U$6),"outlier","not outlier")</f>
        <v>not outlier</v>
      </c>
    </row>
    <row r="1292" spans="1:13" x14ac:dyDescent="0.25">
      <c r="A1292">
        <v>2021</v>
      </c>
      <c r="B1292">
        <v>4</v>
      </c>
      <c r="C1292" s="1" t="s">
        <v>25</v>
      </c>
      <c r="D1292" s="1" t="s">
        <v>16</v>
      </c>
      <c r="E1292" s="1" t="s">
        <v>11</v>
      </c>
      <c r="F1292" s="4">
        <v>16.905999999999999</v>
      </c>
      <c r="G1292" s="4">
        <v>993.90619800000002</v>
      </c>
      <c r="H1292" s="4">
        <v>6.0861999999999998</v>
      </c>
      <c r="I1292">
        <v>1853</v>
      </c>
      <c r="J1292" s="4" t="str">
        <f>IF(OR(Копия_20206[[#This Row],[Units (in 1000)]]&gt;$R$7,Копия_20206[[#This Row],[Units (in 1000)]]&lt;$R$6),"outlier","not outlier")</f>
        <v>not outlier</v>
      </c>
      <c r="K1292" s="4" t="str">
        <f>IF(OR(Копия_20206[[#This Row],[Value (in 1000 rub)]]&gt;$S$7,Копия_20206[[#This Row],[Value (in 1000 rub)]]&lt;$S$6),"outlier","not outlier")</f>
        <v>not outlier</v>
      </c>
      <c r="L1292" s="4" t="str">
        <f>IF(OR(Копия_20206[[#This Row],[Volume (in 1000 kg)]]&gt;$T$7,Копия_20206[[#This Row],[Volume (in 1000 kg)]]&lt;$T$6),"outlier","not outlier")</f>
        <v>not outlier</v>
      </c>
      <c r="M1292" s="4" t="str">
        <f>IF(OR(Копия_20206[[#This Row],[Number of stores]]&gt;$U$7,Копия_20206[[#This Row],[Number of stores]]&lt;$U$6),"outlier","not outlier")</f>
        <v>not outlier</v>
      </c>
    </row>
    <row r="1293" spans="1:13" x14ac:dyDescent="0.25">
      <c r="A1293">
        <v>2021</v>
      </c>
      <c r="B1293">
        <v>4</v>
      </c>
      <c r="C1293" s="1" t="s">
        <v>29</v>
      </c>
      <c r="D1293" s="1" t="s">
        <v>16</v>
      </c>
      <c r="E1293" s="1" t="s">
        <v>11</v>
      </c>
      <c r="F1293" s="4">
        <v>35.147500000000001</v>
      </c>
      <c r="G1293" s="4">
        <v>2209.3593999999998</v>
      </c>
      <c r="H1293" s="4">
        <v>12.6531</v>
      </c>
      <c r="I1293">
        <v>1975</v>
      </c>
      <c r="J1293" s="4" t="str">
        <f>IF(OR(Копия_20206[[#This Row],[Units (in 1000)]]&gt;$R$7,Копия_20206[[#This Row],[Units (in 1000)]]&lt;$R$6),"outlier","not outlier")</f>
        <v>outlier</v>
      </c>
      <c r="K1293" s="4" t="str">
        <f>IF(OR(Копия_20206[[#This Row],[Value (in 1000 rub)]]&gt;$S$7,Копия_20206[[#This Row],[Value (in 1000 rub)]]&lt;$S$6),"outlier","not outlier")</f>
        <v>outlier</v>
      </c>
      <c r="L1293" s="4" t="str">
        <f>IF(OR(Копия_20206[[#This Row],[Volume (in 1000 kg)]]&gt;$T$7,Копия_20206[[#This Row],[Volume (in 1000 kg)]]&lt;$T$6),"outlier","not outlier")</f>
        <v>outlier</v>
      </c>
      <c r="M1293" s="4" t="str">
        <f>IF(OR(Копия_20206[[#This Row],[Number of stores]]&gt;$U$7,Копия_20206[[#This Row],[Number of stores]]&lt;$U$6),"outlier","not outlier")</f>
        <v>not outlier</v>
      </c>
    </row>
    <row r="1294" spans="1:13" x14ac:dyDescent="0.25">
      <c r="A1294">
        <v>2021</v>
      </c>
      <c r="B1294">
        <v>5</v>
      </c>
      <c r="C1294" s="1" t="s">
        <v>8</v>
      </c>
      <c r="D1294" s="1" t="s">
        <v>16</v>
      </c>
      <c r="E1294" s="1" t="s">
        <v>11</v>
      </c>
      <c r="F1294" s="4">
        <v>3.0084</v>
      </c>
      <c r="G1294" s="4">
        <v>254.33926600000001</v>
      </c>
      <c r="H1294" s="4">
        <v>1.083</v>
      </c>
      <c r="I1294">
        <v>229</v>
      </c>
      <c r="J1294" s="4" t="str">
        <f>IF(OR(Копия_20206[[#This Row],[Units (in 1000)]]&gt;$R$7,Копия_20206[[#This Row],[Units (in 1000)]]&lt;$R$6),"outlier","not outlier")</f>
        <v>not outlier</v>
      </c>
      <c r="K1294" s="4" t="str">
        <f>IF(OR(Копия_20206[[#This Row],[Value (in 1000 rub)]]&gt;$S$7,Копия_20206[[#This Row],[Value (in 1000 rub)]]&lt;$S$6),"outlier","not outlier")</f>
        <v>not outlier</v>
      </c>
      <c r="L1294" s="4" t="str">
        <f>IF(OR(Копия_20206[[#This Row],[Volume (in 1000 kg)]]&gt;$T$7,Копия_20206[[#This Row],[Volume (in 1000 kg)]]&lt;$T$6),"outlier","not outlier")</f>
        <v>not outlier</v>
      </c>
      <c r="M1294" s="4" t="str">
        <f>IF(OR(Копия_20206[[#This Row],[Number of stores]]&gt;$U$7,Копия_20206[[#This Row],[Number of stores]]&lt;$U$6),"outlier","not outlier")</f>
        <v>not outlier</v>
      </c>
    </row>
    <row r="1295" spans="1:13" x14ac:dyDescent="0.25">
      <c r="A1295">
        <v>2021</v>
      </c>
      <c r="B1295">
        <v>5</v>
      </c>
      <c r="C1295" s="1" t="s">
        <v>25</v>
      </c>
      <c r="D1295" s="1" t="s">
        <v>16</v>
      </c>
      <c r="E1295" s="1" t="s">
        <v>11</v>
      </c>
      <c r="F1295" s="4">
        <v>11.3992</v>
      </c>
      <c r="G1295" s="4">
        <v>729.85568000000001</v>
      </c>
      <c r="H1295" s="4">
        <v>4.1036999999999999</v>
      </c>
      <c r="I1295">
        <v>1552</v>
      </c>
      <c r="J1295" s="4" t="str">
        <f>IF(OR(Копия_20206[[#This Row],[Units (in 1000)]]&gt;$R$7,Копия_20206[[#This Row],[Units (in 1000)]]&lt;$R$6),"outlier","not outlier")</f>
        <v>not outlier</v>
      </c>
      <c r="K1295" s="4" t="str">
        <f>IF(OR(Копия_20206[[#This Row],[Value (in 1000 rub)]]&gt;$S$7,Копия_20206[[#This Row],[Value (in 1000 rub)]]&lt;$S$6),"outlier","not outlier")</f>
        <v>not outlier</v>
      </c>
      <c r="L1295" s="4" t="str">
        <f>IF(OR(Копия_20206[[#This Row],[Volume (in 1000 kg)]]&gt;$T$7,Копия_20206[[#This Row],[Volume (in 1000 kg)]]&lt;$T$6),"outlier","not outlier")</f>
        <v>not outlier</v>
      </c>
      <c r="M1295" s="4" t="str">
        <f>IF(OR(Копия_20206[[#This Row],[Number of stores]]&gt;$U$7,Копия_20206[[#This Row],[Number of stores]]&lt;$U$6),"outlier","not outlier")</f>
        <v>not outlier</v>
      </c>
    </row>
    <row r="1296" spans="1:13" x14ac:dyDescent="0.25">
      <c r="A1296">
        <v>2021</v>
      </c>
      <c r="B1296">
        <v>5</v>
      </c>
      <c r="C1296" s="1" t="s">
        <v>29</v>
      </c>
      <c r="D1296" s="1" t="s">
        <v>16</v>
      </c>
      <c r="E1296" s="1" t="s">
        <v>11</v>
      </c>
      <c r="F1296" s="4">
        <v>21.739599999999999</v>
      </c>
      <c r="G1296" s="4">
        <v>1515.2832040000001</v>
      </c>
      <c r="H1296" s="4">
        <v>7.8262</v>
      </c>
      <c r="I1296">
        <v>1670</v>
      </c>
      <c r="J1296" s="4" t="str">
        <f>IF(OR(Копия_20206[[#This Row],[Units (in 1000)]]&gt;$R$7,Копия_20206[[#This Row],[Units (in 1000)]]&lt;$R$6),"outlier","not outlier")</f>
        <v>not outlier</v>
      </c>
      <c r="K1296" s="4" t="str">
        <f>IF(OR(Копия_20206[[#This Row],[Value (in 1000 rub)]]&gt;$S$7,Копия_20206[[#This Row],[Value (in 1000 rub)]]&lt;$S$6),"outlier","not outlier")</f>
        <v>not outlier</v>
      </c>
      <c r="L1296" s="4" t="str">
        <f>IF(OR(Копия_20206[[#This Row],[Volume (in 1000 kg)]]&gt;$T$7,Копия_20206[[#This Row],[Volume (in 1000 kg)]]&lt;$T$6),"outlier","not outlier")</f>
        <v>outlier</v>
      </c>
      <c r="M1296" s="4" t="str">
        <f>IF(OR(Копия_20206[[#This Row],[Number of stores]]&gt;$U$7,Копия_20206[[#This Row],[Number of stores]]&lt;$U$6),"outlier","not outlier")</f>
        <v>not outlier</v>
      </c>
    </row>
    <row r="1297" spans="1:13" x14ac:dyDescent="0.25">
      <c r="A1297">
        <v>2021</v>
      </c>
      <c r="B1297">
        <v>6</v>
      </c>
      <c r="C1297" s="1" t="s">
        <v>8</v>
      </c>
      <c r="D1297" s="1" t="s">
        <v>16</v>
      </c>
      <c r="E1297" s="1" t="s">
        <v>11</v>
      </c>
      <c r="F1297" s="4">
        <v>2.8008999999999999</v>
      </c>
      <c r="G1297" s="4">
        <v>230.718658</v>
      </c>
      <c r="H1297" s="4">
        <v>1.0083</v>
      </c>
      <c r="I1297">
        <v>236</v>
      </c>
      <c r="J1297" s="4" t="str">
        <f>IF(OR(Копия_20206[[#This Row],[Units (in 1000)]]&gt;$R$7,Копия_20206[[#This Row],[Units (in 1000)]]&lt;$R$6),"outlier","not outlier")</f>
        <v>not outlier</v>
      </c>
      <c r="K1297" s="4" t="str">
        <f>IF(OR(Копия_20206[[#This Row],[Value (in 1000 rub)]]&gt;$S$7,Копия_20206[[#This Row],[Value (in 1000 rub)]]&lt;$S$6),"outlier","not outlier")</f>
        <v>not outlier</v>
      </c>
      <c r="L1297" s="4" t="str">
        <f>IF(OR(Копия_20206[[#This Row],[Volume (in 1000 kg)]]&gt;$T$7,Копия_20206[[#This Row],[Volume (in 1000 kg)]]&lt;$T$6),"outlier","not outlier")</f>
        <v>not outlier</v>
      </c>
      <c r="M1297" s="4" t="str">
        <f>IF(OR(Копия_20206[[#This Row],[Number of stores]]&gt;$U$7,Копия_20206[[#This Row],[Number of stores]]&lt;$U$6),"outlier","not outlier")</f>
        <v>not outlier</v>
      </c>
    </row>
    <row r="1298" spans="1:13" x14ac:dyDescent="0.25">
      <c r="A1298">
        <v>2021</v>
      </c>
      <c r="B1298">
        <v>6</v>
      </c>
      <c r="C1298" s="1" t="s">
        <v>25</v>
      </c>
      <c r="D1298" s="1" t="s">
        <v>16</v>
      </c>
      <c r="E1298" s="1" t="s">
        <v>11</v>
      </c>
      <c r="F1298" s="4">
        <v>12.1151</v>
      </c>
      <c r="G1298" s="4">
        <v>684.56963099999996</v>
      </c>
      <c r="H1298" s="4">
        <v>4.3615000000000004</v>
      </c>
      <c r="I1298">
        <v>1387</v>
      </c>
      <c r="J1298" s="4" t="str">
        <f>IF(OR(Копия_20206[[#This Row],[Units (in 1000)]]&gt;$R$7,Копия_20206[[#This Row],[Units (in 1000)]]&lt;$R$6),"outlier","not outlier")</f>
        <v>not outlier</v>
      </c>
      <c r="K1298" s="4" t="str">
        <f>IF(OR(Копия_20206[[#This Row],[Value (in 1000 rub)]]&gt;$S$7,Копия_20206[[#This Row],[Value (in 1000 rub)]]&lt;$S$6),"outlier","not outlier")</f>
        <v>not outlier</v>
      </c>
      <c r="L1298" s="4" t="str">
        <f>IF(OR(Копия_20206[[#This Row],[Volume (in 1000 kg)]]&gt;$T$7,Копия_20206[[#This Row],[Volume (in 1000 kg)]]&lt;$T$6),"outlier","not outlier")</f>
        <v>not outlier</v>
      </c>
      <c r="M1298" s="4" t="str">
        <f>IF(OR(Копия_20206[[#This Row],[Number of stores]]&gt;$U$7,Копия_20206[[#This Row],[Number of stores]]&lt;$U$6),"outlier","not outlier")</f>
        <v>not outlier</v>
      </c>
    </row>
    <row r="1299" spans="1:13" x14ac:dyDescent="0.25">
      <c r="A1299">
        <v>2021</v>
      </c>
      <c r="B1299">
        <v>6</v>
      </c>
      <c r="C1299" s="1" t="s">
        <v>29</v>
      </c>
      <c r="D1299" s="1" t="s">
        <v>16</v>
      </c>
      <c r="E1299" s="1" t="s">
        <v>11</v>
      </c>
      <c r="F1299" s="4">
        <v>17.858899999999998</v>
      </c>
      <c r="G1299" s="4">
        <v>1193.7135639999999</v>
      </c>
      <c r="H1299" s="4">
        <v>6.4291999999999998</v>
      </c>
      <c r="I1299">
        <v>1676</v>
      </c>
      <c r="J1299" s="4" t="str">
        <f>IF(OR(Копия_20206[[#This Row],[Units (in 1000)]]&gt;$R$7,Копия_20206[[#This Row],[Units (in 1000)]]&lt;$R$6),"outlier","not outlier")</f>
        <v>not outlier</v>
      </c>
      <c r="K1299" s="4" t="str">
        <f>IF(OR(Копия_20206[[#This Row],[Value (in 1000 rub)]]&gt;$S$7,Копия_20206[[#This Row],[Value (in 1000 rub)]]&lt;$S$6),"outlier","not outlier")</f>
        <v>not outlier</v>
      </c>
      <c r="L1299" s="4" t="str">
        <f>IF(OR(Копия_20206[[#This Row],[Volume (in 1000 kg)]]&gt;$T$7,Копия_20206[[#This Row],[Volume (in 1000 kg)]]&lt;$T$6),"outlier","not outlier")</f>
        <v>not outlier</v>
      </c>
      <c r="M1299" s="4" t="str">
        <f>IF(OR(Копия_20206[[#This Row],[Number of stores]]&gt;$U$7,Копия_20206[[#This Row],[Number of stores]]&lt;$U$6),"outlier","not outlier")</f>
        <v>not outlier</v>
      </c>
    </row>
    <row r="1300" spans="1:13" x14ac:dyDescent="0.25">
      <c r="A1300">
        <v>2021</v>
      </c>
      <c r="B1300">
        <v>7</v>
      </c>
      <c r="C1300" s="1" t="s">
        <v>8</v>
      </c>
      <c r="D1300" s="1" t="s">
        <v>16</v>
      </c>
      <c r="E1300" s="1" t="s">
        <v>11</v>
      </c>
      <c r="F1300" s="4">
        <v>2.8607</v>
      </c>
      <c r="G1300" s="4">
        <v>238.59601699999999</v>
      </c>
      <c r="H1300" s="4">
        <v>1.0298</v>
      </c>
      <c r="I1300">
        <v>234</v>
      </c>
      <c r="J1300" s="4" t="str">
        <f>IF(OR(Копия_20206[[#This Row],[Units (in 1000)]]&gt;$R$7,Копия_20206[[#This Row],[Units (in 1000)]]&lt;$R$6),"outlier","not outlier")</f>
        <v>not outlier</v>
      </c>
      <c r="K1300" s="4" t="str">
        <f>IF(OR(Копия_20206[[#This Row],[Value (in 1000 rub)]]&gt;$S$7,Копия_20206[[#This Row],[Value (in 1000 rub)]]&lt;$S$6),"outlier","not outlier")</f>
        <v>not outlier</v>
      </c>
      <c r="L1300" s="4" t="str">
        <f>IF(OR(Копия_20206[[#This Row],[Volume (in 1000 kg)]]&gt;$T$7,Копия_20206[[#This Row],[Volume (in 1000 kg)]]&lt;$T$6),"outlier","not outlier")</f>
        <v>not outlier</v>
      </c>
      <c r="M1300" s="4" t="str">
        <f>IF(OR(Копия_20206[[#This Row],[Number of stores]]&gt;$U$7,Копия_20206[[#This Row],[Number of stores]]&lt;$U$6),"outlier","not outlier")</f>
        <v>not outlier</v>
      </c>
    </row>
    <row r="1301" spans="1:13" x14ac:dyDescent="0.25">
      <c r="A1301">
        <v>2021</v>
      </c>
      <c r="B1301">
        <v>7</v>
      </c>
      <c r="C1301" s="1" t="s">
        <v>25</v>
      </c>
      <c r="D1301" s="1" t="s">
        <v>16</v>
      </c>
      <c r="E1301" s="1" t="s">
        <v>11</v>
      </c>
      <c r="F1301" s="4">
        <v>11.1022</v>
      </c>
      <c r="G1301" s="4">
        <v>627.35438999999997</v>
      </c>
      <c r="H1301" s="4">
        <v>3.9967999999999999</v>
      </c>
      <c r="I1301">
        <v>1374</v>
      </c>
      <c r="J1301" s="4" t="str">
        <f>IF(OR(Копия_20206[[#This Row],[Units (in 1000)]]&gt;$R$7,Копия_20206[[#This Row],[Units (in 1000)]]&lt;$R$6),"outlier","not outlier")</f>
        <v>not outlier</v>
      </c>
      <c r="K1301" s="4" t="str">
        <f>IF(OR(Копия_20206[[#This Row],[Value (in 1000 rub)]]&gt;$S$7,Копия_20206[[#This Row],[Value (in 1000 rub)]]&lt;$S$6),"outlier","not outlier")</f>
        <v>not outlier</v>
      </c>
      <c r="L1301" s="4" t="str">
        <f>IF(OR(Копия_20206[[#This Row],[Volume (in 1000 kg)]]&gt;$T$7,Копия_20206[[#This Row],[Volume (in 1000 kg)]]&lt;$T$6),"outlier","not outlier")</f>
        <v>not outlier</v>
      </c>
      <c r="M1301" s="4" t="str">
        <f>IF(OR(Копия_20206[[#This Row],[Number of stores]]&gt;$U$7,Копия_20206[[#This Row],[Number of stores]]&lt;$U$6),"outlier","not outlier")</f>
        <v>not outlier</v>
      </c>
    </row>
    <row r="1302" spans="1:13" x14ac:dyDescent="0.25">
      <c r="A1302">
        <v>2021</v>
      </c>
      <c r="B1302">
        <v>7</v>
      </c>
      <c r="C1302" s="1" t="s">
        <v>29</v>
      </c>
      <c r="D1302" s="1" t="s">
        <v>16</v>
      </c>
      <c r="E1302" s="1" t="s">
        <v>11</v>
      </c>
      <c r="F1302" s="4">
        <v>27.990200000000002</v>
      </c>
      <c r="G1302" s="4">
        <v>1759.8600280000001</v>
      </c>
      <c r="H1302" s="4">
        <v>10.076499999999999</v>
      </c>
      <c r="I1302">
        <v>1629</v>
      </c>
      <c r="J1302" s="4" t="str">
        <f>IF(OR(Копия_20206[[#This Row],[Units (in 1000)]]&gt;$R$7,Копия_20206[[#This Row],[Units (in 1000)]]&lt;$R$6),"outlier","not outlier")</f>
        <v>outlier</v>
      </c>
      <c r="K1302" s="4" t="str">
        <f>IF(OR(Копия_20206[[#This Row],[Value (in 1000 rub)]]&gt;$S$7,Копия_20206[[#This Row],[Value (in 1000 rub)]]&lt;$S$6),"outlier","not outlier")</f>
        <v>not outlier</v>
      </c>
      <c r="L1302" s="4" t="str">
        <f>IF(OR(Копия_20206[[#This Row],[Volume (in 1000 kg)]]&gt;$T$7,Копия_20206[[#This Row],[Volume (in 1000 kg)]]&lt;$T$6),"outlier","not outlier")</f>
        <v>outlier</v>
      </c>
      <c r="M1302" s="4" t="str">
        <f>IF(OR(Копия_20206[[#This Row],[Number of stores]]&gt;$U$7,Копия_20206[[#This Row],[Number of stores]]&lt;$U$6),"outlier","not outlier")</f>
        <v>not outlier</v>
      </c>
    </row>
    <row r="1303" spans="1:13" x14ac:dyDescent="0.25">
      <c r="A1303">
        <v>2021</v>
      </c>
      <c r="B1303">
        <v>8</v>
      </c>
      <c r="C1303" s="1" t="s">
        <v>8</v>
      </c>
      <c r="D1303" s="1" t="s">
        <v>16</v>
      </c>
      <c r="E1303" s="1" t="s">
        <v>11</v>
      </c>
      <c r="F1303" s="4">
        <v>2.6053999999999999</v>
      </c>
      <c r="G1303" s="4">
        <v>220.18355199999999</v>
      </c>
      <c r="H1303" s="4">
        <v>0.93799999999999994</v>
      </c>
      <c r="I1303">
        <v>249</v>
      </c>
      <c r="J1303" s="4" t="str">
        <f>IF(OR(Копия_20206[[#This Row],[Units (in 1000)]]&gt;$R$7,Копия_20206[[#This Row],[Units (in 1000)]]&lt;$R$6),"outlier","not outlier")</f>
        <v>not outlier</v>
      </c>
      <c r="K1303" s="4" t="str">
        <f>IF(OR(Копия_20206[[#This Row],[Value (in 1000 rub)]]&gt;$S$7,Копия_20206[[#This Row],[Value (in 1000 rub)]]&lt;$S$6),"outlier","not outlier")</f>
        <v>not outlier</v>
      </c>
      <c r="L1303" s="4" t="str">
        <f>IF(OR(Копия_20206[[#This Row],[Volume (in 1000 kg)]]&gt;$T$7,Копия_20206[[#This Row],[Volume (in 1000 kg)]]&lt;$T$6),"outlier","not outlier")</f>
        <v>not outlier</v>
      </c>
      <c r="M1303" s="4" t="str">
        <f>IF(OR(Копия_20206[[#This Row],[Number of stores]]&gt;$U$7,Копия_20206[[#This Row],[Number of stores]]&lt;$U$6),"outlier","not outlier")</f>
        <v>not outlier</v>
      </c>
    </row>
    <row r="1304" spans="1:13" x14ac:dyDescent="0.25">
      <c r="A1304">
        <v>2021</v>
      </c>
      <c r="B1304">
        <v>8</v>
      </c>
      <c r="C1304" s="1" t="s">
        <v>25</v>
      </c>
      <c r="D1304" s="1" t="s">
        <v>16</v>
      </c>
      <c r="E1304" s="1" t="s">
        <v>11</v>
      </c>
      <c r="F1304" s="4">
        <v>8.2988999999999997</v>
      </c>
      <c r="G1304" s="4">
        <v>520.89913799999999</v>
      </c>
      <c r="H1304" s="4">
        <v>2.9876999999999998</v>
      </c>
      <c r="I1304">
        <v>1386</v>
      </c>
      <c r="J1304" s="4" t="str">
        <f>IF(OR(Копия_20206[[#This Row],[Units (in 1000)]]&gt;$R$7,Копия_20206[[#This Row],[Units (in 1000)]]&lt;$R$6),"outlier","not outlier")</f>
        <v>not outlier</v>
      </c>
      <c r="K1304" s="4" t="str">
        <f>IF(OR(Копия_20206[[#This Row],[Value (in 1000 rub)]]&gt;$S$7,Копия_20206[[#This Row],[Value (in 1000 rub)]]&lt;$S$6),"outlier","not outlier")</f>
        <v>not outlier</v>
      </c>
      <c r="L1304" s="4" t="str">
        <f>IF(OR(Копия_20206[[#This Row],[Volume (in 1000 kg)]]&gt;$T$7,Копия_20206[[#This Row],[Volume (in 1000 kg)]]&lt;$T$6),"outlier","not outlier")</f>
        <v>not outlier</v>
      </c>
      <c r="M1304" s="4" t="str">
        <f>IF(OR(Копия_20206[[#This Row],[Number of stores]]&gt;$U$7,Копия_20206[[#This Row],[Number of stores]]&lt;$U$6),"outlier","not outlier")</f>
        <v>not outlier</v>
      </c>
    </row>
    <row r="1305" spans="1:13" x14ac:dyDescent="0.25">
      <c r="A1305">
        <v>2021</v>
      </c>
      <c r="B1305">
        <v>8</v>
      </c>
      <c r="C1305" s="1" t="s">
        <v>29</v>
      </c>
      <c r="D1305" s="1" t="s">
        <v>16</v>
      </c>
      <c r="E1305" s="1" t="s">
        <v>21</v>
      </c>
      <c r="F1305" s="4">
        <v>5.9999999999999995E-4</v>
      </c>
      <c r="G1305" s="4">
        <v>3.5739E-2</v>
      </c>
      <c r="H1305" s="4">
        <v>1E-4</v>
      </c>
      <c r="I1305">
        <v>1</v>
      </c>
      <c r="J1305" s="4" t="str">
        <f>IF(OR(Копия_20206[[#This Row],[Units (in 1000)]]&gt;$R$7,Копия_20206[[#This Row],[Units (in 1000)]]&lt;$R$6),"outlier","not outlier")</f>
        <v>not outlier</v>
      </c>
      <c r="K1305" s="4" t="str">
        <f>IF(OR(Копия_20206[[#This Row],[Value (in 1000 rub)]]&gt;$S$7,Копия_20206[[#This Row],[Value (in 1000 rub)]]&lt;$S$6),"outlier","not outlier")</f>
        <v>not outlier</v>
      </c>
      <c r="L1305" s="4" t="str">
        <f>IF(OR(Копия_20206[[#This Row],[Volume (in 1000 kg)]]&gt;$T$7,Копия_20206[[#This Row],[Volume (in 1000 kg)]]&lt;$T$6),"outlier","not outlier")</f>
        <v>not outlier</v>
      </c>
      <c r="M1305" s="4" t="str">
        <f>IF(OR(Копия_20206[[#This Row],[Number of stores]]&gt;$U$7,Копия_20206[[#This Row],[Number of stores]]&lt;$U$6),"outlier","not outlier")</f>
        <v>not outlier</v>
      </c>
    </row>
    <row r="1306" spans="1:13" x14ac:dyDescent="0.25">
      <c r="A1306">
        <v>2021</v>
      </c>
      <c r="B1306">
        <v>8</v>
      </c>
      <c r="C1306" s="1" t="s">
        <v>29</v>
      </c>
      <c r="D1306" s="1" t="s">
        <v>16</v>
      </c>
      <c r="E1306" s="1" t="s">
        <v>11</v>
      </c>
      <c r="F1306" s="4">
        <v>16.896799999999999</v>
      </c>
      <c r="G1306" s="4">
        <v>1229.762913</v>
      </c>
      <c r="H1306" s="4">
        <v>6.0829000000000004</v>
      </c>
      <c r="I1306">
        <v>1873</v>
      </c>
      <c r="J1306" s="4" t="str">
        <f>IF(OR(Копия_20206[[#This Row],[Units (in 1000)]]&gt;$R$7,Копия_20206[[#This Row],[Units (in 1000)]]&lt;$R$6),"outlier","not outlier")</f>
        <v>not outlier</v>
      </c>
      <c r="K1306" s="4" t="str">
        <f>IF(OR(Копия_20206[[#This Row],[Value (in 1000 rub)]]&gt;$S$7,Копия_20206[[#This Row],[Value (in 1000 rub)]]&lt;$S$6),"outlier","not outlier")</f>
        <v>not outlier</v>
      </c>
      <c r="L1306" s="4" t="str">
        <f>IF(OR(Копия_20206[[#This Row],[Volume (in 1000 kg)]]&gt;$T$7,Копия_20206[[#This Row],[Volume (in 1000 kg)]]&lt;$T$6),"outlier","not outlier")</f>
        <v>not outlier</v>
      </c>
      <c r="M1306" s="4" t="str">
        <f>IF(OR(Копия_20206[[#This Row],[Number of stores]]&gt;$U$7,Копия_20206[[#This Row],[Number of stores]]&lt;$U$6),"outlier","not outlier")</f>
        <v>not outlier</v>
      </c>
    </row>
    <row r="1307" spans="1:13" x14ac:dyDescent="0.25">
      <c r="A1307">
        <v>2021</v>
      </c>
      <c r="B1307">
        <v>9</v>
      </c>
      <c r="C1307" s="1" t="s">
        <v>8</v>
      </c>
      <c r="D1307" s="1" t="s">
        <v>16</v>
      </c>
      <c r="E1307" s="1" t="s">
        <v>11</v>
      </c>
      <c r="F1307" s="4">
        <v>2.5158999999999998</v>
      </c>
      <c r="G1307" s="4">
        <v>210.14461399999999</v>
      </c>
      <c r="H1307" s="4">
        <v>0.90569999999999995</v>
      </c>
      <c r="I1307">
        <v>245</v>
      </c>
      <c r="J1307" s="4" t="str">
        <f>IF(OR(Копия_20206[[#This Row],[Units (in 1000)]]&gt;$R$7,Копия_20206[[#This Row],[Units (in 1000)]]&lt;$R$6),"outlier","not outlier")</f>
        <v>not outlier</v>
      </c>
      <c r="K1307" s="4" t="str">
        <f>IF(OR(Копия_20206[[#This Row],[Value (in 1000 rub)]]&gt;$S$7,Копия_20206[[#This Row],[Value (in 1000 rub)]]&lt;$S$6),"outlier","not outlier")</f>
        <v>not outlier</v>
      </c>
      <c r="L1307" s="4" t="str">
        <f>IF(OR(Копия_20206[[#This Row],[Volume (in 1000 kg)]]&gt;$T$7,Копия_20206[[#This Row],[Volume (in 1000 kg)]]&lt;$T$6),"outlier","not outlier")</f>
        <v>not outlier</v>
      </c>
      <c r="M1307" s="4" t="str">
        <f>IF(OR(Копия_20206[[#This Row],[Number of stores]]&gt;$U$7,Копия_20206[[#This Row],[Number of stores]]&lt;$U$6),"outlier","not outlier")</f>
        <v>not outlier</v>
      </c>
    </row>
    <row r="1308" spans="1:13" x14ac:dyDescent="0.25">
      <c r="A1308">
        <v>2021</v>
      </c>
      <c r="B1308">
        <v>9</v>
      </c>
      <c r="C1308" s="1" t="s">
        <v>25</v>
      </c>
      <c r="D1308" s="1" t="s">
        <v>16</v>
      </c>
      <c r="E1308" s="1" t="s">
        <v>21</v>
      </c>
      <c r="F1308" s="4">
        <v>0.27010000000000001</v>
      </c>
      <c r="G1308" s="4">
        <v>17.012744000000001</v>
      </c>
      <c r="H1308" s="4">
        <v>7.0199999999999999E-2</v>
      </c>
      <c r="I1308">
        <v>124</v>
      </c>
      <c r="J1308" s="4" t="str">
        <f>IF(OR(Копия_20206[[#This Row],[Units (in 1000)]]&gt;$R$7,Копия_20206[[#This Row],[Units (in 1000)]]&lt;$R$6),"outlier","not outlier")</f>
        <v>not outlier</v>
      </c>
      <c r="K1308" s="4" t="str">
        <f>IF(OR(Копия_20206[[#This Row],[Value (in 1000 rub)]]&gt;$S$7,Копия_20206[[#This Row],[Value (in 1000 rub)]]&lt;$S$6),"outlier","not outlier")</f>
        <v>not outlier</v>
      </c>
      <c r="L1308" s="4" t="str">
        <f>IF(OR(Копия_20206[[#This Row],[Volume (in 1000 kg)]]&gt;$T$7,Копия_20206[[#This Row],[Volume (in 1000 kg)]]&lt;$T$6),"outlier","not outlier")</f>
        <v>not outlier</v>
      </c>
      <c r="M1308" s="4" t="str">
        <f>IF(OR(Копия_20206[[#This Row],[Number of stores]]&gt;$U$7,Копия_20206[[#This Row],[Number of stores]]&lt;$U$6),"outlier","not outlier")</f>
        <v>not outlier</v>
      </c>
    </row>
    <row r="1309" spans="1:13" x14ac:dyDescent="0.25">
      <c r="A1309">
        <v>2021</v>
      </c>
      <c r="B1309">
        <v>9</v>
      </c>
      <c r="C1309" s="1" t="s">
        <v>25</v>
      </c>
      <c r="D1309" s="1" t="s">
        <v>16</v>
      </c>
      <c r="E1309" s="1" t="s">
        <v>11</v>
      </c>
      <c r="F1309" s="4">
        <v>14.327400000000001</v>
      </c>
      <c r="G1309" s="4">
        <v>736.02492900000004</v>
      </c>
      <c r="H1309" s="4">
        <v>5.1578999999999997</v>
      </c>
      <c r="I1309">
        <v>1442</v>
      </c>
      <c r="J1309" s="4" t="str">
        <f>IF(OR(Копия_20206[[#This Row],[Units (in 1000)]]&gt;$R$7,Копия_20206[[#This Row],[Units (in 1000)]]&lt;$R$6),"outlier","not outlier")</f>
        <v>not outlier</v>
      </c>
      <c r="K1309" s="4" t="str">
        <f>IF(OR(Копия_20206[[#This Row],[Value (in 1000 rub)]]&gt;$S$7,Копия_20206[[#This Row],[Value (in 1000 rub)]]&lt;$S$6),"outlier","not outlier")</f>
        <v>not outlier</v>
      </c>
      <c r="L1309" s="4" t="str">
        <f>IF(OR(Копия_20206[[#This Row],[Volume (in 1000 kg)]]&gt;$T$7,Копия_20206[[#This Row],[Volume (in 1000 kg)]]&lt;$T$6),"outlier","not outlier")</f>
        <v>not outlier</v>
      </c>
      <c r="M1309" s="4" t="str">
        <f>IF(OR(Копия_20206[[#This Row],[Number of stores]]&gt;$U$7,Копия_20206[[#This Row],[Number of stores]]&lt;$U$6),"outlier","not outlier")</f>
        <v>not outlier</v>
      </c>
    </row>
    <row r="1310" spans="1:13" x14ac:dyDescent="0.25">
      <c r="A1310">
        <v>2021</v>
      </c>
      <c r="B1310">
        <v>9</v>
      </c>
      <c r="C1310" s="1" t="s">
        <v>29</v>
      </c>
      <c r="D1310" s="1" t="s">
        <v>16</v>
      </c>
      <c r="E1310" s="1" t="s">
        <v>21</v>
      </c>
      <c r="F1310" s="4">
        <v>0.62960000000000005</v>
      </c>
      <c r="G1310" s="4">
        <v>39.270828999999999</v>
      </c>
      <c r="H1310" s="4">
        <v>0.16370000000000001</v>
      </c>
      <c r="I1310">
        <v>266</v>
      </c>
      <c r="J1310" s="4" t="str">
        <f>IF(OR(Копия_20206[[#This Row],[Units (in 1000)]]&gt;$R$7,Копия_20206[[#This Row],[Units (in 1000)]]&lt;$R$6),"outlier","not outlier")</f>
        <v>not outlier</v>
      </c>
      <c r="K1310" s="4" t="str">
        <f>IF(OR(Копия_20206[[#This Row],[Value (in 1000 rub)]]&gt;$S$7,Копия_20206[[#This Row],[Value (in 1000 rub)]]&lt;$S$6),"outlier","not outlier")</f>
        <v>not outlier</v>
      </c>
      <c r="L1310" s="4" t="str">
        <f>IF(OR(Копия_20206[[#This Row],[Volume (in 1000 kg)]]&gt;$T$7,Копия_20206[[#This Row],[Volume (in 1000 kg)]]&lt;$T$6),"outlier","not outlier")</f>
        <v>not outlier</v>
      </c>
      <c r="M1310" s="4" t="str">
        <f>IF(OR(Копия_20206[[#This Row],[Number of stores]]&gt;$U$7,Копия_20206[[#This Row],[Number of stores]]&lt;$U$6),"outlier","not outlier")</f>
        <v>not outlier</v>
      </c>
    </row>
    <row r="1311" spans="1:13" x14ac:dyDescent="0.25">
      <c r="A1311">
        <v>2021</v>
      </c>
      <c r="B1311">
        <v>9</v>
      </c>
      <c r="C1311" s="1" t="s">
        <v>29</v>
      </c>
      <c r="D1311" s="1" t="s">
        <v>16</v>
      </c>
      <c r="E1311" s="1" t="s">
        <v>11</v>
      </c>
      <c r="F1311" s="4">
        <v>43.505899999999997</v>
      </c>
      <c r="G1311" s="4">
        <v>2370.8854889999998</v>
      </c>
      <c r="H1311" s="4">
        <v>15.662100000000001</v>
      </c>
      <c r="I1311">
        <v>2108</v>
      </c>
      <c r="J1311" s="4" t="str">
        <f>IF(OR(Копия_20206[[#This Row],[Units (in 1000)]]&gt;$R$7,Копия_20206[[#This Row],[Units (in 1000)]]&lt;$R$6),"outlier","not outlier")</f>
        <v>outlier</v>
      </c>
      <c r="K1311" s="4" t="str">
        <f>IF(OR(Копия_20206[[#This Row],[Value (in 1000 rub)]]&gt;$S$7,Копия_20206[[#This Row],[Value (in 1000 rub)]]&lt;$S$6),"outlier","not outlier")</f>
        <v>outlier</v>
      </c>
      <c r="L1311" s="4" t="str">
        <f>IF(OR(Копия_20206[[#This Row],[Volume (in 1000 kg)]]&gt;$T$7,Копия_20206[[#This Row],[Volume (in 1000 kg)]]&lt;$T$6),"outlier","not outlier")</f>
        <v>outlier</v>
      </c>
      <c r="M1311" s="4" t="str">
        <f>IF(OR(Копия_20206[[#This Row],[Number of stores]]&gt;$U$7,Копия_20206[[#This Row],[Number of stores]]&lt;$U$6),"outlier","not outlier")</f>
        <v>not outlier</v>
      </c>
    </row>
    <row r="1312" spans="1:13" x14ac:dyDescent="0.25">
      <c r="A1312">
        <v>2021</v>
      </c>
      <c r="B1312">
        <v>10</v>
      </c>
      <c r="C1312" s="1" t="s">
        <v>8</v>
      </c>
      <c r="D1312" s="1" t="s">
        <v>16</v>
      </c>
      <c r="E1312" s="1" t="s">
        <v>11</v>
      </c>
      <c r="F1312" s="4">
        <v>2.0815000000000001</v>
      </c>
      <c r="G1312" s="4">
        <v>170.15814399999999</v>
      </c>
      <c r="H1312" s="4">
        <v>0.74939999999999996</v>
      </c>
      <c r="I1312">
        <v>209</v>
      </c>
      <c r="J1312" s="4" t="str">
        <f>IF(OR(Копия_20206[[#This Row],[Units (in 1000)]]&gt;$R$7,Копия_20206[[#This Row],[Units (in 1000)]]&lt;$R$6),"outlier","not outlier")</f>
        <v>not outlier</v>
      </c>
      <c r="K1312" s="4" t="str">
        <f>IF(OR(Копия_20206[[#This Row],[Value (in 1000 rub)]]&gt;$S$7,Копия_20206[[#This Row],[Value (in 1000 rub)]]&lt;$S$6),"outlier","not outlier")</f>
        <v>not outlier</v>
      </c>
      <c r="L1312" s="4" t="str">
        <f>IF(OR(Копия_20206[[#This Row],[Volume (in 1000 kg)]]&gt;$T$7,Копия_20206[[#This Row],[Volume (in 1000 kg)]]&lt;$T$6),"outlier","not outlier")</f>
        <v>not outlier</v>
      </c>
      <c r="M1312" s="4" t="str">
        <f>IF(OR(Копия_20206[[#This Row],[Number of stores]]&gt;$U$7,Копия_20206[[#This Row],[Number of stores]]&lt;$U$6),"outlier","not outlier")</f>
        <v>not outlier</v>
      </c>
    </row>
    <row r="1313" spans="1:13" x14ac:dyDescent="0.25">
      <c r="A1313">
        <v>2021</v>
      </c>
      <c r="B1313">
        <v>10</v>
      </c>
      <c r="C1313" s="1" t="s">
        <v>25</v>
      </c>
      <c r="D1313" s="1" t="s">
        <v>16</v>
      </c>
      <c r="E1313" s="1" t="s">
        <v>21</v>
      </c>
      <c r="F1313" s="4">
        <v>0.28820000000000001</v>
      </c>
      <c r="G1313" s="4">
        <v>18.151683999999999</v>
      </c>
      <c r="H1313" s="4">
        <v>7.4899999999999994E-2</v>
      </c>
      <c r="I1313">
        <v>113</v>
      </c>
      <c r="J1313" s="4" t="str">
        <f>IF(OR(Копия_20206[[#This Row],[Units (in 1000)]]&gt;$R$7,Копия_20206[[#This Row],[Units (in 1000)]]&lt;$R$6),"outlier","not outlier")</f>
        <v>not outlier</v>
      </c>
      <c r="K1313" s="4" t="str">
        <f>IF(OR(Копия_20206[[#This Row],[Value (in 1000 rub)]]&gt;$S$7,Копия_20206[[#This Row],[Value (in 1000 rub)]]&lt;$S$6),"outlier","not outlier")</f>
        <v>not outlier</v>
      </c>
      <c r="L1313" s="4" t="str">
        <f>IF(OR(Копия_20206[[#This Row],[Volume (in 1000 kg)]]&gt;$T$7,Копия_20206[[#This Row],[Volume (in 1000 kg)]]&lt;$T$6),"outlier","not outlier")</f>
        <v>not outlier</v>
      </c>
      <c r="M1313" s="4" t="str">
        <f>IF(OR(Копия_20206[[#This Row],[Number of stores]]&gt;$U$7,Копия_20206[[#This Row],[Number of stores]]&lt;$U$6),"outlier","not outlier")</f>
        <v>not outlier</v>
      </c>
    </row>
    <row r="1314" spans="1:13" x14ac:dyDescent="0.25">
      <c r="A1314">
        <v>2021</v>
      </c>
      <c r="B1314">
        <v>10</v>
      </c>
      <c r="C1314" s="1" t="s">
        <v>25</v>
      </c>
      <c r="D1314" s="1" t="s">
        <v>16</v>
      </c>
      <c r="E1314" s="1" t="s">
        <v>11</v>
      </c>
      <c r="F1314" s="4">
        <v>5.6143000000000001</v>
      </c>
      <c r="G1314" s="4">
        <v>434.429395</v>
      </c>
      <c r="H1314" s="4">
        <v>2.0211000000000001</v>
      </c>
      <c r="I1314">
        <v>1348</v>
      </c>
      <c r="J1314" s="4" t="str">
        <f>IF(OR(Копия_20206[[#This Row],[Units (in 1000)]]&gt;$R$7,Копия_20206[[#This Row],[Units (in 1000)]]&lt;$R$6),"outlier","not outlier")</f>
        <v>not outlier</v>
      </c>
      <c r="K1314" s="4" t="str">
        <f>IF(OR(Копия_20206[[#This Row],[Value (in 1000 rub)]]&gt;$S$7,Копия_20206[[#This Row],[Value (in 1000 rub)]]&lt;$S$6),"outlier","not outlier")</f>
        <v>not outlier</v>
      </c>
      <c r="L1314" s="4" t="str">
        <f>IF(OR(Копия_20206[[#This Row],[Volume (in 1000 kg)]]&gt;$T$7,Копия_20206[[#This Row],[Volume (in 1000 kg)]]&lt;$T$6),"outlier","not outlier")</f>
        <v>not outlier</v>
      </c>
      <c r="M1314" s="4" t="str">
        <f>IF(OR(Копия_20206[[#This Row],[Number of stores]]&gt;$U$7,Копия_20206[[#This Row],[Number of stores]]&lt;$U$6),"outlier","not outlier")</f>
        <v>not outlier</v>
      </c>
    </row>
    <row r="1315" spans="1:13" x14ac:dyDescent="0.25">
      <c r="A1315">
        <v>2021</v>
      </c>
      <c r="B1315">
        <v>10</v>
      </c>
      <c r="C1315" s="1" t="s">
        <v>29</v>
      </c>
      <c r="D1315" s="1" t="s">
        <v>16</v>
      </c>
      <c r="E1315" s="1" t="s">
        <v>21</v>
      </c>
      <c r="F1315" s="4">
        <v>0.71150000000000002</v>
      </c>
      <c r="G1315" s="4">
        <v>44.767403000000002</v>
      </c>
      <c r="H1315" s="4">
        <v>0.185</v>
      </c>
      <c r="I1315">
        <v>268</v>
      </c>
      <c r="J1315" s="4" t="str">
        <f>IF(OR(Копия_20206[[#This Row],[Units (in 1000)]]&gt;$R$7,Копия_20206[[#This Row],[Units (in 1000)]]&lt;$R$6),"outlier","not outlier")</f>
        <v>not outlier</v>
      </c>
      <c r="K1315" s="4" t="str">
        <f>IF(OR(Копия_20206[[#This Row],[Value (in 1000 rub)]]&gt;$S$7,Копия_20206[[#This Row],[Value (in 1000 rub)]]&lt;$S$6),"outlier","not outlier")</f>
        <v>not outlier</v>
      </c>
      <c r="L1315" s="4" t="str">
        <f>IF(OR(Копия_20206[[#This Row],[Volume (in 1000 kg)]]&gt;$T$7,Копия_20206[[#This Row],[Volume (in 1000 kg)]]&lt;$T$6),"outlier","not outlier")</f>
        <v>not outlier</v>
      </c>
      <c r="M1315" s="4" t="str">
        <f>IF(OR(Копия_20206[[#This Row],[Number of stores]]&gt;$U$7,Копия_20206[[#This Row],[Number of stores]]&lt;$U$6),"outlier","not outlier")</f>
        <v>not outlier</v>
      </c>
    </row>
    <row r="1316" spans="1:13" x14ac:dyDescent="0.25">
      <c r="A1316">
        <v>2021</v>
      </c>
      <c r="B1316">
        <v>10</v>
      </c>
      <c r="C1316" s="1" t="s">
        <v>29</v>
      </c>
      <c r="D1316" s="1" t="s">
        <v>16</v>
      </c>
      <c r="E1316" s="1" t="s">
        <v>11</v>
      </c>
      <c r="F1316" s="4">
        <v>14.6753</v>
      </c>
      <c r="G1316" s="4">
        <v>1156.3875579999999</v>
      </c>
      <c r="H1316" s="4">
        <v>5.2831000000000001</v>
      </c>
      <c r="I1316">
        <v>1877</v>
      </c>
      <c r="J1316" s="4" t="str">
        <f>IF(OR(Копия_20206[[#This Row],[Units (in 1000)]]&gt;$R$7,Копия_20206[[#This Row],[Units (in 1000)]]&lt;$R$6),"outlier","not outlier")</f>
        <v>not outlier</v>
      </c>
      <c r="K1316" s="4" t="str">
        <f>IF(OR(Копия_20206[[#This Row],[Value (in 1000 rub)]]&gt;$S$7,Копия_20206[[#This Row],[Value (in 1000 rub)]]&lt;$S$6),"outlier","not outlier")</f>
        <v>not outlier</v>
      </c>
      <c r="L1316" s="4" t="str">
        <f>IF(OR(Копия_20206[[#This Row],[Volume (in 1000 kg)]]&gt;$T$7,Копия_20206[[#This Row],[Volume (in 1000 kg)]]&lt;$T$6),"outlier","not outlier")</f>
        <v>not outlier</v>
      </c>
      <c r="M1316" s="4" t="str">
        <f>IF(OR(Копия_20206[[#This Row],[Number of stores]]&gt;$U$7,Копия_20206[[#This Row],[Number of stores]]&lt;$U$6),"outlier","not outlier")</f>
        <v>not outlier</v>
      </c>
    </row>
    <row r="1317" spans="1:13" x14ac:dyDescent="0.25">
      <c r="A1317">
        <v>2021</v>
      </c>
      <c r="B1317">
        <v>11</v>
      </c>
      <c r="C1317" s="1" t="s">
        <v>8</v>
      </c>
      <c r="D1317" s="1" t="s">
        <v>16</v>
      </c>
      <c r="E1317" s="1" t="s">
        <v>21</v>
      </c>
      <c r="F1317" s="4">
        <v>8.3999999999999995E-3</v>
      </c>
      <c r="G1317" s="4">
        <v>0.50492099999999995</v>
      </c>
      <c r="H1317" s="4">
        <v>2.2000000000000001E-3</v>
      </c>
      <c r="I1317">
        <v>2</v>
      </c>
      <c r="J1317" s="4" t="str">
        <f>IF(OR(Копия_20206[[#This Row],[Units (in 1000)]]&gt;$R$7,Копия_20206[[#This Row],[Units (in 1000)]]&lt;$R$6),"outlier","not outlier")</f>
        <v>not outlier</v>
      </c>
      <c r="K1317" s="4" t="str">
        <f>IF(OR(Копия_20206[[#This Row],[Value (in 1000 rub)]]&gt;$S$7,Копия_20206[[#This Row],[Value (in 1000 rub)]]&lt;$S$6),"outlier","not outlier")</f>
        <v>not outlier</v>
      </c>
      <c r="L1317" s="4" t="str">
        <f>IF(OR(Копия_20206[[#This Row],[Volume (in 1000 kg)]]&gt;$T$7,Копия_20206[[#This Row],[Volume (in 1000 kg)]]&lt;$T$6),"outlier","not outlier")</f>
        <v>not outlier</v>
      </c>
      <c r="M1317" s="4" t="str">
        <f>IF(OR(Копия_20206[[#This Row],[Number of stores]]&gt;$U$7,Копия_20206[[#This Row],[Number of stores]]&lt;$U$6),"outlier","not outlier")</f>
        <v>not outlier</v>
      </c>
    </row>
    <row r="1318" spans="1:13" x14ac:dyDescent="0.25">
      <c r="A1318">
        <v>2021</v>
      </c>
      <c r="B1318">
        <v>11</v>
      </c>
      <c r="C1318" s="1" t="s">
        <v>8</v>
      </c>
      <c r="D1318" s="1" t="s">
        <v>16</v>
      </c>
      <c r="E1318" s="1" t="s">
        <v>11</v>
      </c>
      <c r="F1318" s="4">
        <v>1.9762999999999999</v>
      </c>
      <c r="G1318" s="4">
        <v>158.90520900000001</v>
      </c>
      <c r="H1318" s="4">
        <v>0.71150000000000002</v>
      </c>
      <c r="I1318">
        <v>188</v>
      </c>
      <c r="J1318" s="4" t="str">
        <f>IF(OR(Копия_20206[[#This Row],[Units (in 1000)]]&gt;$R$7,Копия_20206[[#This Row],[Units (in 1000)]]&lt;$R$6),"outlier","not outlier")</f>
        <v>not outlier</v>
      </c>
      <c r="K1318" s="4" t="str">
        <f>IF(OR(Копия_20206[[#This Row],[Value (in 1000 rub)]]&gt;$S$7,Копия_20206[[#This Row],[Value (in 1000 rub)]]&lt;$S$6),"outlier","not outlier")</f>
        <v>not outlier</v>
      </c>
      <c r="L1318" s="4" t="str">
        <f>IF(OR(Копия_20206[[#This Row],[Volume (in 1000 kg)]]&gt;$T$7,Копия_20206[[#This Row],[Volume (in 1000 kg)]]&lt;$T$6),"outlier","not outlier")</f>
        <v>not outlier</v>
      </c>
      <c r="M1318" s="4" t="str">
        <f>IF(OR(Копия_20206[[#This Row],[Number of stores]]&gt;$U$7,Копия_20206[[#This Row],[Number of stores]]&lt;$U$6),"outlier","not outlier")</f>
        <v>not outlier</v>
      </c>
    </row>
    <row r="1319" spans="1:13" x14ac:dyDescent="0.25">
      <c r="A1319">
        <v>2021</v>
      </c>
      <c r="B1319">
        <v>11</v>
      </c>
      <c r="C1319" s="1" t="s">
        <v>25</v>
      </c>
      <c r="D1319" s="1" t="s">
        <v>16</v>
      </c>
      <c r="E1319" s="1" t="s">
        <v>21</v>
      </c>
      <c r="F1319" s="4">
        <v>0.68600000000000005</v>
      </c>
      <c r="G1319" s="4">
        <v>42.920050000000003</v>
      </c>
      <c r="H1319" s="4">
        <v>0.1784</v>
      </c>
      <c r="I1319">
        <v>123</v>
      </c>
      <c r="J1319" s="4" t="str">
        <f>IF(OR(Копия_20206[[#This Row],[Units (in 1000)]]&gt;$R$7,Копия_20206[[#This Row],[Units (in 1000)]]&lt;$R$6),"outlier","not outlier")</f>
        <v>not outlier</v>
      </c>
      <c r="K1319" s="4" t="str">
        <f>IF(OR(Копия_20206[[#This Row],[Value (in 1000 rub)]]&gt;$S$7,Копия_20206[[#This Row],[Value (in 1000 rub)]]&lt;$S$6),"outlier","not outlier")</f>
        <v>not outlier</v>
      </c>
      <c r="L1319" s="4" t="str">
        <f>IF(OR(Копия_20206[[#This Row],[Volume (in 1000 kg)]]&gt;$T$7,Копия_20206[[#This Row],[Volume (in 1000 kg)]]&lt;$T$6),"outlier","not outlier")</f>
        <v>not outlier</v>
      </c>
      <c r="M1319" s="4" t="str">
        <f>IF(OR(Копия_20206[[#This Row],[Number of stores]]&gt;$U$7,Копия_20206[[#This Row],[Number of stores]]&lt;$U$6),"outlier","not outlier")</f>
        <v>not outlier</v>
      </c>
    </row>
    <row r="1320" spans="1:13" x14ac:dyDescent="0.25">
      <c r="A1320">
        <v>2021</v>
      </c>
      <c r="B1320">
        <v>11</v>
      </c>
      <c r="C1320" s="1" t="s">
        <v>25</v>
      </c>
      <c r="D1320" s="1" t="s">
        <v>16</v>
      </c>
      <c r="E1320" s="1" t="s">
        <v>11</v>
      </c>
      <c r="F1320" s="4">
        <v>12.0641</v>
      </c>
      <c r="G1320" s="4">
        <v>709.76295200000004</v>
      </c>
      <c r="H1320" s="4">
        <v>4.343</v>
      </c>
      <c r="I1320">
        <v>1420</v>
      </c>
      <c r="J1320" s="4" t="str">
        <f>IF(OR(Копия_20206[[#This Row],[Units (in 1000)]]&gt;$R$7,Копия_20206[[#This Row],[Units (in 1000)]]&lt;$R$6),"outlier","not outlier")</f>
        <v>not outlier</v>
      </c>
      <c r="K1320" s="4" t="str">
        <f>IF(OR(Копия_20206[[#This Row],[Value (in 1000 rub)]]&gt;$S$7,Копия_20206[[#This Row],[Value (in 1000 rub)]]&lt;$S$6),"outlier","not outlier")</f>
        <v>not outlier</v>
      </c>
      <c r="L1320" s="4" t="str">
        <f>IF(OR(Копия_20206[[#This Row],[Volume (in 1000 kg)]]&gt;$T$7,Копия_20206[[#This Row],[Volume (in 1000 kg)]]&lt;$T$6),"outlier","not outlier")</f>
        <v>not outlier</v>
      </c>
      <c r="M1320" s="4" t="str">
        <f>IF(OR(Копия_20206[[#This Row],[Number of stores]]&gt;$U$7,Копия_20206[[#This Row],[Number of stores]]&lt;$U$6),"outlier","not outlier")</f>
        <v>not outlier</v>
      </c>
    </row>
    <row r="1321" spans="1:13" x14ac:dyDescent="0.25">
      <c r="A1321">
        <v>2021</v>
      </c>
      <c r="B1321">
        <v>11</v>
      </c>
      <c r="C1321" s="1" t="s">
        <v>29</v>
      </c>
      <c r="D1321" s="1" t="s">
        <v>16</v>
      </c>
      <c r="E1321" s="1" t="s">
        <v>21</v>
      </c>
      <c r="F1321" s="4">
        <v>1.5021</v>
      </c>
      <c r="G1321" s="4">
        <v>94.162771000000006</v>
      </c>
      <c r="H1321" s="4">
        <v>0.39050000000000001</v>
      </c>
      <c r="I1321">
        <v>299</v>
      </c>
      <c r="J1321" s="4" t="str">
        <f>IF(OR(Копия_20206[[#This Row],[Units (in 1000)]]&gt;$R$7,Копия_20206[[#This Row],[Units (in 1000)]]&lt;$R$6),"outlier","not outlier")</f>
        <v>not outlier</v>
      </c>
      <c r="K1321" s="4" t="str">
        <f>IF(OR(Копия_20206[[#This Row],[Value (in 1000 rub)]]&gt;$S$7,Копия_20206[[#This Row],[Value (in 1000 rub)]]&lt;$S$6),"outlier","not outlier")</f>
        <v>not outlier</v>
      </c>
      <c r="L1321" s="4" t="str">
        <f>IF(OR(Копия_20206[[#This Row],[Volume (in 1000 kg)]]&gt;$T$7,Копия_20206[[#This Row],[Volume (in 1000 kg)]]&lt;$T$6),"outlier","not outlier")</f>
        <v>not outlier</v>
      </c>
      <c r="M1321" s="4" t="str">
        <f>IF(OR(Копия_20206[[#This Row],[Number of stores]]&gt;$U$7,Копия_20206[[#This Row],[Number of stores]]&lt;$U$6),"outlier","not outlier")</f>
        <v>not outlier</v>
      </c>
    </row>
    <row r="1322" spans="1:13" x14ac:dyDescent="0.25">
      <c r="A1322">
        <v>2021</v>
      </c>
      <c r="B1322">
        <v>11</v>
      </c>
      <c r="C1322" s="1" t="s">
        <v>29</v>
      </c>
      <c r="D1322" s="1" t="s">
        <v>16</v>
      </c>
      <c r="E1322" s="1" t="s">
        <v>11</v>
      </c>
      <c r="F1322" s="4">
        <v>31.1936</v>
      </c>
      <c r="G1322" s="4">
        <v>1961.2954070000001</v>
      </c>
      <c r="H1322" s="4">
        <v>11.229699999999999</v>
      </c>
      <c r="I1322">
        <v>1922</v>
      </c>
      <c r="J1322" s="4" t="str">
        <f>IF(OR(Копия_20206[[#This Row],[Units (in 1000)]]&gt;$R$7,Копия_20206[[#This Row],[Units (in 1000)]]&lt;$R$6),"outlier","not outlier")</f>
        <v>outlier</v>
      </c>
      <c r="K1322" s="4" t="str">
        <f>IF(OR(Копия_20206[[#This Row],[Value (in 1000 rub)]]&gt;$S$7,Копия_20206[[#This Row],[Value (in 1000 rub)]]&lt;$S$6),"outlier","not outlier")</f>
        <v>not outlier</v>
      </c>
      <c r="L1322" s="4" t="str">
        <f>IF(OR(Копия_20206[[#This Row],[Volume (in 1000 kg)]]&gt;$T$7,Копия_20206[[#This Row],[Volume (in 1000 kg)]]&lt;$T$6),"outlier","not outlier")</f>
        <v>outlier</v>
      </c>
      <c r="M1322" s="4" t="str">
        <f>IF(OR(Копия_20206[[#This Row],[Number of stores]]&gt;$U$7,Копия_20206[[#This Row],[Number of stores]]&lt;$U$6),"outlier","not outlier")</f>
        <v>not outlier</v>
      </c>
    </row>
    <row r="1323" spans="1:13" x14ac:dyDescent="0.25">
      <c r="A1323">
        <v>2021</v>
      </c>
      <c r="B1323">
        <v>12</v>
      </c>
      <c r="C1323" s="1" t="s">
        <v>8</v>
      </c>
      <c r="D1323" s="1" t="s">
        <v>16</v>
      </c>
      <c r="E1323" s="1" t="s">
        <v>21</v>
      </c>
      <c r="F1323" s="4">
        <v>7.1000000000000004E-3</v>
      </c>
      <c r="G1323" s="4">
        <v>0.403671</v>
      </c>
      <c r="H1323" s="4">
        <v>1.9E-3</v>
      </c>
      <c r="I1323">
        <v>2</v>
      </c>
      <c r="J1323" s="4" t="str">
        <f>IF(OR(Копия_20206[[#This Row],[Units (in 1000)]]&gt;$R$7,Копия_20206[[#This Row],[Units (in 1000)]]&lt;$R$6),"outlier","not outlier")</f>
        <v>not outlier</v>
      </c>
      <c r="K1323" s="4" t="str">
        <f>IF(OR(Копия_20206[[#This Row],[Value (in 1000 rub)]]&gt;$S$7,Копия_20206[[#This Row],[Value (in 1000 rub)]]&lt;$S$6),"outlier","not outlier")</f>
        <v>not outlier</v>
      </c>
      <c r="L1323" s="4" t="str">
        <f>IF(OR(Копия_20206[[#This Row],[Volume (in 1000 kg)]]&gt;$T$7,Копия_20206[[#This Row],[Volume (in 1000 kg)]]&lt;$T$6),"outlier","not outlier")</f>
        <v>not outlier</v>
      </c>
      <c r="M1323" s="4" t="str">
        <f>IF(OR(Копия_20206[[#This Row],[Number of stores]]&gt;$U$7,Копия_20206[[#This Row],[Number of stores]]&lt;$U$6),"outlier","not outlier")</f>
        <v>not outlier</v>
      </c>
    </row>
    <row r="1324" spans="1:13" x14ac:dyDescent="0.25">
      <c r="A1324">
        <v>2021</v>
      </c>
      <c r="B1324">
        <v>12</v>
      </c>
      <c r="C1324" s="1" t="s">
        <v>8</v>
      </c>
      <c r="D1324" s="1" t="s">
        <v>16</v>
      </c>
      <c r="E1324" s="1" t="s">
        <v>11</v>
      </c>
      <c r="F1324" s="4">
        <v>1.5797000000000001</v>
      </c>
      <c r="G1324" s="4">
        <v>129.878468</v>
      </c>
      <c r="H1324" s="4">
        <v>0.56869999999999998</v>
      </c>
      <c r="I1324">
        <v>175</v>
      </c>
      <c r="J1324" s="4" t="str">
        <f>IF(OR(Копия_20206[[#This Row],[Units (in 1000)]]&gt;$R$7,Копия_20206[[#This Row],[Units (in 1000)]]&lt;$R$6),"outlier","not outlier")</f>
        <v>not outlier</v>
      </c>
      <c r="K1324" s="4" t="str">
        <f>IF(OR(Копия_20206[[#This Row],[Value (in 1000 rub)]]&gt;$S$7,Копия_20206[[#This Row],[Value (in 1000 rub)]]&lt;$S$6),"outlier","not outlier")</f>
        <v>not outlier</v>
      </c>
      <c r="L1324" s="4" t="str">
        <f>IF(OR(Копия_20206[[#This Row],[Volume (in 1000 kg)]]&gt;$T$7,Копия_20206[[#This Row],[Volume (in 1000 kg)]]&lt;$T$6),"outlier","not outlier")</f>
        <v>not outlier</v>
      </c>
      <c r="M1324" s="4" t="str">
        <f>IF(OR(Копия_20206[[#This Row],[Number of stores]]&gt;$U$7,Копия_20206[[#This Row],[Number of stores]]&lt;$U$6),"outlier","not outlier")</f>
        <v>not outlier</v>
      </c>
    </row>
    <row r="1325" spans="1:13" x14ac:dyDescent="0.25">
      <c r="A1325">
        <v>2021</v>
      </c>
      <c r="B1325">
        <v>12</v>
      </c>
      <c r="C1325" s="1" t="s">
        <v>25</v>
      </c>
      <c r="D1325" s="1" t="s">
        <v>16</v>
      </c>
      <c r="E1325" s="1" t="s">
        <v>21</v>
      </c>
      <c r="F1325" s="4">
        <v>1.0209999999999999</v>
      </c>
      <c r="G1325" s="4">
        <v>58.981037000000001</v>
      </c>
      <c r="H1325" s="4">
        <v>0.26540000000000002</v>
      </c>
      <c r="I1325">
        <v>151</v>
      </c>
      <c r="J1325" s="4" t="str">
        <f>IF(OR(Копия_20206[[#This Row],[Units (in 1000)]]&gt;$R$7,Копия_20206[[#This Row],[Units (in 1000)]]&lt;$R$6),"outlier","not outlier")</f>
        <v>not outlier</v>
      </c>
      <c r="K1325" s="4" t="str">
        <f>IF(OR(Копия_20206[[#This Row],[Value (in 1000 rub)]]&gt;$S$7,Копия_20206[[#This Row],[Value (in 1000 rub)]]&lt;$S$6),"outlier","not outlier")</f>
        <v>not outlier</v>
      </c>
      <c r="L1325" s="4" t="str">
        <f>IF(OR(Копия_20206[[#This Row],[Volume (in 1000 kg)]]&gt;$T$7,Копия_20206[[#This Row],[Volume (in 1000 kg)]]&lt;$T$6),"outlier","not outlier")</f>
        <v>not outlier</v>
      </c>
      <c r="M1325" s="4" t="str">
        <f>IF(OR(Копия_20206[[#This Row],[Number of stores]]&gt;$U$7,Копия_20206[[#This Row],[Number of stores]]&lt;$U$6),"outlier","not outlier")</f>
        <v>not outlier</v>
      </c>
    </row>
    <row r="1326" spans="1:13" x14ac:dyDescent="0.25">
      <c r="A1326">
        <v>2021</v>
      </c>
      <c r="B1326">
        <v>12</v>
      </c>
      <c r="C1326" s="1" t="s">
        <v>25</v>
      </c>
      <c r="D1326" s="1" t="s">
        <v>16</v>
      </c>
      <c r="E1326" s="1" t="s">
        <v>11</v>
      </c>
      <c r="F1326" s="4">
        <v>10.0487</v>
      </c>
      <c r="G1326" s="4">
        <v>606.25328000000002</v>
      </c>
      <c r="H1326" s="4">
        <v>3.6175000000000002</v>
      </c>
      <c r="I1326">
        <v>1359</v>
      </c>
      <c r="J1326" s="4" t="str">
        <f>IF(OR(Копия_20206[[#This Row],[Units (in 1000)]]&gt;$R$7,Копия_20206[[#This Row],[Units (in 1000)]]&lt;$R$6),"outlier","not outlier")</f>
        <v>not outlier</v>
      </c>
      <c r="K1326" s="4" t="str">
        <f>IF(OR(Копия_20206[[#This Row],[Value (in 1000 rub)]]&gt;$S$7,Копия_20206[[#This Row],[Value (in 1000 rub)]]&lt;$S$6),"outlier","not outlier")</f>
        <v>not outlier</v>
      </c>
      <c r="L1326" s="4" t="str">
        <f>IF(OR(Копия_20206[[#This Row],[Volume (in 1000 kg)]]&gt;$T$7,Копия_20206[[#This Row],[Volume (in 1000 kg)]]&lt;$T$6),"outlier","not outlier")</f>
        <v>not outlier</v>
      </c>
      <c r="M1326" s="4" t="str">
        <f>IF(OR(Копия_20206[[#This Row],[Number of stores]]&gt;$U$7,Копия_20206[[#This Row],[Number of stores]]&lt;$U$6),"outlier","not outlier")</f>
        <v>not outlier</v>
      </c>
    </row>
    <row r="1327" spans="1:13" x14ac:dyDescent="0.25">
      <c r="A1327">
        <v>2021</v>
      </c>
      <c r="B1327">
        <v>12</v>
      </c>
      <c r="C1327" s="1" t="s">
        <v>29</v>
      </c>
      <c r="D1327" s="1" t="s">
        <v>16</v>
      </c>
      <c r="E1327" s="1" t="s">
        <v>21</v>
      </c>
      <c r="F1327" s="4">
        <v>2.0282</v>
      </c>
      <c r="G1327" s="4">
        <v>122.270841</v>
      </c>
      <c r="H1327" s="4">
        <v>0.52729999999999999</v>
      </c>
      <c r="I1327">
        <v>312</v>
      </c>
      <c r="J1327" s="4" t="str">
        <f>IF(OR(Копия_20206[[#This Row],[Units (in 1000)]]&gt;$R$7,Копия_20206[[#This Row],[Units (in 1000)]]&lt;$R$6),"outlier","not outlier")</f>
        <v>not outlier</v>
      </c>
      <c r="K1327" s="4" t="str">
        <f>IF(OR(Копия_20206[[#This Row],[Value (in 1000 rub)]]&gt;$S$7,Копия_20206[[#This Row],[Value (in 1000 rub)]]&lt;$S$6),"outlier","not outlier")</f>
        <v>not outlier</v>
      </c>
      <c r="L1327" s="4" t="str">
        <f>IF(OR(Копия_20206[[#This Row],[Volume (in 1000 kg)]]&gt;$T$7,Копия_20206[[#This Row],[Volume (in 1000 kg)]]&lt;$T$6),"outlier","not outlier")</f>
        <v>not outlier</v>
      </c>
      <c r="M1327" s="4" t="str">
        <f>IF(OR(Копия_20206[[#This Row],[Number of stores]]&gt;$U$7,Копия_20206[[#This Row],[Number of stores]]&lt;$U$6),"outlier","not outlier")</f>
        <v>not outlier</v>
      </c>
    </row>
    <row r="1328" spans="1:13" x14ac:dyDescent="0.25">
      <c r="A1328">
        <v>2021</v>
      </c>
      <c r="B1328">
        <v>12</v>
      </c>
      <c r="C1328" s="1" t="s">
        <v>29</v>
      </c>
      <c r="D1328" s="1" t="s">
        <v>16</v>
      </c>
      <c r="E1328" s="1" t="s">
        <v>11</v>
      </c>
      <c r="F1328" s="4">
        <v>19.925000000000001</v>
      </c>
      <c r="G1328" s="4">
        <v>1349.5445580000001</v>
      </c>
      <c r="H1328" s="4">
        <v>7.173</v>
      </c>
      <c r="I1328">
        <v>1769</v>
      </c>
      <c r="J1328" s="4" t="str">
        <f>IF(OR(Копия_20206[[#This Row],[Units (in 1000)]]&gt;$R$7,Копия_20206[[#This Row],[Units (in 1000)]]&lt;$R$6),"outlier","not outlier")</f>
        <v>not outlier</v>
      </c>
      <c r="K1328" s="4" t="str">
        <f>IF(OR(Копия_20206[[#This Row],[Value (in 1000 rub)]]&gt;$S$7,Копия_20206[[#This Row],[Value (in 1000 rub)]]&lt;$S$6),"outlier","not outlier")</f>
        <v>not outlier</v>
      </c>
      <c r="L1328" s="4" t="str">
        <f>IF(OR(Копия_20206[[#This Row],[Volume (in 1000 kg)]]&gt;$T$7,Копия_20206[[#This Row],[Volume (in 1000 kg)]]&lt;$T$6),"outlier","not outlier")</f>
        <v>not outlier</v>
      </c>
      <c r="M1328" s="4" t="str">
        <f>IF(OR(Копия_20206[[#This Row],[Number of stores]]&gt;$U$7,Копия_20206[[#This Row],[Number of stores]]&lt;$U$6),"outlier","not outlier")</f>
        <v>not outlier</v>
      </c>
    </row>
    <row r="1329" spans="1:13" x14ac:dyDescent="0.25">
      <c r="A1329">
        <v>2022</v>
      </c>
      <c r="B1329">
        <v>1</v>
      </c>
      <c r="C1329" s="1" t="s">
        <v>25</v>
      </c>
      <c r="D1329" s="1" t="s">
        <v>15</v>
      </c>
      <c r="E1329" s="1" t="s">
        <v>10</v>
      </c>
      <c r="F1329" s="5">
        <v>1.3608</v>
      </c>
      <c r="G1329" s="5">
        <v>98.695255000000003</v>
      </c>
      <c r="H1329" s="5">
        <v>0.313</v>
      </c>
      <c r="I1329">
        <v>422</v>
      </c>
      <c r="J1329" s="4" t="str">
        <f>IF(OR(Копия_20206[[#This Row],[Units (in 1000)]]&gt;$R$7,Копия_20206[[#This Row],[Units (in 1000)]]&lt;$R$6),"outlier","not outlier")</f>
        <v>not outlier</v>
      </c>
      <c r="K1329" s="4" t="str">
        <f>IF(OR(Копия_20206[[#This Row],[Value (in 1000 rub)]]&gt;$S$7,Копия_20206[[#This Row],[Value (in 1000 rub)]]&lt;$S$6),"outlier","not outlier")</f>
        <v>not outlier</v>
      </c>
      <c r="L1329" s="4" t="str">
        <f>IF(OR(Копия_20206[[#This Row],[Volume (in 1000 kg)]]&gt;$T$7,Копия_20206[[#This Row],[Volume (in 1000 kg)]]&lt;$T$6),"outlier","not outlier")</f>
        <v>not outlier</v>
      </c>
      <c r="M1329" s="4" t="str">
        <f>IF(OR(Копия_20206[[#This Row],[Number of stores]]&gt;$U$7,Копия_20206[[#This Row],[Number of stores]]&lt;$U$6),"outlier","not outlier")</f>
        <v>not outlier</v>
      </c>
    </row>
    <row r="1330" spans="1:13" x14ac:dyDescent="0.25">
      <c r="A1330">
        <v>2022</v>
      </c>
      <c r="B1330">
        <v>1</v>
      </c>
      <c r="C1330" s="1" t="s">
        <v>25</v>
      </c>
      <c r="D1330" s="1" t="s">
        <v>15</v>
      </c>
      <c r="E1330" s="1" t="s">
        <v>12</v>
      </c>
      <c r="F1330" s="5">
        <v>7.9500000000000001E-2</v>
      </c>
      <c r="G1330" s="5">
        <v>7.2062099999999996</v>
      </c>
      <c r="H1330" s="5">
        <v>3.5799999999999998E-2</v>
      </c>
      <c r="I1330">
        <v>97</v>
      </c>
      <c r="J1330" s="4" t="str">
        <f>IF(OR(Копия_20206[[#This Row],[Units (in 1000)]]&gt;$R$7,Копия_20206[[#This Row],[Units (in 1000)]]&lt;$R$6),"outlier","not outlier")</f>
        <v>not outlier</v>
      </c>
      <c r="K1330" s="4" t="str">
        <f>IF(OR(Копия_20206[[#This Row],[Value (in 1000 rub)]]&gt;$S$7,Копия_20206[[#This Row],[Value (in 1000 rub)]]&lt;$S$6),"outlier","not outlier")</f>
        <v>not outlier</v>
      </c>
      <c r="L1330" s="4" t="str">
        <f>IF(OR(Копия_20206[[#This Row],[Volume (in 1000 kg)]]&gt;$T$7,Копия_20206[[#This Row],[Volume (in 1000 kg)]]&lt;$T$6),"outlier","not outlier")</f>
        <v>not outlier</v>
      </c>
      <c r="M1330" s="4" t="str">
        <f>IF(OR(Копия_20206[[#This Row],[Number of stores]]&gt;$U$7,Копия_20206[[#This Row],[Number of stores]]&lt;$U$6),"outlier","not outlier")</f>
        <v>not outlier</v>
      </c>
    </row>
    <row r="1331" spans="1:13" x14ac:dyDescent="0.25">
      <c r="A1331">
        <v>2022</v>
      </c>
      <c r="B1331">
        <v>2</v>
      </c>
      <c r="C1331" s="1" t="s">
        <v>25</v>
      </c>
      <c r="D1331" s="1" t="s">
        <v>15</v>
      </c>
      <c r="E1331" s="1" t="s">
        <v>10</v>
      </c>
      <c r="F1331" s="5">
        <v>1.1353</v>
      </c>
      <c r="G1331" s="5">
        <v>79.158237999999997</v>
      </c>
      <c r="H1331" s="5">
        <v>0.2611</v>
      </c>
      <c r="I1331">
        <v>359</v>
      </c>
      <c r="J1331" s="4" t="str">
        <f>IF(OR(Копия_20206[[#This Row],[Units (in 1000)]]&gt;$R$7,Копия_20206[[#This Row],[Units (in 1000)]]&lt;$R$6),"outlier","not outlier")</f>
        <v>not outlier</v>
      </c>
      <c r="K1331" s="4" t="str">
        <f>IF(OR(Копия_20206[[#This Row],[Value (in 1000 rub)]]&gt;$S$7,Копия_20206[[#This Row],[Value (in 1000 rub)]]&lt;$S$6),"outlier","not outlier")</f>
        <v>not outlier</v>
      </c>
      <c r="L1331" s="4" t="str">
        <f>IF(OR(Копия_20206[[#This Row],[Volume (in 1000 kg)]]&gt;$T$7,Копия_20206[[#This Row],[Volume (in 1000 kg)]]&lt;$T$6),"outlier","not outlier")</f>
        <v>not outlier</v>
      </c>
      <c r="M1331" s="4" t="str">
        <f>IF(OR(Копия_20206[[#This Row],[Number of stores]]&gt;$U$7,Копия_20206[[#This Row],[Number of stores]]&lt;$U$6),"outlier","not outlier")</f>
        <v>not outlier</v>
      </c>
    </row>
    <row r="1332" spans="1:13" x14ac:dyDescent="0.25">
      <c r="A1332">
        <v>2022</v>
      </c>
      <c r="B1332">
        <v>2</v>
      </c>
      <c r="C1332" s="1" t="s">
        <v>25</v>
      </c>
      <c r="D1332" s="1" t="s">
        <v>15</v>
      </c>
      <c r="E1332" s="1" t="s">
        <v>12</v>
      </c>
      <c r="F1332" s="5">
        <v>5.3100000000000001E-2</v>
      </c>
      <c r="G1332" s="5">
        <v>5.0842169999999998</v>
      </c>
      <c r="H1332" s="5">
        <v>2.3900000000000001E-2</v>
      </c>
      <c r="I1332">
        <v>52</v>
      </c>
      <c r="J1332" s="4" t="str">
        <f>IF(OR(Копия_20206[[#This Row],[Units (in 1000)]]&gt;$R$7,Копия_20206[[#This Row],[Units (in 1000)]]&lt;$R$6),"outlier","not outlier")</f>
        <v>not outlier</v>
      </c>
      <c r="K1332" s="4" t="str">
        <f>IF(OR(Копия_20206[[#This Row],[Value (in 1000 rub)]]&gt;$S$7,Копия_20206[[#This Row],[Value (in 1000 rub)]]&lt;$S$6),"outlier","not outlier")</f>
        <v>not outlier</v>
      </c>
      <c r="L1332" s="4" t="str">
        <f>IF(OR(Копия_20206[[#This Row],[Volume (in 1000 kg)]]&gt;$T$7,Копия_20206[[#This Row],[Volume (in 1000 kg)]]&lt;$T$6),"outlier","not outlier")</f>
        <v>not outlier</v>
      </c>
      <c r="M1332" s="4" t="str">
        <f>IF(OR(Копия_20206[[#This Row],[Number of stores]]&gt;$U$7,Копия_20206[[#This Row],[Number of stores]]&lt;$U$6),"outlier","not outlier")</f>
        <v>not outlier</v>
      </c>
    </row>
    <row r="1333" spans="1:13" x14ac:dyDescent="0.25">
      <c r="A1333">
        <v>2022</v>
      </c>
      <c r="B1333">
        <v>4</v>
      </c>
      <c r="C1333" s="1" t="s">
        <v>25</v>
      </c>
      <c r="D1333" s="1" t="s">
        <v>15</v>
      </c>
      <c r="E1333" s="1" t="s">
        <v>10</v>
      </c>
      <c r="F1333" s="5">
        <v>1.2441</v>
      </c>
      <c r="G1333" s="5">
        <v>83.254228999999995</v>
      </c>
      <c r="H1333" s="5">
        <v>0.28620000000000001</v>
      </c>
      <c r="I1333">
        <v>0</v>
      </c>
      <c r="J1333" s="4" t="str">
        <f>IF(OR(Копия_20206[[#This Row],[Units (in 1000)]]&gt;$R$7,Копия_20206[[#This Row],[Units (in 1000)]]&lt;$R$6),"outlier","not outlier")</f>
        <v>not outlier</v>
      </c>
      <c r="K1333" s="4" t="str">
        <f>IF(OR(Копия_20206[[#This Row],[Value (in 1000 rub)]]&gt;$S$7,Копия_20206[[#This Row],[Value (in 1000 rub)]]&lt;$S$6),"outlier","not outlier")</f>
        <v>not outlier</v>
      </c>
      <c r="L1333" s="4" t="str">
        <f>IF(OR(Копия_20206[[#This Row],[Volume (in 1000 kg)]]&gt;$T$7,Копия_20206[[#This Row],[Volume (in 1000 kg)]]&lt;$T$6),"outlier","not outlier")</f>
        <v>not outlier</v>
      </c>
      <c r="M1333" s="4" t="str">
        <f>IF(OR(Копия_20206[[#This Row],[Number of stores]]&gt;$U$7,Копия_20206[[#This Row],[Number of stores]]&lt;$U$6),"outlier","not outlier")</f>
        <v>not outlier</v>
      </c>
    </row>
    <row r="1334" spans="1:13" x14ac:dyDescent="0.25">
      <c r="A1334">
        <v>2022</v>
      </c>
      <c r="B1334">
        <v>4</v>
      </c>
      <c r="C1334" s="1" t="s">
        <v>25</v>
      </c>
      <c r="D1334" s="1" t="s">
        <v>15</v>
      </c>
      <c r="E1334" s="1" t="s">
        <v>12</v>
      </c>
      <c r="F1334" s="5">
        <v>7.6E-3</v>
      </c>
      <c r="G1334" s="5">
        <v>1.0291360000000001</v>
      </c>
      <c r="H1334" s="5">
        <v>3.3999999999999998E-3</v>
      </c>
      <c r="I1334">
        <v>0</v>
      </c>
      <c r="J1334" s="4" t="str">
        <f>IF(OR(Копия_20206[[#This Row],[Units (in 1000)]]&gt;$R$7,Копия_20206[[#This Row],[Units (in 1000)]]&lt;$R$6),"outlier","not outlier")</f>
        <v>not outlier</v>
      </c>
      <c r="K1334" s="4" t="str">
        <f>IF(OR(Копия_20206[[#This Row],[Value (in 1000 rub)]]&gt;$S$7,Копия_20206[[#This Row],[Value (in 1000 rub)]]&lt;$S$6),"outlier","not outlier")</f>
        <v>not outlier</v>
      </c>
      <c r="L1334" s="4" t="str">
        <f>IF(OR(Копия_20206[[#This Row],[Volume (in 1000 kg)]]&gt;$T$7,Копия_20206[[#This Row],[Volume (in 1000 kg)]]&lt;$T$6),"outlier","not outlier")</f>
        <v>not outlier</v>
      </c>
      <c r="M1334" s="4" t="str">
        <f>IF(OR(Копия_20206[[#This Row],[Number of stores]]&gt;$U$7,Копия_20206[[#This Row],[Number of stores]]&lt;$U$6),"outlier","not outlier")</f>
        <v>not outlier</v>
      </c>
    </row>
    <row r="1335" spans="1:13" x14ac:dyDescent="0.25">
      <c r="A1335">
        <v>2022</v>
      </c>
      <c r="B1335">
        <v>6</v>
      </c>
      <c r="C1335" s="1" t="s">
        <v>25</v>
      </c>
      <c r="D1335" s="1" t="s">
        <v>15</v>
      </c>
      <c r="E1335" s="1" t="s">
        <v>10</v>
      </c>
      <c r="F1335" s="5">
        <v>1.1194</v>
      </c>
      <c r="G1335" s="5">
        <v>73.262568000000002</v>
      </c>
      <c r="H1335" s="5">
        <v>0.25750000000000001</v>
      </c>
      <c r="I1335">
        <v>0</v>
      </c>
      <c r="J1335" s="4" t="str">
        <f>IF(OR(Копия_20206[[#This Row],[Units (in 1000)]]&gt;$R$7,Копия_20206[[#This Row],[Units (in 1000)]]&lt;$R$6),"outlier","not outlier")</f>
        <v>not outlier</v>
      </c>
      <c r="K1335" s="4" t="str">
        <f>IF(OR(Копия_20206[[#This Row],[Value (in 1000 rub)]]&gt;$S$7,Копия_20206[[#This Row],[Value (in 1000 rub)]]&lt;$S$6),"outlier","not outlier")</f>
        <v>not outlier</v>
      </c>
      <c r="L1335" s="4" t="str">
        <f>IF(OR(Копия_20206[[#This Row],[Volume (in 1000 kg)]]&gt;$T$7,Копия_20206[[#This Row],[Volume (in 1000 kg)]]&lt;$T$6),"outlier","not outlier")</f>
        <v>not outlier</v>
      </c>
      <c r="M1335" s="4" t="str">
        <f>IF(OR(Копия_20206[[#This Row],[Number of stores]]&gt;$U$7,Копия_20206[[#This Row],[Number of stores]]&lt;$U$6),"outlier","not outlier")</f>
        <v>not outlier</v>
      </c>
    </row>
    <row r="1336" spans="1:13" x14ac:dyDescent="0.25">
      <c r="A1336">
        <v>2022</v>
      </c>
      <c r="B1336">
        <v>6</v>
      </c>
      <c r="C1336" s="1" t="s">
        <v>25</v>
      </c>
      <c r="D1336" s="1" t="s">
        <v>15</v>
      </c>
      <c r="E1336" s="1" t="s">
        <v>12</v>
      </c>
      <c r="F1336" s="5">
        <v>2.7000000000000001E-3</v>
      </c>
      <c r="G1336" s="5">
        <v>0.42409400000000003</v>
      </c>
      <c r="H1336" s="5">
        <v>1.1999999999999999E-3</v>
      </c>
      <c r="I1336">
        <v>0</v>
      </c>
      <c r="J1336" s="4" t="str">
        <f>IF(OR(Копия_20206[[#This Row],[Units (in 1000)]]&gt;$R$7,Копия_20206[[#This Row],[Units (in 1000)]]&lt;$R$6),"outlier","not outlier")</f>
        <v>not outlier</v>
      </c>
      <c r="K1336" s="4" t="str">
        <f>IF(OR(Копия_20206[[#This Row],[Value (in 1000 rub)]]&gt;$S$7,Копия_20206[[#This Row],[Value (in 1000 rub)]]&lt;$S$6),"outlier","not outlier")</f>
        <v>not outlier</v>
      </c>
      <c r="L1336" s="4" t="str">
        <f>IF(OR(Копия_20206[[#This Row],[Volume (in 1000 kg)]]&gt;$T$7,Копия_20206[[#This Row],[Volume (in 1000 kg)]]&lt;$T$6),"outlier","not outlier")</f>
        <v>not outlier</v>
      </c>
      <c r="M1336" s="4" t="str">
        <f>IF(OR(Копия_20206[[#This Row],[Number of stores]]&gt;$U$7,Копия_20206[[#This Row],[Number of stores]]&lt;$U$6),"outlier","not outlier")</f>
        <v>not outlier</v>
      </c>
    </row>
    <row r="1337" spans="1:13" x14ac:dyDescent="0.25">
      <c r="A1337">
        <v>2022</v>
      </c>
      <c r="B1337">
        <v>7</v>
      </c>
      <c r="C1337" s="1" t="s">
        <v>25</v>
      </c>
      <c r="D1337" s="1" t="s">
        <v>15</v>
      </c>
      <c r="E1337" s="1" t="s">
        <v>10</v>
      </c>
      <c r="F1337" s="5">
        <v>1.2142999999999999</v>
      </c>
      <c r="G1337" s="5">
        <v>80.504517000000007</v>
      </c>
      <c r="H1337" s="5">
        <v>0.27929999999999999</v>
      </c>
      <c r="I1337">
        <v>0</v>
      </c>
      <c r="J1337" s="4" t="str">
        <f>IF(OR(Копия_20206[[#This Row],[Units (in 1000)]]&gt;$R$7,Копия_20206[[#This Row],[Units (in 1000)]]&lt;$R$6),"outlier","not outlier")</f>
        <v>not outlier</v>
      </c>
      <c r="K1337" s="4" t="str">
        <f>IF(OR(Копия_20206[[#This Row],[Value (in 1000 rub)]]&gt;$S$7,Копия_20206[[#This Row],[Value (in 1000 rub)]]&lt;$S$6),"outlier","not outlier")</f>
        <v>not outlier</v>
      </c>
      <c r="L1337" s="4" t="str">
        <f>IF(OR(Копия_20206[[#This Row],[Volume (in 1000 kg)]]&gt;$T$7,Копия_20206[[#This Row],[Volume (in 1000 kg)]]&lt;$T$6),"outlier","not outlier")</f>
        <v>not outlier</v>
      </c>
      <c r="M1337" s="4" t="str">
        <f>IF(OR(Копия_20206[[#This Row],[Number of stores]]&gt;$U$7,Копия_20206[[#This Row],[Number of stores]]&lt;$U$6),"outlier","not outlier")</f>
        <v>not outlier</v>
      </c>
    </row>
    <row r="1338" spans="1:13" x14ac:dyDescent="0.25">
      <c r="A1338">
        <v>2022</v>
      </c>
      <c r="B1338">
        <v>7</v>
      </c>
      <c r="C1338" s="1" t="s">
        <v>25</v>
      </c>
      <c r="D1338" s="1" t="s">
        <v>15</v>
      </c>
      <c r="E1338" s="1" t="s">
        <v>12</v>
      </c>
      <c r="F1338" s="5">
        <v>6.9999999999999999E-4</v>
      </c>
      <c r="G1338" s="5">
        <v>0.10602300000000001</v>
      </c>
      <c r="H1338" s="5">
        <v>2.9999999999999997E-4</v>
      </c>
      <c r="I1338">
        <v>0</v>
      </c>
      <c r="J1338" s="4" t="str">
        <f>IF(OR(Копия_20206[[#This Row],[Units (in 1000)]]&gt;$R$7,Копия_20206[[#This Row],[Units (in 1000)]]&lt;$R$6),"outlier","not outlier")</f>
        <v>not outlier</v>
      </c>
      <c r="K1338" s="4" t="str">
        <f>IF(OR(Копия_20206[[#This Row],[Value (in 1000 rub)]]&gt;$S$7,Копия_20206[[#This Row],[Value (in 1000 rub)]]&lt;$S$6),"outlier","not outlier")</f>
        <v>not outlier</v>
      </c>
      <c r="L1338" s="4" t="str">
        <f>IF(OR(Копия_20206[[#This Row],[Volume (in 1000 kg)]]&gt;$T$7,Копия_20206[[#This Row],[Volume (in 1000 kg)]]&lt;$T$6),"outlier","not outlier")</f>
        <v>not outlier</v>
      </c>
      <c r="M1338" s="4" t="str">
        <f>IF(OR(Копия_20206[[#This Row],[Number of stores]]&gt;$U$7,Копия_20206[[#This Row],[Number of stores]]&lt;$U$6),"outlier","not outlier")</f>
        <v>not outlier</v>
      </c>
    </row>
    <row r="1339" spans="1:13" x14ac:dyDescent="0.25">
      <c r="A1339">
        <v>2022</v>
      </c>
      <c r="B1339">
        <v>1</v>
      </c>
      <c r="C1339" s="1" t="s">
        <v>8</v>
      </c>
      <c r="D1339" s="1" t="s">
        <v>14</v>
      </c>
      <c r="E1339" s="1" t="s">
        <v>10</v>
      </c>
      <c r="F1339" s="5">
        <v>0.13270000000000001</v>
      </c>
      <c r="G1339" s="5">
        <v>15.948333</v>
      </c>
      <c r="H1339" s="5">
        <v>2.6499999999999999E-2</v>
      </c>
      <c r="I1339">
        <v>10</v>
      </c>
      <c r="J1339" s="4" t="str">
        <f>IF(OR(Копия_20206[[#This Row],[Units (in 1000)]]&gt;$R$7,Копия_20206[[#This Row],[Units (in 1000)]]&lt;$R$6),"outlier","not outlier")</f>
        <v>not outlier</v>
      </c>
      <c r="K1339" s="4" t="str">
        <f>IF(OR(Копия_20206[[#This Row],[Value (in 1000 rub)]]&gt;$S$7,Копия_20206[[#This Row],[Value (in 1000 rub)]]&lt;$S$6),"outlier","not outlier")</f>
        <v>not outlier</v>
      </c>
      <c r="L1339" s="4" t="str">
        <f>IF(OR(Копия_20206[[#This Row],[Volume (in 1000 kg)]]&gt;$T$7,Копия_20206[[#This Row],[Volume (in 1000 kg)]]&lt;$T$6),"outlier","not outlier")</f>
        <v>not outlier</v>
      </c>
      <c r="M1339" s="4" t="str">
        <f>IF(OR(Копия_20206[[#This Row],[Number of stores]]&gt;$U$7,Копия_20206[[#This Row],[Number of stores]]&lt;$U$6),"outlier","not outlier")</f>
        <v>not outlier</v>
      </c>
    </row>
    <row r="1340" spans="1:13" x14ac:dyDescent="0.25">
      <c r="A1340">
        <v>2022</v>
      </c>
      <c r="B1340">
        <v>1</v>
      </c>
      <c r="C1340" s="1" t="s">
        <v>8</v>
      </c>
      <c r="D1340" s="1" t="s">
        <v>14</v>
      </c>
      <c r="E1340" s="1" t="s">
        <v>12</v>
      </c>
      <c r="F1340" s="5">
        <v>44.928699999999999</v>
      </c>
      <c r="G1340" s="5">
        <v>7611.5632079999996</v>
      </c>
      <c r="H1340" s="5">
        <v>17.971499999999999</v>
      </c>
      <c r="I1340">
        <v>728</v>
      </c>
      <c r="J1340" s="4" t="str">
        <f>IF(OR(Копия_20206[[#This Row],[Units (in 1000)]]&gt;$R$7,Копия_20206[[#This Row],[Units (in 1000)]]&lt;$R$6),"outlier","not outlier")</f>
        <v>outlier</v>
      </c>
      <c r="K1340" s="4" t="str">
        <f>IF(OR(Копия_20206[[#This Row],[Value (in 1000 rub)]]&gt;$S$7,Копия_20206[[#This Row],[Value (in 1000 rub)]]&lt;$S$6),"outlier","not outlier")</f>
        <v>outlier</v>
      </c>
      <c r="L1340" s="4" t="str">
        <f>IF(OR(Копия_20206[[#This Row],[Volume (in 1000 kg)]]&gt;$T$7,Копия_20206[[#This Row],[Volume (in 1000 kg)]]&lt;$T$6),"outlier","not outlier")</f>
        <v>outlier</v>
      </c>
      <c r="M1340" s="4" t="str">
        <f>IF(OR(Копия_20206[[#This Row],[Number of stores]]&gt;$U$7,Копия_20206[[#This Row],[Number of stores]]&lt;$U$6),"outlier","not outlier")</f>
        <v>not outlier</v>
      </c>
    </row>
    <row r="1341" spans="1:13" x14ac:dyDescent="0.25">
      <c r="A1341">
        <v>2022</v>
      </c>
      <c r="B1341">
        <v>1</v>
      </c>
      <c r="C1341" s="1" t="s">
        <v>25</v>
      </c>
      <c r="D1341" s="1" t="s">
        <v>14</v>
      </c>
      <c r="E1341" s="1" t="s">
        <v>10</v>
      </c>
      <c r="F1341" s="5">
        <v>9.74E-2</v>
      </c>
      <c r="G1341" s="5">
        <v>14.795735000000001</v>
      </c>
      <c r="H1341" s="5">
        <v>1.95E-2</v>
      </c>
      <c r="I1341">
        <v>24</v>
      </c>
      <c r="J1341" s="4" t="str">
        <f>IF(OR(Копия_20206[[#This Row],[Units (in 1000)]]&gt;$R$7,Копия_20206[[#This Row],[Units (in 1000)]]&lt;$R$6),"outlier","not outlier")</f>
        <v>not outlier</v>
      </c>
      <c r="K1341" s="4" t="str">
        <f>IF(OR(Копия_20206[[#This Row],[Value (in 1000 rub)]]&gt;$S$7,Копия_20206[[#This Row],[Value (in 1000 rub)]]&lt;$S$6),"outlier","not outlier")</f>
        <v>not outlier</v>
      </c>
      <c r="L1341" s="4" t="str">
        <f>IF(OR(Копия_20206[[#This Row],[Volume (in 1000 kg)]]&gt;$T$7,Копия_20206[[#This Row],[Volume (in 1000 kg)]]&lt;$T$6),"outlier","not outlier")</f>
        <v>not outlier</v>
      </c>
      <c r="M1341" s="4" t="str">
        <f>IF(OR(Копия_20206[[#This Row],[Number of stores]]&gt;$U$7,Копия_20206[[#This Row],[Number of stores]]&lt;$U$6),"outlier","not outlier")</f>
        <v>not outlier</v>
      </c>
    </row>
    <row r="1342" spans="1:13" x14ac:dyDescent="0.25">
      <c r="A1342">
        <v>2022</v>
      </c>
      <c r="B1342">
        <v>1</v>
      </c>
      <c r="C1342" s="1" t="s">
        <v>25</v>
      </c>
      <c r="D1342" s="1" t="s">
        <v>14</v>
      </c>
      <c r="E1342" s="1" t="s">
        <v>12</v>
      </c>
      <c r="F1342" s="5">
        <v>8.1112000000000002</v>
      </c>
      <c r="G1342" s="5">
        <v>1609.072208</v>
      </c>
      <c r="H1342" s="5">
        <v>3.2444999999999999</v>
      </c>
      <c r="I1342">
        <v>1351</v>
      </c>
      <c r="J1342" s="4" t="str">
        <f>IF(OR(Копия_20206[[#This Row],[Units (in 1000)]]&gt;$R$7,Копия_20206[[#This Row],[Units (in 1000)]]&lt;$R$6),"outlier","not outlier")</f>
        <v>not outlier</v>
      </c>
      <c r="K1342" s="4" t="str">
        <f>IF(OR(Копия_20206[[#This Row],[Value (in 1000 rub)]]&gt;$S$7,Копия_20206[[#This Row],[Value (in 1000 rub)]]&lt;$S$6),"outlier","not outlier")</f>
        <v>not outlier</v>
      </c>
      <c r="L1342" s="4" t="str">
        <f>IF(OR(Копия_20206[[#This Row],[Volume (in 1000 kg)]]&gt;$T$7,Копия_20206[[#This Row],[Volume (in 1000 kg)]]&lt;$T$6),"outlier","not outlier")</f>
        <v>not outlier</v>
      </c>
      <c r="M1342" s="4" t="str">
        <f>IF(OR(Копия_20206[[#This Row],[Number of stores]]&gt;$U$7,Копия_20206[[#This Row],[Number of stores]]&lt;$U$6),"outlier","not outlier")</f>
        <v>not outlier</v>
      </c>
    </row>
    <row r="1343" spans="1:13" x14ac:dyDescent="0.25">
      <c r="A1343">
        <v>2022</v>
      </c>
      <c r="B1343">
        <v>1</v>
      </c>
      <c r="C1343" s="1" t="s">
        <v>29</v>
      </c>
      <c r="D1343" s="1" t="s">
        <v>14</v>
      </c>
      <c r="E1343" s="1" t="s">
        <v>10</v>
      </c>
      <c r="F1343" s="5">
        <v>1.2302999999999999</v>
      </c>
      <c r="G1343" s="5">
        <v>147.988777</v>
      </c>
      <c r="H1343" s="5">
        <v>0.24610000000000001</v>
      </c>
      <c r="I1343">
        <v>286</v>
      </c>
      <c r="J1343" s="4" t="str">
        <f>IF(OR(Копия_20206[[#This Row],[Units (in 1000)]]&gt;$R$7,Копия_20206[[#This Row],[Units (in 1000)]]&lt;$R$6),"outlier","not outlier")</f>
        <v>not outlier</v>
      </c>
      <c r="K1343" s="4" t="str">
        <f>IF(OR(Копия_20206[[#This Row],[Value (in 1000 rub)]]&gt;$S$7,Копия_20206[[#This Row],[Value (in 1000 rub)]]&lt;$S$6),"outlier","not outlier")</f>
        <v>not outlier</v>
      </c>
      <c r="L1343" s="4" t="str">
        <f>IF(OR(Копия_20206[[#This Row],[Volume (in 1000 kg)]]&gt;$T$7,Копия_20206[[#This Row],[Volume (in 1000 kg)]]&lt;$T$6),"outlier","not outlier")</f>
        <v>not outlier</v>
      </c>
      <c r="M1343" s="4" t="str">
        <f>IF(OR(Копия_20206[[#This Row],[Number of stores]]&gt;$U$7,Копия_20206[[#This Row],[Number of stores]]&lt;$U$6),"outlier","not outlier")</f>
        <v>not outlier</v>
      </c>
    </row>
    <row r="1344" spans="1:13" x14ac:dyDescent="0.25">
      <c r="A1344">
        <v>2022</v>
      </c>
      <c r="B1344">
        <v>1</v>
      </c>
      <c r="C1344" s="1" t="s">
        <v>29</v>
      </c>
      <c r="D1344" s="1" t="s">
        <v>14</v>
      </c>
      <c r="E1344" s="1" t="s">
        <v>12</v>
      </c>
      <c r="F1344" s="5">
        <v>56.186999999999998</v>
      </c>
      <c r="G1344" s="5">
        <v>9934.4125370000002</v>
      </c>
      <c r="H1344" s="5">
        <v>22.474699999999999</v>
      </c>
      <c r="I1344">
        <v>4241</v>
      </c>
      <c r="J1344" s="4" t="str">
        <f>IF(OR(Копия_20206[[#This Row],[Units (in 1000)]]&gt;$R$7,Копия_20206[[#This Row],[Units (in 1000)]]&lt;$R$6),"outlier","not outlier")</f>
        <v>outlier</v>
      </c>
      <c r="K1344" s="4" t="str">
        <f>IF(OR(Копия_20206[[#This Row],[Value (in 1000 rub)]]&gt;$S$7,Копия_20206[[#This Row],[Value (in 1000 rub)]]&lt;$S$6),"outlier","not outlier")</f>
        <v>outlier</v>
      </c>
      <c r="L1344" s="4" t="str">
        <f>IF(OR(Копия_20206[[#This Row],[Volume (in 1000 kg)]]&gt;$T$7,Копия_20206[[#This Row],[Volume (in 1000 kg)]]&lt;$T$6),"outlier","not outlier")</f>
        <v>outlier</v>
      </c>
      <c r="M1344" s="4" t="str">
        <f>IF(OR(Копия_20206[[#This Row],[Number of stores]]&gt;$U$7,Копия_20206[[#This Row],[Number of stores]]&lt;$U$6),"outlier","not outlier")</f>
        <v>outlier</v>
      </c>
    </row>
    <row r="1345" spans="1:13" x14ac:dyDescent="0.25">
      <c r="A1345">
        <v>2022</v>
      </c>
      <c r="B1345">
        <v>2</v>
      </c>
      <c r="C1345" s="1" t="s">
        <v>8</v>
      </c>
      <c r="D1345" s="1" t="s">
        <v>14</v>
      </c>
      <c r="E1345" s="1" t="s">
        <v>10</v>
      </c>
      <c r="F1345" s="5">
        <v>8.9300000000000004E-2</v>
      </c>
      <c r="G1345" s="5">
        <v>11.329055</v>
      </c>
      <c r="H1345" s="5">
        <v>1.78E-2</v>
      </c>
      <c r="I1345">
        <v>10</v>
      </c>
      <c r="J1345" s="4" t="str">
        <f>IF(OR(Копия_20206[[#This Row],[Units (in 1000)]]&gt;$R$7,Копия_20206[[#This Row],[Units (in 1000)]]&lt;$R$6),"outlier","not outlier")</f>
        <v>not outlier</v>
      </c>
      <c r="K1345" s="4" t="str">
        <f>IF(OR(Копия_20206[[#This Row],[Value (in 1000 rub)]]&gt;$S$7,Копия_20206[[#This Row],[Value (in 1000 rub)]]&lt;$S$6),"outlier","not outlier")</f>
        <v>not outlier</v>
      </c>
      <c r="L1345" s="4" t="str">
        <f>IF(OR(Копия_20206[[#This Row],[Volume (in 1000 kg)]]&gt;$T$7,Копия_20206[[#This Row],[Volume (in 1000 kg)]]&lt;$T$6),"outlier","not outlier")</f>
        <v>not outlier</v>
      </c>
      <c r="M1345" s="4" t="str">
        <f>IF(OR(Копия_20206[[#This Row],[Number of stores]]&gt;$U$7,Копия_20206[[#This Row],[Number of stores]]&lt;$U$6),"outlier","not outlier")</f>
        <v>not outlier</v>
      </c>
    </row>
    <row r="1346" spans="1:13" x14ac:dyDescent="0.25">
      <c r="A1346">
        <v>2022</v>
      </c>
      <c r="B1346">
        <v>2</v>
      </c>
      <c r="C1346" s="1" t="s">
        <v>8</v>
      </c>
      <c r="D1346" s="1" t="s">
        <v>14</v>
      </c>
      <c r="E1346" s="1" t="s">
        <v>12</v>
      </c>
      <c r="F1346" s="5">
        <v>35.849800000000002</v>
      </c>
      <c r="G1346" s="5">
        <v>5962.643043</v>
      </c>
      <c r="H1346" s="5">
        <v>14.3399</v>
      </c>
      <c r="I1346">
        <v>694</v>
      </c>
      <c r="J1346" s="4" t="str">
        <f>IF(OR(Копия_20206[[#This Row],[Units (in 1000)]]&gt;$R$7,Копия_20206[[#This Row],[Units (in 1000)]]&lt;$R$6),"outlier","not outlier")</f>
        <v>outlier</v>
      </c>
      <c r="K1346" s="4" t="str">
        <f>IF(OR(Копия_20206[[#This Row],[Value (in 1000 rub)]]&gt;$S$7,Копия_20206[[#This Row],[Value (in 1000 rub)]]&lt;$S$6),"outlier","not outlier")</f>
        <v>outlier</v>
      </c>
      <c r="L1346" s="4" t="str">
        <f>IF(OR(Копия_20206[[#This Row],[Volume (in 1000 kg)]]&gt;$T$7,Копия_20206[[#This Row],[Volume (in 1000 kg)]]&lt;$T$6),"outlier","not outlier")</f>
        <v>outlier</v>
      </c>
      <c r="M1346" s="4" t="str">
        <f>IF(OR(Копия_20206[[#This Row],[Number of stores]]&gt;$U$7,Копия_20206[[#This Row],[Number of stores]]&lt;$U$6),"outlier","not outlier")</f>
        <v>not outlier</v>
      </c>
    </row>
    <row r="1347" spans="1:13" x14ac:dyDescent="0.25">
      <c r="A1347">
        <v>2022</v>
      </c>
      <c r="B1347">
        <v>2</v>
      </c>
      <c r="C1347" s="1" t="s">
        <v>25</v>
      </c>
      <c r="D1347" s="1" t="s">
        <v>14</v>
      </c>
      <c r="E1347" s="1" t="s">
        <v>10</v>
      </c>
      <c r="F1347" s="5">
        <v>8.6300000000000002E-2</v>
      </c>
      <c r="G1347" s="5">
        <v>13.461722999999999</v>
      </c>
      <c r="H1347" s="5">
        <v>1.72E-2</v>
      </c>
      <c r="I1347">
        <v>22</v>
      </c>
      <c r="J1347" s="4" t="str">
        <f>IF(OR(Копия_20206[[#This Row],[Units (in 1000)]]&gt;$R$7,Копия_20206[[#This Row],[Units (in 1000)]]&lt;$R$6),"outlier","not outlier")</f>
        <v>not outlier</v>
      </c>
      <c r="K1347" s="4" t="str">
        <f>IF(OR(Копия_20206[[#This Row],[Value (in 1000 rub)]]&gt;$S$7,Копия_20206[[#This Row],[Value (in 1000 rub)]]&lt;$S$6),"outlier","not outlier")</f>
        <v>not outlier</v>
      </c>
      <c r="L1347" s="4" t="str">
        <f>IF(OR(Копия_20206[[#This Row],[Volume (in 1000 kg)]]&gt;$T$7,Копия_20206[[#This Row],[Volume (in 1000 kg)]]&lt;$T$6),"outlier","not outlier")</f>
        <v>not outlier</v>
      </c>
      <c r="M1347" s="4" t="str">
        <f>IF(OR(Копия_20206[[#This Row],[Number of stores]]&gt;$U$7,Копия_20206[[#This Row],[Number of stores]]&lt;$U$6),"outlier","not outlier")</f>
        <v>not outlier</v>
      </c>
    </row>
    <row r="1348" spans="1:13" x14ac:dyDescent="0.25">
      <c r="A1348">
        <v>2022</v>
      </c>
      <c r="B1348">
        <v>2</v>
      </c>
      <c r="C1348" s="1" t="s">
        <v>25</v>
      </c>
      <c r="D1348" s="1" t="s">
        <v>14</v>
      </c>
      <c r="E1348" s="1" t="s">
        <v>12</v>
      </c>
      <c r="F1348" s="5">
        <v>7.6718999999999999</v>
      </c>
      <c r="G1348" s="5">
        <v>1608.7897439999999</v>
      </c>
      <c r="H1348" s="5">
        <v>3.0688</v>
      </c>
      <c r="I1348">
        <v>1087</v>
      </c>
      <c r="J1348" s="4" t="str">
        <f>IF(OR(Копия_20206[[#This Row],[Units (in 1000)]]&gt;$R$7,Копия_20206[[#This Row],[Units (in 1000)]]&lt;$R$6),"outlier","not outlier")</f>
        <v>not outlier</v>
      </c>
      <c r="K1348" s="4" t="str">
        <f>IF(OR(Копия_20206[[#This Row],[Value (in 1000 rub)]]&gt;$S$7,Копия_20206[[#This Row],[Value (in 1000 rub)]]&lt;$S$6),"outlier","not outlier")</f>
        <v>not outlier</v>
      </c>
      <c r="L1348" s="4" t="str">
        <f>IF(OR(Копия_20206[[#This Row],[Volume (in 1000 kg)]]&gt;$T$7,Копия_20206[[#This Row],[Volume (in 1000 kg)]]&lt;$T$6),"outlier","not outlier")</f>
        <v>not outlier</v>
      </c>
      <c r="M1348" s="4" t="str">
        <f>IF(OR(Копия_20206[[#This Row],[Number of stores]]&gt;$U$7,Копия_20206[[#This Row],[Number of stores]]&lt;$U$6),"outlier","not outlier")</f>
        <v>not outlier</v>
      </c>
    </row>
    <row r="1349" spans="1:13" x14ac:dyDescent="0.25">
      <c r="A1349">
        <v>2022</v>
      </c>
      <c r="B1349">
        <v>2</v>
      </c>
      <c r="C1349" s="1" t="s">
        <v>29</v>
      </c>
      <c r="D1349" s="1" t="s">
        <v>14</v>
      </c>
      <c r="E1349" s="1" t="s">
        <v>10</v>
      </c>
      <c r="F1349" s="5">
        <v>0.9859</v>
      </c>
      <c r="G1349" s="5">
        <v>118.79017</v>
      </c>
      <c r="H1349" s="5">
        <v>0.19719999999999999</v>
      </c>
      <c r="I1349">
        <v>276</v>
      </c>
      <c r="J1349" s="4" t="str">
        <f>IF(OR(Копия_20206[[#This Row],[Units (in 1000)]]&gt;$R$7,Копия_20206[[#This Row],[Units (in 1000)]]&lt;$R$6),"outlier","not outlier")</f>
        <v>not outlier</v>
      </c>
      <c r="K1349" s="4" t="str">
        <f>IF(OR(Копия_20206[[#This Row],[Value (in 1000 rub)]]&gt;$S$7,Копия_20206[[#This Row],[Value (in 1000 rub)]]&lt;$S$6),"outlier","not outlier")</f>
        <v>not outlier</v>
      </c>
      <c r="L1349" s="4" t="str">
        <f>IF(OR(Копия_20206[[#This Row],[Volume (in 1000 kg)]]&gt;$T$7,Копия_20206[[#This Row],[Volume (in 1000 kg)]]&lt;$T$6),"outlier","not outlier")</f>
        <v>not outlier</v>
      </c>
      <c r="M1349" s="4" t="str">
        <f>IF(OR(Копия_20206[[#This Row],[Number of stores]]&gt;$U$7,Копия_20206[[#This Row],[Number of stores]]&lt;$U$6),"outlier","not outlier")</f>
        <v>not outlier</v>
      </c>
    </row>
    <row r="1350" spans="1:13" x14ac:dyDescent="0.25">
      <c r="A1350">
        <v>2022</v>
      </c>
      <c r="B1350">
        <v>2</v>
      </c>
      <c r="C1350" s="1" t="s">
        <v>29</v>
      </c>
      <c r="D1350" s="1" t="s">
        <v>14</v>
      </c>
      <c r="E1350" s="1" t="s">
        <v>12</v>
      </c>
      <c r="F1350" s="5">
        <v>29.5518</v>
      </c>
      <c r="G1350" s="5">
        <v>6283.9692070000001</v>
      </c>
      <c r="H1350" s="5">
        <v>11.820600000000001</v>
      </c>
      <c r="I1350">
        <v>3996</v>
      </c>
      <c r="J1350" s="4" t="str">
        <f>IF(OR(Копия_20206[[#This Row],[Units (in 1000)]]&gt;$R$7,Копия_20206[[#This Row],[Units (in 1000)]]&lt;$R$6),"outlier","not outlier")</f>
        <v>outlier</v>
      </c>
      <c r="K1350" s="4" t="str">
        <f>IF(OR(Копия_20206[[#This Row],[Value (in 1000 rub)]]&gt;$S$7,Копия_20206[[#This Row],[Value (in 1000 rub)]]&lt;$S$6),"outlier","not outlier")</f>
        <v>outlier</v>
      </c>
      <c r="L1350" s="4" t="str">
        <f>IF(OR(Копия_20206[[#This Row],[Volume (in 1000 kg)]]&gt;$T$7,Копия_20206[[#This Row],[Volume (in 1000 kg)]]&lt;$T$6),"outlier","not outlier")</f>
        <v>outlier</v>
      </c>
      <c r="M1350" s="4" t="str">
        <f>IF(OR(Копия_20206[[#This Row],[Number of stores]]&gt;$U$7,Копия_20206[[#This Row],[Number of stores]]&lt;$U$6),"outlier","not outlier")</f>
        <v>outlier</v>
      </c>
    </row>
    <row r="1351" spans="1:13" x14ac:dyDescent="0.25">
      <c r="A1351">
        <v>2022</v>
      </c>
      <c r="B1351">
        <v>3</v>
      </c>
      <c r="C1351" s="1" t="s">
        <v>8</v>
      </c>
      <c r="D1351" s="1" t="s">
        <v>14</v>
      </c>
      <c r="E1351" s="1" t="s">
        <v>10</v>
      </c>
      <c r="F1351" s="5">
        <v>3.0952999999999999</v>
      </c>
      <c r="G1351" s="5">
        <v>327.837154</v>
      </c>
      <c r="H1351" s="5">
        <v>0.61909999999999998</v>
      </c>
      <c r="I1351">
        <v>92</v>
      </c>
      <c r="J1351" s="4" t="str">
        <f>IF(OR(Копия_20206[[#This Row],[Units (in 1000)]]&gt;$R$7,Копия_20206[[#This Row],[Units (in 1000)]]&lt;$R$6),"outlier","not outlier")</f>
        <v>not outlier</v>
      </c>
      <c r="K1351" s="4" t="str">
        <f>IF(OR(Копия_20206[[#This Row],[Value (in 1000 rub)]]&gt;$S$7,Копия_20206[[#This Row],[Value (in 1000 rub)]]&lt;$S$6),"outlier","not outlier")</f>
        <v>not outlier</v>
      </c>
      <c r="L1351" s="4" t="str">
        <f>IF(OR(Копия_20206[[#This Row],[Volume (in 1000 kg)]]&gt;$T$7,Копия_20206[[#This Row],[Volume (in 1000 kg)]]&lt;$T$6),"outlier","not outlier")</f>
        <v>not outlier</v>
      </c>
      <c r="M1351" s="4" t="str">
        <f>IF(OR(Копия_20206[[#This Row],[Number of stores]]&gt;$U$7,Копия_20206[[#This Row],[Number of stores]]&lt;$U$6),"outlier","not outlier")</f>
        <v>not outlier</v>
      </c>
    </row>
    <row r="1352" spans="1:13" x14ac:dyDescent="0.25">
      <c r="A1352">
        <v>2022</v>
      </c>
      <c r="B1352">
        <v>3</v>
      </c>
      <c r="C1352" s="1" t="s">
        <v>8</v>
      </c>
      <c r="D1352" s="1" t="s">
        <v>14</v>
      </c>
      <c r="E1352" s="1" t="s">
        <v>12</v>
      </c>
      <c r="F1352" s="5">
        <v>45.207000000000001</v>
      </c>
      <c r="G1352" s="5">
        <v>9020.8903109999992</v>
      </c>
      <c r="H1352" s="5">
        <v>18.082699999999999</v>
      </c>
      <c r="I1352">
        <v>675</v>
      </c>
      <c r="J1352" s="4" t="str">
        <f>IF(OR(Копия_20206[[#This Row],[Units (in 1000)]]&gt;$R$7,Копия_20206[[#This Row],[Units (in 1000)]]&lt;$R$6),"outlier","not outlier")</f>
        <v>outlier</v>
      </c>
      <c r="K1352" s="4" t="str">
        <f>IF(OR(Копия_20206[[#This Row],[Value (in 1000 rub)]]&gt;$S$7,Копия_20206[[#This Row],[Value (in 1000 rub)]]&lt;$S$6),"outlier","not outlier")</f>
        <v>outlier</v>
      </c>
      <c r="L1352" s="4" t="str">
        <f>IF(OR(Копия_20206[[#This Row],[Volume (in 1000 kg)]]&gt;$T$7,Копия_20206[[#This Row],[Volume (in 1000 kg)]]&lt;$T$6),"outlier","not outlier")</f>
        <v>outlier</v>
      </c>
      <c r="M1352" s="4" t="str">
        <f>IF(OR(Копия_20206[[#This Row],[Number of stores]]&gt;$U$7,Копия_20206[[#This Row],[Number of stores]]&lt;$U$6),"outlier","not outlier")</f>
        <v>not outlier</v>
      </c>
    </row>
    <row r="1353" spans="1:13" x14ac:dyDescent="0.25">
      <c r="A1353">
        <v>2022</v>
      </c>
      <c r="B1353">
        <v>3</v>
      </c>
      <c r="C1353" s="1" t="s">
        <v>25</v>
      </c>
      <c r="D1353" s="1" t="s">
        <v>14</v>
      </c>
      <c r="E1353" s="1" t="s">
        <v>10</v>
      </c>
      <c r="F1353" s="5">
        <v>0.62680000000000002</v>
      </c>
      <c r="G1353" s="5">
        <v>67.629071999999994</v>
      </c>
      <c r="H1353" s="5">
        <v>0.12540000000000001</v>
      </c>
      <c r="I1353">
        <v>64</v>
      </c>
      <c r="J1353" s="4" t="str">
        <f>IF(OR(Копия_20206[[#This Row],[Units (in 1000)]]&gt;$R$7,Копия_20206[[#This Row],[Units (in 1000)]]&lt;$R$6),"outlier","not outlier")</f>
        <v>not outlier</v>
      </c>
      <c r="K1353" s="4" t="str">
        <f>IF(OR(Копия_20206[[#This Row],[Value (in 1000 rub)]]&gt;$S$7,Копия_20206[[#This Row],[Value (in 1000 rub)]]&lt;$S$6),"outlier","not outlier")</f>
        <v>not outlier</v>
      </c>
      <c r="L1353" s="4" t="str">
        <f>IF(OR(Копия_20206[[#This Row],[Volume (in 1000 kg)]]&gt;$T$7,Копия_20206[[#This Row],[Volume (in 1000 kg)]]&lt;$T$6),"outlier","not outlier")</f>
        <v>not outlier</v>
      </c>
      <c r="M1353" s="4" t="str">
        <f>IF(OR(Копия_20206[[#This Row],[Number of stores]]&gt;$U$7,Копия_20206[[#This Row],[Number of stores]]&lt;$U$6),"outlier","not outlier")</f>
        <v>not outlier</v>
      </c>
    </row>
    <row r="1354" spans="1:13" x14ac:dyDescent="0.25">
      <c r="A1354">
        <v>2022</v>
      </c>
      <c r="B1354">
        <v>3</v>
      </c>
      <c r="C1354" s="1" t="s">
        <v>25</v>
      </c>
      <c r="D1354" s="1" t="s">
        <v>14</v>
      </c>
      <c r="E1354" s="1" t="s">
        <v>12</v>
      </c>
      <c r="F1354" s="5">
        <v>19.705200000000001</v>
      </c>
      <c r="G1354" s="5">
        <v>3567.8705949999999</v>
      </c>
      <c r="H1354" s="5">
        <v>7.8821000000000003</v>
      </c>
      <c r="I1354">
        <v>2934</v>
      </c>
      <c r="J1354" s="4" t="str">
        <f>IF(OR(Копия_20206[[#This Row],[Units (in 1000)]]&gt;$R$7,Копия_20206[[#This Row],[Units (in 1000)]]&lt;$R$6),"outlier","not outlier")</f>
        <v>not outlier</v>
      </c>
      <c r="K1354" s="4" t="str">
        <f>IF(OR(Копия_20206[[#This Row],[Value (in 1000 rub)]]&gt;$S$7,Копия_20206[[#This Row],[Value (in 1000 rub)]]&lt;$S$6),"outlier","not outlier")</f>
        <v>outlier</v>
      </c>
      <c r="L1354" s="4" t="str">
        <f>IF(OR(Копия_20206[[#This Row],[Volume (in 1000 kg)]]&gt;$T$7,Копия_20206[[#This Row],[Volume (in 1000 kg)]]&lt;$T$6),"outlier","not outlier")</f>
        <v>outlier</v>
      </c>
      <c r="M1354" s="4" t="str">
        <f>IF(OR(Копия_20206[[#This Row],[Number of stores]]&gt;$U$7,Копия_20206[[#This Row],[Number of stores]]&lt;$U$6),"outlier","not outlier")</f>
        <v>outlier</v>
      </c>
    </row>
    <row r="1355" spans="1:13" x14ac:dyDescent="0.25">
      <c r="A1355">
        <v>2022</v>
      </c>
      <c r="B1355">
        <v>3</v>
      </c>
      <c r="C1355" s="1" t="s">
        <v>29</v>
      </c>
      <c r="D1355" s="1" t="s">
        <v>14</v>
      </c>
      <c r="E1355" s="1" t="s">
        <v>10</v>
      </c>
      <c r="F1355" s="5">
        <v>1.4625999999999999</v>
      </c>
      <c r="G1355" s="5">
        <v>186.26879400000001</v>
      </c>
      <c r="H1355" s="5">
        <v>0.29249999999999998</v>
      </c>
      <c r="I1355">
        <v>281</v>
      </c>
      <c r="J1355" s="4" t="str">
        <f>IF(OR(Копия_20206[[#This Row],[Units (in 1000)]]&gt;$R$7,Копия_20206[[#This Row],[Units (in 1000)]]&lt;$R$6),"outlier","not outlier")</f>
        <v>not outlier</v>
      </c>
      <c r="K1355" s="4" t="str">
        <f>IF(OR(Копия_20206[[#This Row],[Value (in 1000 rub)]]&gt;$S$7,Копия_20206[[#This Row],[Value (in 1000 rub)]]&lt;$S$6),"outlier","not outlier")</f>
        <v>not outlier</v>
      </c>
      <c r="L1355" s="4" t="str">
        <f>IF(OR(Копия_20206[[#This Row],[Volume (in 1000 kg)]]&gt;$T$7,Копия_20206[[#This Row],[Volume (in 1000 kg)]]&lt;$T$6),"outlier","not outlier")</f>
        <v>not outlier</v>
      </c>
      <c r="M1355" s="4" t="str">
        <f>IF(OR(Копия_20206[[#This Row],[Number of stores]]&gt;$U$7,Копия_20206[[#This Row],[Number of stores]]&lt;$U$6),"outlier","not outlier")</f>
        <v>not outlier</v>
      </c>
    </row>
    <row r="1356" spans="1:13" x14ac:dyDescent="0.25">
      <c r="A1356">
        <v>2022</v>
      </c>
      <c r="B1356">
        <v>3</v>
      </c>
      <c r="C1356" s="1" t="s">
        <v>29</v>
      </c>
      <c r="D1356" s="1" t="s">
        <v>14</v>
      </c>
      <c r="E1356" s="1" t="s">
        <v>12</v>
      </c>
      <c r="F1356" s="5">
        <v>73.765600000000006</v>
      </c>
      <c r="G1356" s="5">
        <v>14237.19253</v>
      </c>
      <c r="H1356" s="5">
        <v>29.5063</v>
      </c>
      <c r="I1356">
        <v>5015</v>
      </c>
      <c r="J1356" s="4" t="str">
        <f>IF(OR(Копия_20206[[#This Row],[Units (in 1000)]]&gt;$R$7,Копия_20206[[#This Row],[Units (in 1000)]]&lt;$R$6),"outlier","not outlier")</f>
        <v>outlier</v>
      </c>
      <c r="K1356" s="4" t="str">
        <f>IF(OR(Копия_20206[[#This Row],[Value (in 1000 rub)]]&gt;$S$7,Копия_20206[[#This Row],[Value (in 1000 rub)]]&lt;$S$6),"outlier","not outlier")</f>
        <v>outlier</v>
      </c>
      <c r="L1356" s="4" t="str">
        <f>IF(OR(Копия_20206[[#This Row],[Volume (in 1000 kg)]]&gt;$T$7,Копия_20206[[#This Row],[Volume (in 1000 kg)]]&lt;$T$6),"outlier","not outlier")</f>
        <v>outlier</v>
      </c>
      <c r="M1356" s="4" t="str">
        <f>IF(OR(Копия_20206[[#This Row],[Number of stores]]&gt;$U$7,Копия_20206[[#This Row],[Number of stores]]&lt;$U$6),"outlier","not outlier")</f>
        <v>outlier</v>
      </c>
    </row>
    <row r="1357" spans="1:13" x14ac:dyDescent="0.25">
      <c r="A1357">
        <v>2022</v>
      </c>
      <c r="B1357">
        <v>4</v>
      </c>
      <c r="C1357" s="1" t="s">
        <v>8</v>
      </c>
      <c r="D1357" s="1" t="s">
        <v>14</v>
      </c>
      <c r="E1357" s="1" t="s">
        <v>10</v>
      </c>
      <c r="F1357" s="5">
        <v>3.0257000000000001</v>
      </c>
      <c r="G1357" s="5">
        <v>318.20381099999997</v>
      </c>
      <c r="H1357" s="5">
        <v>0.60509999999999997</v>
      </c>
      <c r="I1357">
        <v>92</v>
      </c>
      <c r="J1357" s="4" t="str">
        <f>IF(OR(Копия_20206[[#This Row],[Units (in 1000)]]&gt;$R$7,Копия_20206[[#This Row],[Units (in 1000)]]&lt;$R$6),"outlier","not outlier")</f>
        <v>not outlier</v>
      </c>
      <c r="K1357" s="4" t="str">
        <f>IF(OR(Копия_20206[[#This Row],[Value (in 1000 rub)]]&gt;$S$7,Копия_20206[[#This Row],[Value (in 1000 rub)]]&lt;$S$6),"outlier","not outlier")</f>
        <v>not outlier</v>
      </c>
      <c r="L1357" s="4" t="str">
        <f>IF(OR(Копия_20206[[#This Row],[Volume (in 1000 kg)]]&gt;$T$7,Копия_20206[[#This Row],[Volume (in 1000 kg)]]&lt;$T$6),"outlier","not outlier")</f>
        <v>not outlier</v>
      </c>
      <c r="M1357" s="4" t="str">
        <f>IF(OR(Копия_20206[[#This Row],[Number of stores]]&gt;$U$7,Копия_20206[[#This Row],[Number of stores]]&lt;$U$6),"outlier","not outlier")</f>
        <v>not outlier</v>
      </c>
    </row>
    <row r="1358" spans="1:13" x14ac:dyDescent="0.25">
      <c r="A1358">
        <v>2022</v>
      </c>
      <c r="B1358">
        <v>4</v>
      </c>
      <c r="C1358" s="1" t="s">
        <v>8</v>
      </c>
      <c r="D1358" s="1" t="s">
        <v>14</v>
      </c>
      <c r="E1358" s="1" t="s">
        <v>12</v>
      </c>
      <c r="F1358" s="5">
        <v>29.136299999999999</v>
      </c>
      <c r="G1358" s="5">
        <v>6304.3134330000003</v>
      </c>
      <c r="H1358" s="5">
        <v>11.6546</v>
      </c>
      <c r="I1358">
        <v>633</v>
      </c>
      <c r="J1358" s="4" t="str">
        <f>IF(OR(Копия_20206[[#This Row],[Units (in 1000)]]&gt;$R$7,Копия_20206[[#This Row],[Units (in 1000)]]&lt;$R$6),"outlier","not outlier")</f>
        <v>outlier</v>
      </c>
      <c r="K1358" s="4" t="str">
        <f>IF(OR(Копия_20206[[#This Row],[Value (in 1000 rub)]]&gt;$S$7,Копия_20206[[#This Row],[Value (in 1000 rub)]]&lt;$S$6),"outlier","not outlier")</f>
        <v>outlier</v>
      </c>
      <c r="L1358" s="4" t="str">
        <f>IF(OR(Копия_20206[[#This Row],[Volume (in 1000 kg)]]&gt;$T$7,Копия_20206[[#This Row],[Volume (in 1000 kg)]]&lt;$T$6),"outlier","not outlier")</f>
        <v>outlier</v>
      </c>
      <c r="M1358" s="4" t="str">
        <f>IF(OR(Копия_20206[[#This Row],[Number of stores]]&gt;$U$7,Копия_20206[[#This Row],[Number of stores]]&lt;$U$6),"outlier","not outlier")</f>
        <v>not outlier</v>
      </c>
    </row>
    <row r="1359" spans="1:13" x14ac:dyDescent="0.25">
      <c r="A1359">
        <v>2022</v>
      </c>
      <c r="B1359">
        <v>4</v>
      </c>
      <c r="C1359" s="1" t="s">
        <v>25</v>
      </c>
      <c r="D1359" s="1" t="s">
        <v>14</v>
      </c>
      <c r="E1359" s="1" t="s">
        <v>10</v>
      </c>
      <c r="F1359" s="5">
        <v>1.0727</v>
      </c>
      <c r="G1359" s="5">
        <v>113.266212</v>
      </c>
      <c r="H1359" s="5">
        <v>0.21460000000000001</v>
      </c>
      <c r="I1359">
        <v>73</v>
      </c>
      <c r="J1359" s="4" t="str">
        <f>IF(OR(Копия_20206[[#This Row],[Units (in 1000)]]&gt;$R$7,Копия_20206[[#This Row],[Units (in 1000)]]&lt;$R$6),"outlier","not outlier")</f>
        <v>not outlier</v>
      </c>
      <c r="K1359" s="4" t="str">
        <f>IF(OR(Копия_20206[[#This Row],[Value (in 1000 rub)]]&gt;$S$7,Копия_20206[[#This Row],[Value (in 1000 rub)]]&lt;$S$6),"outlier","not outlier")</f>
        <v>not outlier</v>
      </c>
      <c r="L1359" s="4" t="str">
        <f>IF(OR(Копия_20206[[#This Row],[Volume (in 1000 kg)]]&gt;$T$7,Копия_20206[[#This Row],[Volume (in 1000 kg)]]&lt;$T$6),"outlier","not outlier")</f>
        <v>not outlier</v>
      </c>
      <c r="M1359" s="4" t="str">
        <f>IF(OR(Копия_20206[[#This Row],[Number of stores]]&gt;$U$7,Копия_20206[[#This Row],[Number of stores]]&lt;$U$6),"outlier","not outlier")</f>
        <v>not outlier</v>
      </c>
    </row>
    <row r="1360" spans="1:13" x14ac:dyDescent="0.25">
      <c r="A1360">
        <v>2022</v>
      </c>
      <c r="B1360">
        <v>4</v>
      </c>
      <c r="C1360" s="1" t="s">
        <v>25</v>
      </c>
      <c r="D1360" s="1" t="s">
        <v>14</v>
      </c>
      <c r="E1360" s="1" t="s">
        <v>12</v>
      </c>
      <c r="F1360" s="5">
        <v>17.859200000000001</v>
      </c>
      <c r="G1360" s="5">
        <v>3527.4231639999998</v>
      </c>
      <c r="H1360" s="5">
        <v>7.1436999999999999</v>
      </c>
      <c r="I1360">
        <v>2396</v>
      </c>
      <c r="J1360" s="4" t="str">
        <f>IF(OR(Копия_20206[[#This Row],[Units (in 1000)]]&gt;$R$7,Копия_20206[[#This Row],[Units (in 1000)]]&lt;$R$6),"outlier","not outlier")</f>
        <v>not outlier</v>
      </c>
      <c r="K1360" s="4" t="str">
        <f>IF(OR(Копия_20206[[#This Row],[Value (in 1000 rub)]]&gt;$S$7,Копия_20206[[#This Row],[Value (in 1000 rub)]]&lt;$S$6),"outlier","not outlier")</f>
        <v>outlier</v>
      </c>
      <c r="L1360" s="4" t="str">
        <f>IF(OR(Копия_20206[[#This Row],[Volume (in 1000 kg)]]&gt;$T$7,Копия_20206[[#This Row],[Volume (in 1000 kg)]]&lt;$T$6),"outlier","not outlier")</f>
        <v>not outlier</v>
      </c>
      <c r="M1360" s="4" t="str">
        <f>IF(OR(Копия_20206[[#This Row],[Number of stores]]&gt;$U$7,Копия_20206[[#This Row],[Number of stores]]&lt;$U$6),"outlier","not outlier")</f>
        <v>not outlier</v>
      </c>
    </row>
    <row r="1361" spans="1:13" x14ac:dyDescent="0.25">
      <c r="A1361">
        <v>2022</v>
      </c>
      <c r="B1361">
        <v>4</v>
      </c>
      <c r="C1361" s="1" t="s">
        <v>29</v>
      </c>
      <c r="D1361" s="1" t="s">
        <v>14</v>
      </c>
      <c r="E1361" s="1" t="s">
        <v>10</v>
      </c>
      <c r="F1361" s="5">
        <v>1.2804</v>
      </c>
      <c r="G1361" s="5">
        <v>166.170232</v>
      </c>
      <c r="H1361" s="5">
        <v>0.25609999999999999</v>
      </c>
      <c r="I1361">
        <v>230</v>
      </c>
      <c r="J1361" s="4" t="str">
        <f>IF(OR(Копия_20206[[#This Row],[Units (in 1000)]]&gt;$R$7,Копия_20206[[#This Row],[Units (in 1000)]]&lt;$R$6),"outlier","not outlier")</f>
        <v>not outlier</v>
      </c>
      <c r="K1361" s="4" t="str">
        <f>IF(OR(Копия_20206[[#This Row],[Value (in 1000 rub)]]&gt;$S$7,Копия_20206[[#This Row],[Value (in 1000 rub)]]&lt;$S$6),"outlier","not outlier")</f>
        <v>not outlier</v>
      </c>
      <c r="L1361" s="4" t="str">
        <f>IF(OR(Копия_20206[[#This Row],[Volume (in 1000 kg)]]&gt;$T$7,Копия_20206[[#This Row],[Volume (in 1000 kg)]]&lt;$T$6),"outlier","not outlier")</f>
        <v>not outlier</v>
      </c>
      <c r="M1361" s="4" t="str">
        <f>IF(OR(Копия_20206[[#This Row],[Number of stores]]&gt;$U$7,Копия_20206[[#This Row],[Number of stores]]&lt;$U$6),"outlier","not outlier")</f>
        <v>not outlier</v>
      </c>
    </row>
    <row r="1362" spans="1:13" x14ac:dyDescent="0.25">
      <c r="A1362">
        <v>2022</v>
      </c>
      <c r="B1362">
        <v>4</v>
      </c>
      <c r="C1362" s="1" t="s">
        <v>29</v>
      </c>
      <c r="D1362" s="1" t="s">
        <v>14</v>
      </c>
      <c r="E1362" s="1" t="s">
        <v>12</v>
      </c>
      <c r="F1362" s="5">
        <v>41.0715</v>
      </c>
      <c r="G1362" s="5">
        <v>8986.1269680000005</v>
      </c>
      <c r="H1362" s="5">
        <v>16.428599999999999</v>
      </c>
      <c r="I1362">
        <v>4466</v>
      </c>
      <c r="J1362" s="4" t="str">
        <f>IF(OR(Копия_20206[[#This Row],[Units (in 1000)]]&gt;$R$7,Копия_20206[[#This Row],[Units (in 1000)]]&lt;$R$6),"outlier","not outlier")</f>
        <v>outlier</v>
      </c>
      <c r="K1362" s="4" t="str">
        <f>IF(OR(Копия_20206[[#This Row],[Value (in 1000 rub)]]&gt;$S$7,Копия_20206[[#This Row],[Value (in 1000 rub)]]&lt;$S$6),"outlier","not outlier")</f>
        <v>outlier</v>
      </c>
      <c r="L1362" s="4" t="str">
        <f>IF(OR(Копия_20206[[#This Row],[Volume (in 1000 kg)]]&gt;$T$7,Копия_20206[[#This Row],[Volume (in 1000 kg)]]&lt;$T$6),"outlier","not outlier")</f>
        <v>outlier</v>
      </c>
      <c r="M1362" s="4" t="str">
        <f>IF(OR(Копия_20206[[#This Row],[Number of stores]]&gt;$U$7,Копия_20206[[#This Row],[Number of stores]]&lt;$U$6),"outlier","not outlier")</f>
        <v>outlier</v>
      </c>
    </row>
    <row r="1363" spans="1:13" x14ac:dyDescent="0.25">
      <c r="A1363">
        <v>2022</v>
      </c>
      <c r="B1363">
        <v>5</v>
      </c>
      <c r="C1363" s="1" t="s">
        <v>8</v>
      </c>
      <c r="D1363" s="1" t="s">
        <v>14</v>
      </c>
      <c r="E1363" s="1" t="s">
        <v>10</v>
      </c>
      <c r="F1363" s="5">
        <v>1.3643000000000001</v>
      </c>
      <c r="G1363" s="5">
        <v>146.524473</v>
      </c>
      <c r="H1363" s="5">
        <v>0.27289999999999998</v>
      </c>
      <c r="I1363">
        <v>89</v>
      </c>
      <c r="J1363" s="4" t="str">
        <f>IF(OR(Копия_20206[[#This Row],[Units (in 1000)]]&gt;$R$7,Копия_20206[[#This Row],[Units (in 1000)]]&lt;$R$6),"outlier","not outlier")</f>
        <v>not outlier</v>
      </c>
      <c r="K1363" s="4" t="str">
        <f>IF(OR(Копия_20206[[#This Row],[Value (in 1000 rub)]]&gt;$S$7,Копия_20206[[#This Row],[Value (in 1000 rub)]]&lt;$S$6),"outlier","not outlier")</f>
        <v>not outlier</v>
      </c>
      <c r="L1363" s="4" t="str">
        <f>IF(OR(Копия_20206[[#This Row],[Volume (in 1000 kg)]]&gt;$T$7,Копия_20206[[#This Row],[Volume (in 1000 kg)]]&lt;$T$6),"outlier","not outlier")</f>
        <v>not outlier</v>
      </c>
      <c r="M1363" s="4" t="str">
        <f>IF(OR(Копия_20206[[#This Row],[Number of stores]]&gt;$U$7,Копия_20206[[#This Row],[Number of stores]]&lt;$U$6),"outlier","not outlier")</f>
        <v>not outlier</v>
      </c>
    </row>
    <row r="1364" spans="1:13" x14ac:dyDescent="0.25">
      <c r="A1364">
        <v>2022</v>
      </c>
      <c r="B1364">
        <v>5</v>
      </c>
      <c r="C1364" s="1" t="s">
        <v>8</v>
      </c>
      <c r="D1364" s="1" t="s">
        <v>14</v>
      </c>
      <c r="E1364" s="1" t="s">
        <v>12</v>
      </c>
      <c r="F1364" s="5">
        <v>34.181800000000003</v>
      </c>
      <c r="G1364" s="5">
        <v>6829.4346759999999</v>
      </c>
      <c r="H1364" s="5">
        <v>13.672700000000001</v>
      </c>
      <c r="I1364">
        <v>649</v>
      </c>
      <c r="J1364" s="4" t="str">
        <f>IF(OR(Копия_20206[[#This Row],[Units (in 1000)]]&gt;$R$7,Копия_20206[[#This Row],[Units (in 1000)]]&lt;$R$6),"outlier","not outlier")</f>
        <v>outlier</v>
      </c>
      <c r="K1364" s="4" t="str">
        <f>IF(OR(Копия_20206[[#This Row],[Value (in 1000 rub)]]&gt;$S$7,Копия_20206[[#This Row],[Value (in 1000 rub)]]&lt;$S$6),"outlier","not outlier")</f>
        <v>outlier</v>
      </c>
      <c r="L1364" s="4" t="str">
        <f>IF(OR(Копия_20206[[#This Row],[Volume (in 1000 kg)]]&gt;$T$7,Копия_20206[[#This Row],[Volume (in 1000 kg)]]&lt;$T$6),"outlier","not outlier")</f>
        <v>outlier</v>
      </c>
      <c r="M1364" s="4" t="str">
        <f>IF(OR(Копия_20206[[#This Row],[Number of stores]]&gt;$U$7,Копия_20206[[#This Row],[Number of stores]]&lt;$U$6),"outlier","not outlier")</f>
        <v>not outlier</v>
      </c>
    </row>
    <row r="1365" spans="1:13" x14ac:dyDescent="0.25">
      <c r="A1365">
        <v>2022</v>
      </c>
      <c r="B1365">
        <v>5</v>
      </c>
      <c r="C1365" s="1" t="s">
        <v>25</v>
      </c>
      <c r="D1365" s="1" t="s">
        <v>14</v>
      </c>
      <c r="E1365" s="1" t="s">
        <v>10</v>
      </c>
      <c r="F1365" s="5">
        <v>0.5615</v>
      </c>
      <c r="G1365" s="5">
        <v>72.253720999999999</v>
      </c>
      <c r="H1365" s="5">
        <v>0.1123</v>
      </c>
      <c r="I1365">
        <v>72</v>
      </c>
      <c r="J1365" s="4" t="str">
        <f>IF(OR(Копия_20206[[#This Row],[Units (in 1000)]]&gt;$R$7,Копия_20206[[#This Row],[Units (in 1000)]]&lt;$R$6),"outlier","not outlier")</f>
        <v>not outlier</v>
      </c>
      <c r="K1365" s="4" t="str">
        <f>IF(OR(Копия_20206[[#This Row],[Value (in 1000 rub)]]&gt;$S$7,Копия_20206[[#This Row],[Value (in 1000 rub)]]&lt;$S$6),"outlier","not outlier")</f>
        <v>not outlier</v>
      </c>
      <c r="L1365" s="4" t="str">
        <f>IF(OR(Копия_20206[[#This Row],[Volume (in 1000 kg)]]&gt;$T$7,Копия_20206[[#This Row],[Volume (in 1000 kg)]]&lt;$T$6),"outlier","not outlier")</f>
        <v>not outlier</v>
      </c>
      <c r="M1365" s="4" t="str">
        <f>IF(OR(Копия_20206[[#This Row],[Number of stores]]&gt;$U$7,Копия_20206[[#This Row],[Number of stores]]&lt;$U$6),"outlier","not outlier")</f>
        <v>not outlier</v>
      </c>
    </row>
    <row r="1366" spans="1:13" x14ac:dyDescent="0.25">
      <c r="A1366">
        <v>2022</v>
      </c>
      <c r="B1366">
        <v>5</v>
      </c>
      <c r="C1366" s="1" t="s">
        <v>25</v>
      </c>
      <c r="D1366" s="1" t="s">
        <v>14</v>
      </c>
      <c r="E1366" s="1" t="s">
        <v>12</v>
      </c>
      <c r="F1366" s="5">
        <v>11.338699999999999</v>
      </c>
      <c r="G1366" s="5">
        <v>2381.7023290000002</v>
      </c>
      <c r="H1366" s="5">
        <v>4.5354999999999999</v>
      </c>
      <c r="I1366">
        <v>1918</v>
      </c>
      <c r="J1366" s="4" t="str">
        <f>IF(OR(Копия_20206[[#This Row],[Units (in 1000)]]&gt;$R$7,Копия_20206[[#This Row],[Units (in 1000)]]&lt;$R$6),"outlier","not outlier")</f>
        <v>not outlier</v>
      </c>
      <c r="K1366" s="4" t="str">
        <f>IF(OR(Копия_20206[[#This Row],[Value (in 1000 rub)]]&gt;$S$7,Копия_20206[[#This Row],[Value (in 1000 rub)]]&lt;$S$6),"outlier","not outlier")</f>
        <v>outlier</v>
      </c>
      <c r="L1366" s="4" t="str">
        <f>IF(OR(Копия_20206[[#This Row],[Volume (in 1000 kg)]]&gt;$T$7,Копия_20206[[#This Row],[Volume (in 1000 kg)]]&lt;$T$6),"outlier","not outlier")</f>
        <v>not outlier</v>
      </c>
      <c r="M1366" s="4" t="str">
        <f>IF(OR(Копия_20206[[#This Row],[Number of stores]]&gt;$U$7,Копия_20206[[#This Row],[Number of stores]]&lt;$U$6),"outlier","not outlier")</f>
        <v>not outlier</v>
      </c>
    </row>
    <row r="1367" spans="1:13" x14ac:dyDescent="0.25">
      <c r="A1367">
        <v>2022</v>
      </c>
      <c r="B1367">
        <v>5</v>
      </c>
      <c r="C1367" s="1" t="s">
        <v>29</v>
      </c>
      <c r="D1367" s="1" t="s">
        <v>14</v>
      </c>
      <c r="E1367" s="1" t="s">
        <v>10</v>
      </c>
      <c r="F1367" s="5">
        <v>1.2907999999999999</v>
      </c>
      <c r="G1367" s="5">
        <v>183.721912</v>
      </c>
      <c r="H1367" s="5">
        <v>0.25819999999999999</v>
      </c>
      <c r="I1367">
        <v>293</v>
      </c>
      <c r="J1367" s="4" t="str">
        <f>IF(OR(Копия_20206[[#This Row],[Units (in 1000)]]&gt;$R$7,Копия_20206[[#This Row],[Units (in 1000)]]&lt;$R$6),"outlier","not outlier")</f>
        <v>not outlier</v>
      </c>
      <c r="K1367" s="4" t="str">
        <f>IF(OR(Копия_20206[[#This Row],[Value (in 1000 rub)]]&gt;$S$7,Копия_20206[[#This Row],[Value (in 1000 rub)]]&lt;$S$6),"outlier","not outlier")</f>
        <v>not outlier</v>
      </c>
      <c r="L1367" s="4" t="str">
        <f>IF(OR(Копия_20206[[#This Row],[Volume (in 1000 kg)]]&gt;$T$7,Копия_20206[[#This Row],[Volume (in 1000 kg)]]&lt;$T$6),"outlier","not outlier")</f>
        <v>not outlier</v>
      </c>
      <c r="M1367" s="4" t="str">
        <f>IF(OR(Копия_20206[[#This Row],[Number of stores]]&gt;$U$7,Копия_20206[[#This Row],[Number of stores]]&lt;$U$6),"outlier","not outlier")</f>
        <v>not outlier</v>
      </c>
    </row>
    <row r="1368" spans="1:13" x14ac:dyDescent="0.25">
      <c r="A1368">
        <v>2022</v>
      </c>
      <c r="B1368">
        <v>5</v>
      </c>
      <c r="C1368" s="1" t="s">
        <v>29</v>
      </c>
      <c r="D1368" s="1" t="s">
        <v>14</v>
      </c>
      <c r="E1368" s="1" t="s">
        <v>12</v>
      </c>
      <c r="F1368" s="5">
        <v>30.697199999999999</v>
      </c>
      <c r="G1368" s="5">
        <v>6818.8296170000003</v>
      </c>
      <c r="H1368" s="5">
        <v>12.2789</v>
      </c>
      <c r="I1368">
        <v>4051</v>
      </c>
      <c r="J1368" s="4" t="str">
        <f>IF(OR(Копия_20206[[#This Row],[Units (in 1000)]]&gt;$R$7,Копия_20206[[#This Row],[Units (in 1000)]]&lt;$R$6),"outlier","not outlier")</f>
        <v>outlier</v>
      </c>
      <c r="K1368" s="4" t="str">
        <f>IF(OR(Копия_20206[[#This Row],[Value (in 1000 rub)]]&gt;$S$7,Копия_20206[[#This Row],[Value (in 1000 rub)]]&lt;$S$6),"outlier","not outlier")</f>
        <v>outlier</v>
      </c>
      <c r="L1368" s="4" t="str">
        <f>IF(OR(Копия_20206[[#This Row],[Volume (in 1000 kg)]]&gt;$T$7,Копия_20206[[#This Row],[Volume (in 1000 kg)]]&lt;$T$6),"outlier","not outlier")</f>
        <v>outlier</v>
      </c>
      <c r="M1368" s="4" t="str">
        <f>IF(OR(Копия_20206[[#This Row],[Number of stores]]&gt;$U$7,Копия_20206[[#This Row],[Number of stores]]&lt;$U$6),"outlier","not outlier")</f>
        <v>outlier</v>
      </c>
    </row>
    <row r="1369" spans="1:13" x14ac:dyDescent="0.25">
      <c r="A1369">
        <v>2022</v>
      </c>
      <c r="B1369">
        <v>6</v>
      </c>
      <c r="C1369" s="1" t="s">
        <v>8</v>
      </c>
      <c r="D1369" s="1" t="s">
        <v>14</v>
      </c>
      <c r="E1369" s="1" t="s">
        <v>10</v>
      </c>
      <c r="F1369" s="5">
        <v>1.1254999999999999</v>
      </c>
      <c r="G1369" s="5">
        <v>121.08747700000001</v>
      </c>
      <c r="H1369" s="5">
        <v>0.22509999999999999</v>
      </c>
      <c r="I1369">
        <v>85</v>
      </c>
      <c r="J1369" s="4" t="str">
        <f>IF(OR(Копия_20206[[#This Row],[Units (in 1000)]]&gt;$R$7,Копия_20206[[#This Row],[Units (in 1000)]]&lt;$R$6),"outlier","not outlier")</f>
        <v>not outlier</v>
      </c>
      <c r="K1369" s="4" t="str">
        <f>IF(OR(Копия_20206[[#This Row],[Value (in 1000 rub)]]&gt;$S$7,Копия_20206[[#This Row],[Value (in 1000 rub)]]&lt;$S$6),"outlier","not outlier")</f>
        <v>not outlier</v>
      </c>
      <c r="L1369" s="4" t="str">
        <f>IF(OR(Копия_20206[[#This Row],[Volume (in 1000 kg)]]&gt;$T$7,Копия_20206[[#This Row],[Volume (in 1000 kg)]]&lt;$T$6),"outlier","not outlier")</f>
        <v>not outlier</v>
      </c>
      <c r="M1369" s="4" t="str">
        <f>IF(OR(Копия_20206[[#This Row],[Number of stores]]&gt;$U$7,Копия_20206[[#This Row],[Number of stores]]&lt;$U$6),"outlier","not outlier")</f>
        <v>not outlier</v>
      </c>
    </row>
    <row r="1370" spans="1:13" x14ac:dyDescent="0.25">
      <c r="A1370">
        <v>2022</v>
      </c>
      <c r="B1370">
        <v>6</v>
      </c>
      <c r="C1370" s="1" t="s">
        <v>8</v>
      </c>
      <c r="D1370" s="1" t="s">
        <v>14</v>
      </c>
      <c r="E1370" s="1" t="s">
        <v>12</v>
      </c>
      <c r="F1370" s="5">
        <v>27.228400000000001</v>
      </c>
      <c r="G1370" s="5">
        <v>5610.0487949999997</v>
      </c>
      <c r="H1370" s="5">
        <v>10.891400000000001</v>
      </c>
      <c r="I1370">
        <v>636</v>
      </c>
      <c r="J1370" s="4" t="str">
        <f>IF(OR(Копия_20206[[#This Row],[Units (in 1000)]]&gt;$R$7,Копия_20206[[#This Row],[Units (in 1000)]]&lt;$R$6),"outlier","not outlier")</f>
        <v>outlier</v>
      </c>
      <c r="K1370" s="4" t="str">
        <f>IF(OR(Копия_20206[[#This Row],[Value (in 1000 rub)]]&gt;$S$7,Копия_20206[[#This Row],[Value (in 1000 rub)]]&lt;$S$6),"outlier","not outlier")</f>
        <v>outlier</v>
      </c>
      <c r="L1370" s="4" t="str">
        <f>IF(OR(Копия_20206[[#This Row],[Volume (in 1000 kg)]]&gt;$T$7,Копия_20206[[#This Row],[Volume (in 1000 kg)]]&lt;$T$6),"outlier","not outlier")</f>
        <v>outlier</v>
      </c>
      <c r="M1370" s="4" t="str">
        <f>IF(OR(Копия_20206[[#This Row],[Number of stores]]&gt;$U$7,Копия_20206[[#This Row],[Number of stores]]&lt;$U$6),"outlier","not outlier")</f>
        <v>not outlier</v>
      </c>
    </row>
    <row r="1371" spans="1:13" x14ac:dyDescent="0.25">
      <c r="A1371">
        <v>2022</v>
      </c>
      <c r="B1371">
        <v>6</v>
      </c>
      <c r="C1371" s="1" t="s">
        <v>25</v>
      </c>
      <c r="D1371" s="1" t="s">
        <v>14</v>
      </c>
      <c r="E1371" s="1" t="s">
        <v>10</v>
      </c>
      <c r="F1371" s="5">
        <v>0.41360000000000002</v>
      </c>
      <c r="G1371" s="5">
        <v>55.049286000000002</v>
      </c>
      <c r="H1371" s="5">
        <v>8.2699999999999996E-2</v>
      </c>
      <c r="I1371">
        <v>79</v>
      </c>
      <c r="J1371" s="4" t="str">
        <f>IF(OR(Копия_20206[[#This Row],[Units (in 1000)]]&gt;$R$7,Копия_20206[[#This Row],[Units (in 1000)]]&lt;$R$6),"outlier","not outlier")</f>
        <v>not outlier</v>
      </c>
      <c r="K1371" s="4" t="str">
        <f>IF(OR(Копия_20206[[#This Row],[Value (in 1000 rub)]]&gt;$S$7,Копия_20206[[#This Row],[Value (in 1000 rub)]]&lt;$S$6),"outlier","not outlier")</f>
        <v>not outlier</v>
      </c>
      <c r="L1371" s="4" t="str">
        <f>IF(OR(Копия_20206[[#This Row],[Volume (in 1000 kg)]]&gt;$T$7,Копия_20206[[#This Row],[Volume (in 1000 kg)]]&lt;$T$6),"outlier","not outlier")</f>
        <v>not outlier</v>
      </c>
      <c r="M1371" s="4" t="str">
        <f>IF(OR(Копия_20206[[#This Row],[Number of stores]]&gt;$U$7,Копия_20206[[#This Row],[Number of stores]]&lt;$U$6),"outlier","not outlier")</f>
        <v>not outlier</v>
      </c>
    </row>
    <row r="1372" spans="1:13" x14ac:dyDescent="0.25">
      <c r="A1372">
        <v>2022</v>
      </c>
      <c r="B1372">
        <v>6</v>
      </c>
      <c r="C1372" s="1" t="s">
        <v>25</v>
      </c>
      <c r="D1372" s="1" t="s">
        <v>14</v>
      </c>
      <c r="E1372" s="1" t="s">
        <v>12</v>
      </c>
      <c r="F1372" s="5">
        <v>10.0684</v>
      </c>
      <c r="G1372" s="5">
        <v>1936.7996920000001</v>
      </c>
      <c r="H1372" s="5">
        <v>4.0274000000000001</v>
      </c>
      <c r="I1372">
        <v>1724</v>
      </c>
      <c r="J1372" s="4" t="str">
        <f>IF(OR(Копия_20206[[#This Row],[Units (in 1000)]]&gt;$R$7,Копия_20206[[#This Row],[Units (in 1000)]]&lt;$R$6),"outlier","not outlier")</f>
        <v>not outlier</v>
      </c>
      <c r="K1372" s="4" t="str">
        <f>IF(OR(Копия_20206[[#This Row],[Value (in 1000 rub)]]&gt;$S$7,Копия_20206[[#This Row],[Value (in 1000 rub)]]&lt;$S$6),"outlier","not outlier")</f>
        <v>not outlier</v>
      </c>
      <c r="L1372" s="4" t="str">
        <f>IF(OR(Копия_20206[[#This Row],[Volume (in 1000 kg)]]&gt;$T$7,Копия_20206[[#This Row],[Volume (in 1000 kg)]]&lt;$T$6),"outlier","not outlier")</f>
        <v>not outlier</v>
      </c>
      <c r="M1372" s="4" t="str">
        <f>IF(OR(Копия_20206[[#This Row],[Number of stores]]&gt;$U$7,Копия_20206[[#This Row],[Number of stores]]&lt;$U$6),"outlier","not outlier")</f>
        <v>not outlier</v>
      </c>
    </row>
    <row r="1373" spans="1:13" x14ac:dyDescent="0.25">
      <c r="A1373">
        <v>2022</v>
      </c>
      <c r="B1373">
        <v>6</v>
      </c>
      <c r="C1373" s="1" t="s">
        <v>29</v>
      </c>
      <c r="D1373" s="1" t="s">
        <v>14</v>
      </c>
      <c r="E1373" s="1" t="s">
        <v>10</v>
      </c>
      <c r="F1373" s="5">
        <v>1.5531999999999999</v>
      </c>
      <c r="G1373" s="5">
        <v>186.21826899999999</v>
      </c>
      <c r="H1373" s="5">
        <v>0.31059999999999999</v>
      </c>
      <c r="I1373">
        <v>276</v>
      </c>
      <c r="J1373" s="4" t="str">
        <f>IF(OR(Копия_20206[[#This Row],[Units (in 1000)]]&gt;$R$7,Копия_20206[[#This Row],[Units (in 1000)]]&lt;$R$6),"outlier","not outlier")</f>
        <v>not outlier</v>
      </c>
      <c r="K1373" s="4" t="str">
        <f>IF(OR(Копия_20206[[#This Row],[Value (in 1000 rub)]]&gt;$S$7,Копия_20206[[#This Row],[Value (in 1000 rub)]]&lt;$S$6),"outlier","not outlier")</f>
        <v>not outlier</v>
      </c>
      <c r="L1373" s="4" t="str">
        <f>IF(OR(Копия_20206[[#This Row],[Volume (in 1000 kg)]]&gt;$T$7,Копия_20206[[#This Row],[Volume (in 1000 kg)]]&lt;$T$6),"outlier","not outlier")</f>
        <v>not outlier</v>
      </c>
      <c r="M1373" s="4" t="str">
        <f>IF(OR(Копия_20206[[#This Row],[Number of stores]]&gt;$U$7,Копия_20206[[#This Row],[Number of stores]]&lt;$U$6),"outlier","not outlier")</f>
        <v>not outlier</v>
      </c>
    </row>
    <row r="1374" spans="1:13" x14ac:dyDescent="0.25">
      <c r="A1374">
        <v>2022</v>
      </c>
      <c r="B1374">
        <v>6</v>
      </c>
      <c r="C1374" s="1" t="s">
        <v>29</v>
      </c>
      <c r="D1374" s="1" t="s">
        <v>14</v>
      </c>
      <c r="E1374" s="1" t="s">
        <v>12</v>
      </c>
      <c r="F1374" s="5">
        <v>29.5306</v>
      </c>
      <c r="G1374" s="5">
        <v>6132.8843349999997</v>
      </c>
      <c r="H1374" s="5">
        <v>11.812200000000001</v>
      </c>
      <c r="I1374">
        <v>4155</v>
      </c>
      <c r="J1374" s="4" t="str">
        <f>IF(OR(Копия_20206[[#This Row],[Units (in 1000)]]&gt;$R$7,Копия_20206[[#This Row],[Units (in 1000)]]&lt;$R$6),"outlier","not outlier")</f>
        <v>outlier</v>
      </c>
      <c r="K1374" s="4" t="str">
        <f>IF(OR(Копия_20206[[#This Row],[Value (in 1000 rub)]]&gt;$S$7,Копия_20206[[#This Row],[Value (in 1000 rub)]]&lt;$S$6),"outlier","not outlier")</f>
        <v>outlier</v>
      </c>
      <c r="L1374" s="4" t="str">
        <f>IF(OR(Копия_20206[[#This Row],[Volume (in 1000 kg)]]&gt;$T$7,Копия_20206[[#This Row],[Volume (in 1000 kg)]]&lt;$T$6),"outlier","not outlier")</f>
        <v>outlier</v>
      </c>
      <c r="M1374" s="4" t="str">
        <f>IF(OR(Копия_20206[[#This Row],[Number of stores]]&gt;$U$7,Копия_20206[[#This Row],[Number of stores]]&lt;$U$6),"outlier","not outlier")</f>
        <v>outlier</v>
      </c>
    </row>
    <row r="1375" spans="1:13" x14ac:dyDescent="0.25">
      <c r="A1375">
        <v>2022</v>
      </c>
      <c r="B1375">
        <v>7</v>
      </c>
      <c r="C1375" s="1" t="s">
        <v>8</v>
      </c>
      <c r="D1375" s="1" t="s">
        <v>14</v>
      </c>
      <c r="E1375" s="1" t="s">
        <v>10</v>
      </c>
      <c r="F1375" s="5">
        <v>1.2669999999999999</v>
      </c>
      <c r="G1375" s="5">
        <v>121.73906700000001</v>
      </c>
      <c r="H1375" s="5">
        <v>0.25340000000000001</v>
      </c>
      <c r="I1375">
        <v>81</v>
      </c>
      <c r="J1375" s="4" t="str">
        <f>IF(OR(Копия_20206[[#This Row],[Units (in 1000)]]&gt;$R$7,Копия_20206[[#This Row],[Units (in 1000)]]&lt;$R$6),"outlier","not outlier")</f>
        <v>not outlier</v>
      </c>
      <c r="K1375" s="4" t="str">
        <f>IF(OR(Копия_20206[[#This Row],[Value (in 1000 rub)]]&gt;$S$7,Копия_20206[[#This Row],[Value (in 1000 rub)]]&lt;$S$6),"outlier","not outlier")</f>
        <v>not outlier</v>
      </c>
      <c r="L1375" s="4" t="str">
        <f>IF(OR(Копия_20206[[#This Row],[Volume (in 1000 kg)]]&gt;$T$7,Копия_20206[[#This Row],[Volume (in 1000 kg)]]&lt;$T$6),"outlier","not outlier")</f>
        <v>not outlier</v>
      </c>
      <c r="M1375" s="4" t="str">
        <f>IF(OR(Копия_20206[[#This Row],[Number of stores]]&gt;$U$7,Копия_20206[[#This Row],[Number of stores]]&lt;$U$6),"outlier","not outlier")</f>
        <v>not outlier</v>
      </c>
    </row>
    <row r="1376" spans="1:13" x14ac:dyDescent="0.25">
      <c r="A1376">
        <v>2022</v>
      </c>
      <c r="B1376">
        <v>7</v>
      </c>
      <c r="C1376" s="1" t="s">
        <v>8</v>
      </c>
      <c r="D1376" s="1" t="s">
        <v>14</v>
      </c>
      <c r="E1376" s="1" t="s">
        <v>12</v>
      </c>
      <c r="F1376" s="5">
        <v>40.531799999999997</v>
      </c>
      <c r="G1376" s="5">
        <v>7236.9815360000002</v>
      </c>
      <c r="H1376" s="5">
        <v>16.212700000000002</v>
      </c>
      <c r="I1376">
        <v>627</v>
      </c>
      <c r="J1376" s="4" t="str">
        <f>IF(OR(Копия_20206[[#This Row],[Units (in 1000)]]&gt;$R$7,Копия_20206[[#This Row],[Units (in 1000)]]&lt;$R$6),"outlier","not outlier")</f>
        <v>outlier</v>
      </c>
      <c r="K1376" s="4" t="str">
        <f>IF(OR(Копия_20206[[#This Row],[Value (in 1000 rub)]]&gt;$S$7,Копия_20206[[#This Row],[Value (in 1000 rub)]]&lt;$S$6),"outlier","not outlier")</f>
        <v>outlier</v>
      </c>
      <c r="L1376" s="4" t="str">
        <f>IF(OR(Копия_20206[[#This Row],[Volume (in 1000 kg)]]&gt;$T$7,Копия_20206[[#This Row],[Volume (in 1000 kg)]]&lt;$T$6),"outlier","not outlier")</f>
        <v>outlier</v>
      </c>
      <c r="M1376" s="4" t="str">
        <f>IF(OR(Копия_20206[[#This Row],[Number of stores]]&gt;$U$7,Копия_20206[[#This Row],[Number of stores]]&lt;$U$6),"outlier","not outlier")</f>
        <v>not outlier</v>
      </c>
    </row>
    <row r="1377" spans="1:13" x14ac:dyDescent="0.25">
      <c r="A1377">
        <v>2022</v>
      </c>
      <c r="B1377">
        <v>7</v>
      </c>
      <c r="C1377" s="1" t="s">
        <v>25</v>
      </c>
      <c r="D1377" s="1" t="s">
        <v>14</v>
      </c>
      <c r="E1377" s="1" t="s">
        <v>10</v>
      </c>
      <c r="F1377" s="5">
        <v>0.48599999999999999</v>
      </c>
      <c r="G1377" s="5">
        <v>65.735039</v>
      </c>
      <c r="H1377" s="5">
        <v>9.7199999999999995E-2</v>
      </c>
      <c r="I1377">
        <v>83</v>
      </c>
      <c r="J1377" s="4" t="str">
        <f>IF(OR(Копия_20206[[#This Row],[Units (in 1000)]]&gt;$R$7,Копия_20206[[#This Row],[Units (in 1000)]]&lt;$R$6),"outlier","not outlier")</f>
        <v>not outlier</v>
      </c>
      <c r="K1377" s="4" t="str">
        <f>IF(OR(Копия_20206[[#This Row],[Value (in 1000 rub)]]&gt;$S$7,Копия_20206[[#This Row],[Value (in 1000 rub)]]&lt;$S$6),"outlier","not outlier")</f>
        <v>not outlier</v>
      </c>
      <c r="L1377" s="4" t="str">
        <f>IF(OR(Копия_20206[[#This Row],[Volume (in 1000 kg)]]&gt;$T$7,Копия_20206[[#This Row],[Volume (in 1000 kg)]]&lt;$T$6),"outlier","not outlier")</f>
        <v>not outlier</v>
      </c>
      <c r="M1377" s="4" t="str">
        <f>IF(OR(Копия_20206[[#This Row],[Number of stores]]&gt;$U$7,Копия_20206[[#This Row],[Number of stores]]&lt;$U$6),"outlier","not outlier")</f>
        <v>not outlier</v>
      </c>
    </row>
    <row r="1378" spans="1:13" x14ac:dyDescent="0.25">
      <c r="A1378">
        <v>2022</v>
      </c>
      <c r="B1378">
        <v>7</v>
      </c>
      <c r="C1378" s="1" t="s">
        <v>25</v>
      </c>
      <c r="D1378" s="1" t="s">
        <v>14</v>
      </c>
      <c r="E1378" s="1" t="s">
        <v>12</v>
      </c>
      <c r="F1378" s="5">
        <v>10.2943</v>
      </c>
      <c r="G1378" s="5">
        <v>1980.9562169999999</v>
      </c>
      <c r="H1378" s="5">
        <v>4.1177000000000001</v>
      </c>
      <c r="I1378">
        <v>1693</v>
      </c>
      <c r="J1378" s="4" t="str">
        <f>IF(OR(Копия_20206[[#This Row],[Units (in 1000)]]&gt;$R$7,Копия_20206[[#This Row],[Units (in 1000)]]&lt;$R$6),"outlier","not outlier")</f>
        <v>not outlier</v>
      </c>
      <c r="K1378" s="4" t="str">
        <f>IF(OR(Копия_20206[[#This Row],[Value (in 1000 rub)]]&gt;$S$7,Копия_20206[[#This Row],[Value (in 1000 rub)]]&lt;$S$6),"outlier","not outlier")</f>
        <v>not outlier</v>
      </c>
      <c r="L1378" s="4" t="str">
        <f>IF(OR(Копия_20206[[#This Row],[Volume (in 1000 kg)]]&gt;$T$7,Копия_20206[[#This Row],[Volume (in 1000 kg)]]&lt;$T$6),"outlier","not outlier")</f>
        <v>not outlier</v>
      </c>
      <c r="M1378" s="4" t="str">
        <f>IF(OR(Копия_20206[[#This Row],[Number of stores]]&gt;$U$7,Копия_20206[[#This Row],[Number of stores]]&lt;$U$6),"outlier","not outlier")</f>
        <v>not outlier</v>
      </c>
    </row>
    <row r="1379" spans="1:13" x14ac:dyDescent="0.25">
      <c r="A1379">
        <v>2022</v>
      </c>
      <c r="B1379">
        <v>7</v>
      </c>
      <c r="C1379" s="1" t="s">
        <v>29</v>
      </c>
      <c r="D1379" s="1" t="s">
        <v>14</v>
      </c>
      <c r="E1379" s="1" t="s">
        <v>10</v>
      </c>
      <c r="F1379" s="5">
        <v>1.0061</v>
      </c>
      <c r="G1379" s="5">
        <v>141.81813500000001</v>
      </c>
      <c r="H1379" s="5">
        <v>0.20119999999999999</v>
      </c>
      <c r="I1379">
        <v>224</v>
      </c>
      <c r="J1379" s="4" t="str">
        <f>IF(OR(Копия_20206[[#This Row],[Units (in 1000)]]&gt;$R$7,Копия_20206[[#This Row],[Units (in 1000)]]&lt;$R$6),"outlier","not outlier")</f>
        <v>not outlier</v>
      </c>
      <c r="K1379" s="4" t="str">
        <f>IF(OR(Копия_20206[[#This Row],[Value (in 1000 rub)]]&gt;$S$7,Копия_20206[[#This Row],[Value (in 1000 rub)]]&lt;$S$6),"outlier","not outlier")</f>
        <v>not outlier</v>
      </c>
      <c r="L1379" s="4" t="str">
        <f>IF(OR(Копия_20206[[#This Row],[Volume (in 1000 kg)]]&gt;$T$7,Копия_20206[[#This Row],[Volume (in 1000 kg)]]&lt;$T$6),"outlier","not outlier")</f>
        <v>not outlier</v>
      </c>
      <c r="M1379" s="4" t="str">
        <f>IF(OR(Копия_20206[[#This Row],[Number of stores]]&gt;$U$7,Копия_20206[[#This Row],[Number of stores]]&lt;$U$6),"outlier","not outlier")</f>
        <v>not outlier</v>
      </c>
    </row>
    <row r="1380" spans="1:13" x14ac:dyDescent="0.25">
      <c r="A1380">
        <v>2022</v>
      </c>
      <c r="B1380">
        <v>7</v>
      </c>
      <c r="C1380" s="1" t="s">
        <v>29</v>
      </c>
      <c r="D1380" s="1" t="s">
        <v>14</v>
      </c>
      <c r="E1380" s="1" t="s">
        <v>12</v>
      </c>
      <c r="F1380" s="5">
        <v>40.710799999999999</v>
      </c>
      <c r="G1380" s="5">
        <v>7831.7069760000004</v>
      </c>
      <c r="H1380" s="5">
        <v>16.284300000000002</v>
      </c>
      <c r="I1380">
        <v>3981</v>
      </c>
      <c r="J1380" s="4" t="str">
        <f>IF(OR(Копия_20206[[#This Row],[Units (in 1000)]]&gt;$R$7,Копия_20206[[#This Row],[Units (in 1000)]]&lt;$R$6),"outlier","not outlier")</f>
        <v>outlier</v>
      </c>
      <c r="K1380" s="4" t="str">
        <f>IF(OR(Копия_20206[[#This Row],[Value (in 1000 rub)]]&gt;$S$7,Копия_20206[[#This Row],[Value (in 1000 rub)]]&lt;$S$6),"outlier","not outlier")</f>
        <v>outlier</v>
      </c>
      <c r="L1380" s="4" t="str">
        <f>IF(OR(Копия_20206[[#This Row],[Volume (in 1000 kg)]]&gt;$T$7,Копия_20206[[#This Row],[Volume (in 1000 kg)]]&lt;$T$6),"outlier","not outlier")</f>
        <v>outlier</v>
      </c>
      <c r="M1380" s="4" t="str">
        <f>IF(OR(Копия_20206[[#This Row],[Number of stores]]&gt;$U$7,Копия_20206[[#This Row],[Number of stores]]&lt;$U$6),"outlier","not outlier")</f>
        <v>outlier</v>
      </c>
    </row>
    <row r="1381" spans="1:13" x14ac:dyDescent="0.25">
      <c r="A1381">
        <v>2022</v>
      </c>
      <c r="B1381">
        <v>8</v>
      </c>
      <c r="C1381" s="1" t="s">
        <v>8</v>
      </c>
      <c r="D1381" s="1" t="s">
        <v>14</v>
      </c>
      <c r="E1381" s="1" t="s">
        <v>10</v>
      </c>
      <c r="F1381" s="5">
        <v>0.46550000000000002</v>
      </c>
      <c r="G1381" s="5">
        <v>39.605674999999998</v>
      </c>
      <c r="H1381" s="5">
        <v>9.3200000000000005E-2</v>
      </c>
      <c r="I1381">
        <v>65</v>
      </c>
      <c r="J1381" s="4" t="str">
        <f>IF(OR(Копия_20206[[#This Row],[Units (in 1000)]]&gt;$R$7,Копия_20206[[#This Row],[Units (in 1000)]]&lt;$R$6),"outlier","not outlier")</f>
        <v>not outlier</v>
      </c>
      <c r="K1381" s="4" t="str">
        <f>IF(OR(Копия_20206[[#This Row],[Value (in 1000 rub)]]&gt;$S$7,Копия_20206[[#This Row],[Value (in 1000 rub)]]&lt;$S$6),"outlier","not outlier")</f>
        <v>not outlier</v>
      </c>
      <c r="L1381" s="4" t="str">
        <f>IF(OR(Копия_20206[[#This Row],[Volume (in 1000 kg)]]&gt;$T$7,Копия_20206[[#This Row],[Volume (in 1000 kg)]]&lt;$T$6),"outlier","not outlier")</f>
        <v>not outlier</v>
      </c>
      <c r="M1381" s="4" t="str">
        <f>IF(OR(Копия_20206[[#This Row],[Number of stores]]&gt;$U$7,Копия_20206[[#This Row],[Number of stores]]&lt;$U$6),"outlier","not outlier")</f>
        <v>not outlier</v>
      </c>
    </row>
    <row r="1382" spans="1:13" x14ac:dyDescent="0.25">
      <c r="A1382">
        <v>2022</v>
      </c>
      <c r="B1382">
        <v>8</v>
      </c>
      <c r="C1382" s="1" t="s">
        <v>8</v>
      </c>
      <c r="D1382" s="1" t="s">
        <v>14</v>
      </c>
      <c r="E1382" s="1" t="s">
        <v>12</v>
      </c>
      <c r="F1382" s="5">
        <v>28.076799999999999</v>
      </c>
      <c r="G1382" s="5">
        <v>5767.1397370000004</v>
      </c>
      <c r="H1382" s="5">
        <v>11.2308</v>
      </c>
      <c r="I1382">
        <v>620</v>
      </c>
      <c r="J1382" s="4" t="str">
        <f>IF(OR(Копия_20206[[#This Row],[Units (in 1000)]]&gt;$R$7,Копия_20206[[#This Row],[Units (in 1000)]]&lt;$R$6),"outlier","not outlier")</f>
        <v>outlier</v>
      </c>
      <c r="K1382" s="4" t="str">
        <f>IF(OR(Копия_20206[[#This Row],[Value (in 1000 rub)]]&gt;$S$7,Копия_20206[[#This Row],[Value (in 1000 rub)]]&lt;$S$6),"outlier","not outlier")</f>
        <v>outlier</v>
      </c>
      <c r="L1382" s="4" t="str">
        <f>IF(OR(Копия_20206[[#This Row],[Volume (in 1000 kg)]]&gt;$T$7,Копия_20206[[#This Row],[Volume (in 1000 kg)]]&lt;$T$6),"outlier","not outlier")</f>
        <v>outlier</v>
      </c>
      <c r="M1382" s="4" t="str">
        <f>IF(OR(Копия_20206[[#This Row],[Number of stores]]&gt;$U$7,Копия_20206[[#This Row],[Number of stores]]&lt;$U$6),"outlier","not outlier")</f>
        <v>not outlier</v>
      </c>
    </row>
    <row r="1383" spans="1:13" x14ac:dyDescent="0.25">
      <c r="A1383">
        <v>2022</v>
      </c>
      <c r="B1383">
        <v>8</v>
      </c>
      <c r="C1383" s="1" t="s">
        <v>25</v>
      </c>
      <c r="D1383" s="1" t="s">
        <v>14</v>
      </c>
      <c r="E1383" s="1" t="s">
        <v>10</v>
      </c>
      <c r="F1383" s="5">
        <v>0.64800000000000002</v>
      </c>
      <c r="G1383" s="5">
        <v>79.544736999999998</v>
      </c>
      <c r="H1383" s="5">
        <v>0.12959999999999999</v>
      </c>
      <c r="I1383">
        <v>163</v>
      </c>
      <c r="J1383" s="4" t="str">
        <f>IF(OR(Копия_20206[[#This Row],[Units (in 1000)]]&gt;$R$7,Копия_20206[[#This Row],[Units (in 1000)]]&lt;$R$6),"outlier","not outlier")</f>
        <v>not outlier</v>
      </c>
      <c r="K1383" s="4" t="str">
        <f>IF(OR(Копия_20206[[#This Row],[Value (in 1000 rub)]]&gt;$S$7,Копия_20206[[#This Row],[Value (in 1000 rub)]]&lt;$S$6),"outlier","not outlier")</f>
        <v>not outlier</v>
      </c>
      <c r="L1383" s="4" t="str">
        <f>IF(OR(Копия_20206[[#This Row],[Volume (in 1000 kg)]]&gt;$T$7,Копия_20206[[#This Row],[Volume (in 1000 kg)]]&lt;$T$6),"outlier","not outlier")</f>
        <v>not outlier</v>
      </c>
      <c r="M1383" s="4" t="str">
        <f>IF(OR(Копия_20206[[#This Row],[Number of stores]]&gt;$U$7,Копия_20206[[#This Row],[Number of stores]]&lt;$U$6),"outlier","not outlier")</f>
        <v>not outlier</v>
      </c>
    </row>
    <row r="1384" spans="1:13" x14ac:dyDescent="0.25">
      <c r="A1384">
        <v>2022</v>
      </c>
      <c r="B1384">
        <v>8</v>
      </c>
      <c r="C1384" s="1" t="s">
        <v>25</v>
      </c>
      <c r="D1384" s="1" t="s">
        <v>14</v>
      </c>
      <c r="E1384" s="1" t="s">
        <v>12</v>
      </c>
      <c r="F1384" s="5">
        <v>9.7257999999999996</v>
      </c>
      <c r="G1384" s="5">
        <v>1693.249683</v>
      </c>
      <c r="H1384" s="5">
        <v>3.8904000000000001</v>
      </c>
      <c r="I1384">
        <v>1743</v>
      </c>
      <c r="J1384" s="4" t="str">
        <f>IF(OR(Копия_20206[[#This Row],[Units (in 1000)]]&gt;$R$7,Копия_20206[[#This Row],[Units (in 1000)]]&lt;$R$6),"outlier","not outlier")</f>
        <v>not outlier</v>
      </c>
      <c r="K1384" s="4" t="str">
        <f>IF(OR(Копия_20206[[#This Row],[Value (in 1000 rub)]]&gt;$S$7,Копия_20206[[#This Row],[Value (in 1000 rub)]]&lt;$S$6),"outlier","not outlier")</f>
        <v>not outlier</v>
      </c>
      <c r="L1384" s="4" t="str">
        <f>IF(OR(Копия_20206[[#This Row],[Volume (in 1000 kg)]]&gt;$T$7,Копия_20206[[#This Row],[Volume (in 1000 kg)]]&lt;$T$6),"outlier","not outlier")</f>
        <v>not outlier</v>
      </c>
      <c r="M1384" s="4" t="str">
        <f>IF(OR(Копия_20206[[#This Row],[Number of stores]]&gt;$U$7,Копия_20206[[#This Row],[Number of stores]]&lt;$U$6),"outlier","not outlier")</f>
        <v>not outlier</v>
      </c>
    </row>
    <row r="1385" spans="1:13" x14ac:dyDescent="0.25">
      <c r="A1385">
        <v>2022</v>
      </c>
      <c r="B1385">
        <v>8</v>
      </c>
      <c r="C1385" s="1" t="s">
        <v>29</v>
      </c>
      <c r="D1385" s="1" t="s">
        <v>14</v>
      </c>
      <c r="E1385" s="1" t="s">
        <v>10</v>
      </c>
      <c r="F1385" s="5">
        <v>1.6218999999999999</v>
      </c>
      <c r="G1385" s="5">
        <v>225.96517600000001</v>
      </c>
      <c r="H1385" s="5">
        <v>0.32440000000000002</v>
      </c>
      <c r="I1385">
        <v>262</v>
      </c>
      <c r="J1385" s="4" t="str">
        <f>IF(OR(Копия_20206[[#This Row],[Units (in 1000)]]&gt;$R$7,Копия_20206[[#This Row],[Units (in 1000)]]&lt;$R$6),"outlier","not outlier")</f>
        <v>not outlier</v>
      </c>
      <c r="K1385" s="4" t="str">
        <f>IF(OR(Копия_20206[[#This Row],[Value (in 1000 rub)]]&gt;$S$7,Копия_20206[[#This Row],[Value (in 1000 rub)]]&lt;$S$6),"outlier","not outlier")</f>
        <v>not outlier</v>
      </c>
      <c r="L1385" s="4" t="str">
        <f>IF(OR(Копия_20206[[#This Row],[Volume (in 1000 kg)]]&gt;$T$7,Копия_20206[[#This Row],[Volume (in 1000 kg)]]&lt;$T$6),"outlier","not outlier")</f>
        <v>not outlier</v>
      </c>
      <c r="M1385" s="4" t="str">
        <f>IF(OR(Копия_20206[[#This Row],[Number of stores]]&gt;$U$7,Копия_20206[[#This Row],[Number of stores]]&lt;$U$6),"outlier","not outlier")</f>
        <v>not outlier</v>
      </c>
    </row>
    <row r="1386" spans="1:13" x14ac:dyDescent="0.25">
      <c r="A1386">
        <v>2022</v>
      </c>
      <c r="B1386">
        <v>8</v>
      </c>
      <c r="C1386" s="1" t="s">
        <v>29</v>
      </c>
      <c r="D1386" s="1" t="s">
        <v>14</v>
      </c>
      <c r="E1386" s="1" t="s">
        <v>12</v>
      </c>
      <c r="F1386" s="5">
        <v>35.424799999999998</v>
      </c>
      <c r="G1386" s="5">
        <v>7079.5944049999998</v>
      </c>
      <c r="H1386" s="5">
        <v>14.1701</v>
      </c>
      <c r="I1386">
        <v>3846</v>
      </c>
      <c r="J1386" s="4" t="str">
        <f>IF(OR(Копия_20206[[#This Row],[Units (in 1000)]]&gt;$R$7,Копия_20206[[#This Row],[Units (in 1000)]]&lt;$R$6),"outlier","not outlier")</f>
        <v>outlier</v>
      </c>
      <c r="K1386" s="4" t="str">
        <f>IF(OR(Копия_20206[[#This Row],[Value (in 1000 rub)]]&gt;$S$7,Копия_20206[[#This Row],[Value (in 1000 rub)]]&lt;$S$6),"outlier","not outlier")</f>
        <v>outlier</v>
      </c>
      <c r="L1386" s="4" t="str">
        <f>IF(OR(Копия_20206[[#This Row],[Volume (in 1000 kg)]]&gt;$T$7,Копия_20206[[#This Row],[Volume (in 1000 kg)]]&lt;$T$6),"outlier","not outlier")</f>
        <v>outlier</v>
      </c>
      <c r="M1386" s="4" t="str">
        <f>IF(OR(Копия_20206[[#This Row],[Number of stores]]&gt;$U$7,Копия_20206[[#This Row],[Number of stores]]&lt;$U$6),"outlier","not outlier")</f>
        <v>outlier</v>
      </c>
    </row>
    <row r="1387" spans="1:13" x14ac:dyDescent="0.25">
      <c r="A1387">
        <v>2022</v>
      </c>
      <c r="B1387">
        <v>9</v>
      </c>
      <c r="C1387" s="1" t="s">
        <v>8</v>
      </c>
      <c r="D1387" s="1" t="s">
        <v>14</v>
      </c>
      <c r="E1387" s="1" t="s">
        <v>10</v>
      </c>
      <c r="F1387" s="5">
        <v>0.2591</v>
      </c>
      <c r="G1387" s="5">
        <v>21.931858999999999</v>
      </c>
      <c r="H1387" s="5">
        <v>5.1799999999999999E-2</v>
      </c>
      <c r="I1387">
        <v>32</v>
      </c>
      <c r="J1387" s="4" t="str">
        <f>IF(OR(Копия_20206[[#This Row],[Units (in 1000)]]&gt;$R$7,Копия_20206[[#This Row],[Units (in 1000)]]&lt;$R$6),"outlier","not outlier")</f>
        <v>not outlier</v>
      </c>
      <c r="K1387" s="4" t="str">
        <f>IF(OR(Копия_20206[[#This Row],[Value (in 1000 rub)]]&gt;$S$7,Копия_20206[[#This Row],[Value (in 1000 rub)]]&lt;$S$6),"outlier","not outlier")</f>
        <v>not outlier</v>
      </c>
      <c r="L1387" s="4" t="str">
        <f>IF(OR(Копия_20206[[#This Row],[Volume (in 1000 kg)]]&gt;$T$7,Копия_20206[[#This Row],[Volume (in 1000 kg)]]&lt;$T$6),"outlier","not outlier")</f>
        <v>not outlier</v>
      </c>
      <c r="M1387" s="4" t="str">
        <f>IF(OR(Копия_20206[[#This Row],[Number of stores]]&gt;$U$7,Копия_20206[[#This Row],[Number of stores]]&lt;$U$6),"outlier","not outlier")</f>
        <v>not outlier</v>
      </c>
    </row>
    <row r="1388" spans="1:13" x14ac:dyDescent="0.25">
      <c r="A1388">
        <v>2022</v>
      </c>
      <c r="B1388">
        <v>9</v>
      </c>
      <c r="C1388" s="1" t="s">
        <v>8</v>
      </c>
      <c r="D1388" s="1" t="s">
        <v>14</v>
      </c>
      <c r="E1388" s="1" t="s">
        <v>12</v>
      </c>
      <c r="F1388" s="5">
        <v>38.967300000000002</v>
      </c>
      <c r="G1388" s="5">
        <v>7477.9733239999996</v>
      </c>
      <c r="H1388" s="5">
        <v>15.587</v>
      </c>
      <c r="I1388">
        <v>622</v>
      </c>
      <c r="J1388" s="4" t="str">
        <f>IF(OR(Копия_20206[[#This Row],[Units (in 1000)]]&gt;$R$7,Копия_20206[[#This Row],[Units (in 1000)]]&lt;$R$6),"outlier","not outlier")</f>
        <v>outlier</v>
      </c>
      <c r="K1388" s="4" t="str">
        <f>IF(OR(Копия_20206[[#This Row],[Value (in 1000 rub)]]&gt;$S$7,Копия_20206[[#This Row],[Value (in 1000 rub)]]&lt;$S$6),"outlier","not outlier")</f>
        <v>outlier</v>
      </c>
      <c r="L1388" s="4" t="str">
        <f>IF(OR(Копия_20206[[#This Row],[Volume (in 1000 kg)]]&gt;$T$7,Копия_20206[[#This Row],[Volume (in 1000 kg)]]&lt;$T$6),"outlier","not outlier")</f>
        <v>outlier</v>
      </c>
      <c r="M1388" s="4" t="str">
        <f>IF(OR(Копия_20206[[#This Row],[Number of stores]]&gt;$U$7,Копия_20206[[#This Row],[Number of stores]]&lt;$U$6),"outlier","not outlier")</f>
        <v>not outlier</v>
      </c>
    </row>
    <row r="1389" spans="1:13" x14ac:dyDescent="0.25">
      <c r="A1389">
        <v>2022</v>
      </c>
      <c r="B1389">
        <v>9</v>
      </c>
      <c r="C1389" s="1" t="s">
        <v>25</v>
      </c>
      <c r="D1389" s="1" t="s">
        <v>14</v>
      </c>
      <c r="E1389" s="1" t="s">
        <v>10</v>
      </c>
      <c r="F1389" s="5">
        <v>0.70309999999999995</v>
      </c>
      <c r="G1389" s="5">
        <v>83.168761000000003</v>
      </c>
      <c r="H1389" s="5">
        <v>0.1406</v>
      </c>
      <c r="I1389">
        <v>202</v>
      </c>
      <c r="J1389" s="4" t="str">
        <f>IF(OR(Копия_20206[[#This Row],[Units (in 1000)]]&gt;$R$7,Копия_20206[[#This Row],[Units (in 1000)]]&lt;$R$6),"outlier","not outlier")</f>
        <v>not outlier</v>
      </c>
      <c r="K1389" s="4" t="str">
        <f>IF(OR(Копия_20206[[#This Row],[Value (in 1000 rub)]]&gt;$S$7,Копия_20206[[#This Row],[Value (in 1000 rub)]]&lt;$S$6),"outlier","not outlier")</f>
        <v>not outlier</v>
      </c>
      <c r="L1389" s="4" t="str">
        <f>IF(OR(Копия_20206[[#This Row],[Volume (in 1000 kg)]]&gt;$T$7,Копия_20206[[#This Row],[Volume (in 1000 kg)]]&lt;$T$6),"outlier","not outlier")</f>
        <v>not outlier</v>
      </c>
      <c r="M1389" s="4" t="str">
        <f>IF(OR(Копия_20206[[#This Row],[Number of stores]]&gt;$U$7,Копия_20206[[#This Row],[Number of stores]]&lt;$U$6),"outlier","not outlier")</f>
        <v>not outlier</v>
      </c>
    </row>
    <row r="1390" spans="1:13" x14ac:dyDescent="0.25">
      <c r="A1390">
        <v>2022</v>
      </c>
      <c r="B1390">
        <v>9</v>
      </c>
      <c r="C1390" s="1" t="s">
        <v>25</v>
      </c>
      <c r="D1390" s="1" t="s">
        <v>14</v>
      </c>
      <c r="E1390" s="1" t="s">
        <v>12</v>
      </c>
      <c r="F1390" s="5">
        <v>11.0032</v>
      </c>
      <c r="G1390" s="5">
        <v>2009.1188569999999</v>
      </c>
      <c r="H1390" s="5">
        <v>4.4013</v>
      </c>
      <c r="I1390">
        <v>1621</v>
      </c>
      <c r="J1390" s="4" t="str">
        <f>IF(OR(Копия_20206[[#This Row],[Units (in 1000)]]&gt;$R$7,Копия_20206[[#This Row],[Units (in 1000)]]&lt;$R$6),"outlier","not outlier")</f>
        <v>not outlier</v>
      </c>
      <c r="K1390" s="4" t="str">
        <f>IF(OR(Копия_20206[[#This Row],[Value (in 1000 rub)]]&gt;$S$7,Копия_20206[[#This Row],[Value (in 1000 rub)]]&lt;$S$6),"outlier","not outlier")</f>
        <v>not outlier</v>
      </c>
      <c r="L1390" s="4" t="str">
        <f>IF(OR(Копия_20206[[#This Row],[Volume (in 1000 kg)]]&gt;$T$7,Копия_20206[[#This Row],[Volume (in 1000 kg)]]&lt;$T$6),"outlier","not outlier")</f>
        <v>not outlier</v>
      </c>
      <c r="M1390" s="4" t="str">
        <f>IF(OR(Копия_20206[[#This Row],[Number of stores]]&gt;$U$7,Копия_20206[[#This Row],[Number of stores]]&lt;$U$6),"outlier","not outlier")</f>
        <v>not outlier</v>
      </c>
    </row>
    <row r="1391" spans="1:13" x14ac:dyDescent="0.25">
      <c r="A1391">
        <v>2022</v>
      </c>
      <c r="B1391">
        <v>9</v>
      </c>
      <c r="C1391" s="1" t="s">
        <v>29</v>
      </c>
      <c r="D1391" s="1" t="s">
        <v>14</v>
      </c>
      <c r="E1391" s="1" t="s">
        <v>10</v>
      </c>
      <c r="F1391" s="5">
        <v>1.0855999999999999</v>
      </c>
      <c r="G1391" s="5">
        <v>141.04062999999999</v>
      </c>
      <c r="H1391" s="5">
        <v>0.21709999999999999</v>
      </c>
      <c r="I1391">
        <v>251</v>
      </c>
      <c r="J1391" s="4" t="str">
        <f>IF(OR(Копия_20206[[#This Row],[Units (in 1000)]]&gt;$R$7,Копия_20206[[#This Row],[Units (in 1000)]]&lt;$R$6),"outlier","not outlier")</f>
        <v>not outlier</v>
      </c>
      <c r="K1391" s="4" t="str">
        <f>IF(OR(Копия_20206[[#This Row],[Value (in 1000 rub)]]&gt;$S$7,Копия_20206[[#This Row],[Value (in 1000 rub)]]&lt;$S$6),"outlier","not outlier")</f>
        <v>not outlier</v>
      </c>
      <c r="L1391" s="4" t="str">
        <f>IF(OR(Копия_20206[[#This Row],[Volume (in 1000 kg)]]&gt;$T$7,Копия_20206[[#This Row],[Volume (in 1000 kg)]]&lt;$T$6),"outlier","not outlier")</f>
        <v>not outlier</v>
      </c>
      <c r="M1391" s="4" t="str">
        <f>IF(OR(Копия_20206[[#This Row],[Number of stores]]&gt;$U$7,Копия_20206[[#This Row],[Number of stores]]&lt;$U$6),"outlier","not outlier")</f>
        <v>not outlier</v>
      </c>
    </row>
    <row r="1392" spans="1:13" x14ac:dyDescent="0.25">
      <c r="A1392">
        <v>2022</v>
      </c>
      <c r="B1392">
        <v>9</v>
      </c>
      <c r="C1392" s="1" t="s">
        <v>29</v>
      </c>
      <c r="D1392" s="1" t="s">
        <v>14</v>
      </c>
      <c r="E1392" s="1" t="s">
        <v>12</v>
      </c>
      <c r="F1392" s="5">
        <v>31.026700000000002</v>
      </c>
      <c r="G1392" s="5">
        <v>6399.1824299999998</v>
      </c>
      <c r="H1392" s="5">
        <v>12.410600000000001</v>
      </c>
      <c r="I1392">
        <v>3549</v>
      </c>
      <c r="J1392" s="4" t="str">
        <f>IF(OR(Копия_20206[[#This Row],[Units (in 1000)]]&gt;$R$7,Копия_20206[[#This Row],[Units (in 1000)]]&lt;$R$6),"outlier","not outlier")</f>
        <v>outlier</v>
      </c>
      <c r="K1392" s="4" t="str">
        <f>IF(OR(Копия_20206[[#This Row],[Value (in 1000 rub)]]&gt;$S$7,Копия_20206[[#This Row],[Value (in 1000 rub)]]&lt;$S$6),"outlier","not outlier")</f>
        <v>outlier</v>
      </c>
      <c r="L1392" s="4" t="str">
        <f>IF(OR(Копия_20206[[#This Row],[Volume (in 1000 kg)]]&gt;$T$7,Копия_20206[[#This Row],[Volume (in 1000 kg)]]&lt;$T$6),"outlier","not outlier")</f>
        <v>outlier</v>
      </c>
      <c r="M1392" s="4" t="str">
        <f>IF(OR(Копия_20206[[#This Row],[Number of stores]]&gt;$U$7,Копия_20206[[#This Row],[Number of stores]]&lt;$U$6),"outlier","not outlier")</f>
        <v>outlier</v>
      </c>
    </row>
    <row r="1393" spans="1:13" x14ac:dyDescent="0.25">
      <c r="A1393">
        <v>2022</v>
      </c>
      <c r="B1393">
        <v>10</v>
      </c>
      <c r="C1393" s="1" t="s">
        <v>8</v>
      </c>
      <c r="D1393" s="1" t="s">
        <v>14</v>
      </c>
      <c r="E1393" s="1" t="s">
        <v>10</v>
      </c>
      <c r="F1393" s="5">
        <v>0.1794</v>
      </c>
      <c r="G1393" s="5">
        <v>17.551945</v>
      </c>
      <c r="H1393" s="5">
        <v>3.5900000000000001E-2</v>
      </c>
      <c r="I1393">
        <v>20</v>
      </c>
      <c r="J1393" s="4" t="str">
        <f>IF(OR(Копия_20206[[#This Row],[Units (in 1000)]]&gt;$R$7,Копия_20206[[#This Row],[Units (in 1000)]]&lt;$R$6),"outlier","not outlier")</f>
        <v>not outlier</v>
      </c>
      <c r="K1393" s="4" t="str">
        <f>IF(OR(Копия_20206[[#This Row],[Value (in 1000 rub)]]&gt;$S$7,Копия_20206[[#This Row],[Value (in 1000 rub)]]&lt;$S$6),"outlier","not outlier")</f>
        <v>not outlier</v>
      </c>
      <c r="L1393" s="4" t="str">
        <f>IF(OR(Копия_20206[[#This Row],[Volume (in 1000 kg)]]&gt;$T$7,Копия_20206[[#This Row],[Volume (in 1000 kg)]]&lt;$T$6),"outlier","not outlier")</f>
        <v>not outlier</v>
      </c>
      <c r="M1393" s="4" t="str">
        <f>IF(OR(Копия_20206[[#This Row],[Number of stores]]&gt;$U$7,Копия_20206[[#This Row],[Number of stores]]&lt;$U$6),"outlier","not outlier")</f>
        <v>not outlier</v>
      </c>
    </row>
    <row r="1394" spans="1:13" x14ac:dyDescent="0.25">
      <c r="A1394">
        <v>2022</v>
      </c>
      <c r="B1394">
        <v>10</v>
      </c>
      <c r="C1394" s="1" t="s">
        <v>8</v>
      </c>
      <c r="D1394" s="1" t="s">
        <v>14</v>
      </c>
      <c r="E1394" s="1" t="s">
        <v>12</v>
      </c>
      <c r="F1394" s="5">
        <v>33.0304</v>
      </c>
      <c r="G1394" s="5">
        <v>6797.6770530000003</v>
      </c>
      <c r="H1394" s="5">
        <v>13.212199999999999</v>
      </c>
      <c r="I1394">
        <v>629</v>
      </c>
      <c r="J1394" s="4" t="str">
        <f>IF(OR(Копия_20206[[#This Row],[Units (in 1000)]]&gt;$R$7,Копия_20206[[#This Row],[Units (in 1000)]]&lt;$R$6),"outlier","not outlier")</f>
        <v>outlier</v>
      </c>
      <c r="K1394" s="4" t="str">
        <f>IF(OR(Копия_20206[[#This Row],[Value (in 1000 rub)]]&gt;$S$7,Копия_20206[[#This Row],[Value (in 1000 rub)]]&lt;$S$6),"outlier","not outlier")</f>
        <v>outlier</v>
      </c>
      <c r="L1394" s="4" t="str">
        <f>IF(OR(Копия_20206[[#This Row],[Volume (in 1000 kg)]]&gt;$T$7,Копия_20206[[#This Row],[Volume (in 1000 kg)]]&lt;$T$6),"outlier","not outlier")</f>
        <v>outlier</v>
      </c>
      <c r="M1394" s="4" t="str">
        <f>IF(OR(Копия_20206[[#This Row],[Number of stores]]&gt;$U$7,Копия_20206[[#This Row],[Number of stores]]&lt;$U$6),"outlier","not outlier")</f>
        <v>not outlier</v>
      </c>
    </row>
    <row r="1395" spans="1:13" x14ac:dyDescent="0.25">
      <c r="A1395">
        <v>2022</v>
      </c>
      <c r="B1395">
        <v>10</v>
      </c>
      <c r="C1395" s="1" t="s">
        <v>25</v>
      </c>
      <c r="D1395" s="1" t="s">
        <v>14</v>
      </c>
      <c r="E1395" s="1" t="s">
        <v>10</v>
      </c>
      <c r="F1395" s="5">
        <v>0.67889999999999995</v>
      </c>
      <c r="G1395" s="5">
        <v>87.049256999999997</v>
      </c>
      <c r="H1395" s="5">
        <v>0.1358</v>
      </c>
      <c r="I1395">
        <v>209</v>
      </c>
      <c r="J1395" s="4" t="str">
        <f>IF(OR(Копия_20206[[#This Row],[Units (in 1000)]]&gt;$R$7,Копия_20206[[#This Row],[Units (in 1000)]]&lt;$R$6),"outlier","not outlier")</f>
        <v>not outlier</v>
      </c>
      <c r="K1395" s="4" t="str">
        <f>IF(OR(Копия_20206[[#This Row],[Value (in 1000 rub)]]&gt;$S$7,Копия_20206[[#This Row],[Value (in 1000 rub)]]&lt;$S$6),"outlier","not outlier")</f>
        <v>not outlier</v>
      </c>
      <c r="L1395" s="4" t="str">
        <f>IF(OR(Копия_20206[[#This Row],[Volume (in 1000 kg)]]&gt;$T$7,Копия_20206[[#This Row],[Volume (in 1000 kg)]]&lt;$T$6),"outlier","not outlier")</f>
        <v>not outlier</v>
      </c>
      <c r="M1395" s="4" t="str">
        <f>IF(OR(Копия_20206[[#This Row],[Number of stores]]&gt;$U$7,Копия_20206[[#This Row],[Number of stores]]&lt;$U$6),"outlier","not outlier")</f>
        <v>not outlier</v>
      </c>
    </row>
    <row r="1396" spans="1:13" x14ac:dyDescent="0.25">
      <c r="A1396">
        <v>2022</v>
      </c>
      <c r="B1396">
        <v>10</v>
      </c>
      <c r="C1396" s="1" t="s">
        <v>25</v>
      </c>
      <c r="D1396" s="1" t="s">
        <v>14</v>
      </c>
      <c r="E1396" s="1" t="s">
        <v>12</v>
      </c>
      <c r="F1396" s="5">
        <v>12.4224</v>
      </c>
      <c r="G1396" s="5">
        <v>2134.3948879999998</v>
      </c>
      <c r="H1396" s="5">
        <v>4.9690000000000003</v>
      </c>
      <c r="I1396">
        <v>1809</v>
      </c>
      <c r="J1396" s="4" t="str">
        <f>IF(OR(Копия_20206[[#This Row],[Units (in 1000)]]&gt;$R$7,Копия_20206[[#This Row],[Units (in 1000)]]&lt;$R$6),"outlier","not outlier")</f>
        <v>not outlier</v>
      </c>
      <c r="K1396" s="4" t="str">
        <f>IF(OR(Копия_20206[[#This Row],[Value (in 1000 rub)]]&gt;$S$7,Копия_20206[[#This Row],[Value (in 1000 rub)]]&lt;$S$6),"outlier","not outlier")</f>
        <v>outlier</v>
      </c>
      <c r="L1396" s="4" t="str">
        <f>IF(OR(Копия_20206[[#This Row],[Volume (in 1000 kg)]]&gt;$T$7,Копия_20206[[#This Row],[Volume (in 1000 kg)]]&lt;$T$6),"outlier","not outlier")</f>
        <v>not outlier</v>
      </c>
      <c r="M1396" s="4" t="str">
        <f>IF(OR(Копия_20206[[#This Row],[Number of stores]]&gt;$U$7,Копия_20206[[#This Row],[Number of stores]]&lt;$U$6),"outlier","not outlier")</f>
        <v>not outlier</v>
      </c>
    </row>
    <row r="1397" spans="1:13" x14ac:dyDescent="0.25">
      <c r="A1397">
        <v>2022</v>
      </c>
      <c r="B1397">
        <v>10</v>
      </c>
      <c r="C1397" s="1" t="s">
        <v>29</v>
      </c>
      <c r="D1397" s="1" t="s">
        <v>14</v>
      </c>
      <c r="E1397" s="1" t="s">
        <v>10</v>
      </c>
      <c r="F1397" s="5">
        <v>1.2179</v>
      </c>
      <c r="G1397" s="5">
        <v>171.42359500000001</v>
      </c>
      <c r="H1397" s="5">
        <v>0.24360000000000001</v>
      </c>
      <c r="I1397">
        <v>317</v>
      </c>
      <c r="J1397" s="4" t="str">
        <f>IF(OR(Копия_20206[[#This Row],[Units (in 1000)]]&gt;$R$7,Копия_20206[[#This Row],[Units (in 1000)]]&lt;$R$6),"outlier","not outlier")</f>
        <v>not outlier</v>
      </c>
      <c r="K1397" s="4" t="str">
        <f>IF(OR(Копия_20206[[#This Row],[Value (in 1000 rub)]]&gt;$S$7,Копия_20206[[#This Row],[Value (in 1000 rub)]]&lt;$S$6),"outlier","not outlier")</f>
        <v>not outlier</v>
      </c>
      <c r="L1397" s="4" t="str">
        <f>IF(OR(Копия_20206[[#This Row],[Volume (in 1000 kg)]]&gt;$T$7,Копия_20206[[#This Row],[Volume (in 1000 kg)]]&lt;$T$6),"outlier","not outlier")</f>
        <v>not outlier</v>
      </c>
      <c r="M1397" s="4" t="str">
        <f>IF(OR(Копия_20206[[#This Row],[Number of stores]]&gt;$U$7,Копия_20206[[#This Row],[Number of stores]]&lt;$U$6),"outlier","not outlier")</f>
        <v>not outlier</v>
      </c>
    </row>
    <row r="1398" spans="1:13" x14ac:dyDescent="0.25">
      <c r="A1398">
        <v>2022</v>
      </c>
      <c r="B1398">
        <v>10</v>
      </c>
      <c r="C1398" s="1" t="s">
        <v>29</v>
      </c>
      <c r="D1398" s="1" t="s">
        <v>14</v>
      </c>
      <c r="E1398" s="1" t="s">
        <v>12</v>
      </c>
      <c r="F1398" s="5">
        <v>51.350499999999997</v>
      </c>
      <c r="G1398" s="5">
        <v>9478.1592290000008</v>
      </c>
      <c r="H1398" s="5">
        <v>20.540199999999999</v>
      </c>
      <c r="I1398">
        <v>3575</v>
      </c>
      <c r="J1398" s="4" t="str">
        <f>IF(OR(Копия_20206[[#This Row],[Units (in 1000)]]&gt;$R$7,Копия_20206[[#This Row],[Units (in 1000)]]&lt;$R$6),"outlier","not outlier")</f>
        <v>outlier</v>
      </c>
      <c r="K1398" s="4" t="str">
        <f>IF(OR(Копия_20206[[#This Row],[Value (in 1000 rub)]]&gt;$S$7,Копия_20206[[#This Row],[Value (in 1000 rub)]]&lt;$S$6),"outlier","not outlier")</f>
        <v>outlier</v>
      </c>
      <c r="L1398" s="4" t="str">
        <f>IF(OR(Копия_20206[[#This Row],[Volume (in 1000 kg)]]&gt;$T$7,Копия_20206[[#This Row],[Volume (in 1000 kg)]]&lt;$T$6),"outlier","not outlier")</f>
        <v>outlier</v>
      </c>
      <c r="M1398" s="4" t="str">
        <f>IF(OR(Копия_20206[[#This Row],[Number of stores]]&gt;$U$7,Копия_20206[[#This Row],[Number of stores]]&lt;$U$6),"outlier","not outlier")</f>
        <v>outlier</v>
      </c>
    </row>
    <row r="1399" spans="1:13" x14ac:dyDescent="0.25">
      <c r="A1399">
        <v>2022</v>
      </c>
      <c r="B1399">
        <v>11</v>
      </c>
      <c r="C1399" s="1" t="s">
        <v>8</v>
      </c>
      <c r="D1399" s="1" t="s">
        <v>14</v>
      </c>
      <c r="E1399" s="1" t="s">
        <v>10</v>
      </c>
      <c r="F1399" s="5">
        <v>0.16009999999999999</v>
      </c>
      <c r="G1399" s="5">
        <v>16.871047999999998</v>
      </c>
      <c r="H1399" s="5">
        <v>3.2000000000000001E-2</v>
      </c>
      <c r="I1399">
        <v>15</v>
      </c>
      <c r="J1399" s="4" t="str">
        <f>IF(OR(Копия_20206[[#This Row],[Units (in 1000)]]&gt;$R$7,Копия_20206[[#This Row],[Units (in 1000)]]&lt;$R$6),"outlier","not outlier")</f>
        <v>not outlier</v>
      </c>
      <c r="K1399" s="4" t="str">
        <f>IF(OR(Копия_20206[[#This Row],[Value (in 1000 rub)]]&gt;$S$7,Копия_20206[[#This Row],[Value (in 1000 rub)]]&lt;$S$6),"outlier","not outlier")</f>
        <v>not outlier</v>
      </c>
      <c r="L1399" s="4" t="str">
        <f>IF(OR(Копия_20206[[#This Row],[Volume (in 1000 kg)]]&gt;$T$7,Копия_20206[[#This Row],[Volume (in 1000 kg)]]&lt;$T$6),"outlier","not outlier")</f>
        <v>not outlier</v>
      </c>
      <c r="M1399" s="4" t="str">
        <f>IF(OR(Копия_20206[[#This Row],[Number of stores]]&gt;$U$7,Копия_20206[[#This Row],[Number of stores]]&lt;$U$6),"outlier","not outlier")</f>
        <v>not outlier</v>
      </c>
    </row>
    <row r="1400" spans="1:13" x14ac:dyDescent="0.25">
      <c r="A1400">
        <v>2022</v>
      </c>
      <c r="B1400">
        <v>11</v>
      </c>
      <c r="C1400" s="1" t="s">
        <v>8</v>
      </c>
      <c r="D1400" s="1" t="s">
        <v>14</v>
      </c>
      <c r="E1400" s="1" t="s">
        <v>12</v>
      </c>
      <c r="F1400" s="5">
        <v>52.838799999999999</v>
      </c>
      <c r="G1400" s="5">
        <v>9408.4418470000001</v>
      </c>
      <c r="H1400" s="5">
        <v>21.1356</v>
      </c>
      <c r="I1400">
        <v>641</v>
      </c>
      <c r="J1400" s="4" t="str">
        <f>IF(OR(Копия_20206[[#This Row],[Units (in 1000)]]&gt;$R$7,Копия_20206[[#This Row],[Units (in 1000)]]&lt;$R$6),"outlier","not outlier")</f>
        <v>outlier</v>
      </c>
      <c r="K1400" s="4" t="str">
        <f>IF(OR(Копия_20206[[#This Row],[Value (in 1000 rub)]]&gt;$S$7,Копия_20206[[#This Row],[Value (in 1000 rub)]]&lt;$S$6),"outlier","not outlier")</f>
        <v>outlier</v>
      </c>
      <c r="L1400" s="4" t="str">
        <f>IF(OR(Копия_20206[[#This Row],[Volume (in 1000 kg)]]&gt;$T$7,Копия_20206[[#This Row],[Volume (in 1000 kg)]]&lt;$T$6),"outlier","not outlier")</f>
        <v>outlier</v>
      </c>
      <c r="M1400" s="4" t="str">
        <f>IF(OR(Копия_20206[[#This Row],[Number of stores]]&gt;$U$7,Копия_20206[[#This Row],[Number of stores]]&lt;$U$6),"outlier","not outlier")</f>
        <v>not outlier</v>
      </c>
    </row>
    <row r="1401" spans="1:13" x14ac:dyDescent="0.25">
      <c r="A1401">
        <v>2022</v>
      </c>
      <c r="B1401">
        <v>11</v>
      </c>
      <c r="C1401" s="1" t="s">
        <v>25</v>
      </c>
      <c r="D1401" s="1" t="s">
        <v>14</v>
      </c>
      <c r="E1401" s="1" t="s">
        <v>10</v>
      </c>
      <c r="F1401" s="5">
        <v>0.72570000000000001</v>
      </c>
      <c r="G1401" s="5">
        <v>88.458725000000001</v>
      </c>
      <c r="H1401" s="5">
        <v>0.14510000000000001</v>
      </c>
      <c r="I1401">
        <v>211</v>
      </c>
      <c r="J1401" s="4" t="str">
        <f>IF(OR(Копия_20206[[#This Row],[Units (in 1000)]]&gt;$R$7,Копия_20206[[#This Row],[Units (in 1000)]]&lt;$R$6),"outlier","not outlier")</f>
        <v>not outlier</v>
      </c>
      <c r="K1401" s="4" t="str">
        <f>IF(OR(Копия_20206[[#This Row],[Value (in 1000 rub)]]&gt;$S$7,Копия_20206[[#This Row],[Value (in 1000 rub)]]&lt;$S$6),"outlier","not outlier")</f>
        <v>not outlier</v>
      </c>
      <c r="L1401" s="4" t="str">
        <f>IF(OR(Копия_20206[[#This Row],[Volume (in 1000 kg)]]&gt;$T$7,Копия_20206[[#This Row],[Volume (in 1000 kg)]]&lt;$T$6),"outlier","not outlier")</f>
        <v>not outlier</v>
      </c>
      <c r="M1401" s="4" t="str">
        <f>IF(OR(Копия_20206[[#This Row],[Number of stores]]&gt;$U$7,Копия_20206[[#This Row],[Number of stores]]&lt;$U$6),"outlier","not outlier")</f>
        <v>not outlier</v>
      </c>
    </row>
    <row r="1402" spans="1:13" x14ac:dyDescent="0.25">
      <c r="A1402">
        <v>2022</v>
      </c>
      <c r="B1402">
        <v>11</v>
      </c>
      <c r="C1402" s="1" t="s">
        <v>25</v>
      </c>
      <c r="D1402" s="1" t="s">
        <v>14</v>
      </c>
      <c r="E1402" s="1" t="s">
        <v>12</v>
      </c>
      <c r="F1402" s="5">
        <v>16.7315</v>
      </c>
      <c r="G1402" s="5">
        <v>2785.7551250000001</v>
      </c>
      <c r="H1402" s="5">
        <v>6.6925999999999997</v>
      </c>
      <c r="I1402">
        <v>2672</v>
      </c>
      <c r="J1402" s="4" t="str">
        <f>IF(OR(Копия_20206[[#This Row],[Units (in 1000)]]&gt;$R$7,Копия_20206[[#This Row],[Units (in 1000)]]&lt;$R$6),"outlier","not outlier")</f>
        <v>not outlier</v>
      </c>
      <c r="K1402" s="4" t="str">
        <f>IF(OR(Копия_20206[[#This Row],[Value (in 1000 rub)]]&gt;$S$7,Копия_20206[[#This Row],[Value (in 1000 rub)]]&lt;$S$6),"outlier","not outlier")</f>
        <v>outlier</v>
      </c>
      <c r="L1402" s="4" t="str">
        <f>IF(OR(Копия_20206[[#This Row],[Volume (in 1000 kg)]]&gt;$T$7,Копия_20206[[#This Row],[Volume (in 1000 kg)]]&lt;$T$6),"outlier","not outlier")</f>
        <v>not outlier</v>
      </c>
      <c r="M1402" s="4" t="str">
        <f>IF(OR(Копия_20206[[#This Row],[Number of stores]]&gt;$U$7,Копия_20206[[#This Row],[Number of stores]]&lt;$U$6),"outlier","not outlier")</f>
        <v>not outlier</v>
      </c>
    </row>
    <row r="1403" spans="1:13" x14ac:dyDescent="0.25">
      <c r="A1403">
        <v>2022</v>
      </c>
      <c r="B1403">
        <v>11</v>
      </c>
      <c r="C1403" s="1" t="s">
        <v>29</v>
      </c>
      <c r="D1403" s="1" t="s">
        <v>14</v>
      </c>
      <c r="E1403" s="1" t="s">
        <v>10</v>
      </c>
      <c r="F1403" s="5">
        <v>1.3379000000000001</v>
      </c>
      <c r="G1403" s="5">
        <v>183.44634400000001</v>
      </c>
      <c r="H1403" s="5">
        <v>0.26750000000000002</v>
      </c>
      <c r="I1403">
        <v>343</v>
      </c>
      <c r="J1403" s="4" t="str">
        <f>IF(OR(Копия_20206[[#This Row],[Units (in 1000)]]&gt;$R$7,Копия_20206[[#This Row],[Units (in 1000)]]&lt;$R$6),"outlier","not outlier")</f>
        <v>not outlier</v>
      </c>
      <c r="K1403" s="4" t="str">
        <f>IF(OR(Копия_20206[[#This Row],[Value (in 1000 rub)]]&gt;$S$7,Копия_20206[[#This Row],[Value (in 1000 rub)]]&lt;$S$6),"outlier","not outlier")</f>
        <v>not outlier</v>
      </c>
      <c r="L1403" s="4" t="str">
        <f>IF(OR(Копия_20206[[#This Row],[Volume (in 1000 kg)]]&gt;$T$7,Копия_20206[[#This Row],[Volume (in 1000 kg)]]&lt;$T$6),"outlier","not outlier")</f>
        <v>not outlier</v>
      </c>
      <c r="M1403" s="4" t="str">
        <f>IF(OR(Копия_20206[[#This Row],[Number of stores]]&gt;$U$7,Копия_20206[[#This Row],[Number of stores]]&lt;$U$6),"outlier","not outlier")</f>
        <v>not outlier</v>
      </c>
    </row>
    <row r="1404" spans="1:13" x14ac:dyDescent="0.25">
      <c r="A1404">
        <v>2022</v>
      </c>
      <c r="B1404">
        <v>11</v>
      </c>
      <c r="C1404" s="1" t="s">
        <v>29</v>
      </c>
      <c r="D1404" s="1" t="s">
        <v>14</v>
      </c>
      <c r="E1404" s="1" t="s">
        <v>12</v>
      </c>
      <c r="F1404" s="5">
        <v>66.876199999999997</v>
      </c>
      <c r="G1404" s="5">
        <v>11510.502179999999</v>
      </c>
      <c r="H1404" s="5">
        <v>26.750499999999999</v>
      </c>
      <c r="I1404">
        <v>8509</v>
      </c>
      <c r="J1404" s="4" t="str">
        <f>IF(OR(Копия_20206[[#This Row],[Units (in 1000)]]&gt;$R$7,Копия_20206[[#This Row],[Units (in 1000)]]&lt;$R$6),"outlier","not outlier")</f>
        <v>outlier</v>
      </c>
      <c r="K1404" s="4" t="str">
        <f>IF(OR(Копия_20206[[#This Row],[Value (in 1000 rub)]]&gt;$S$7,Копия_20206[[#This Row],[Value (in 1000 rub)]]&lt;$S$6),"outlier","not outlier")</f>
        <v>outlier</v>
      </c>
      <c r="L1404" s="4" t="str">
        <f>IF(OR(Копия_20206[[#This Row],[Volume (in 1000 kg)]]&gt;$T$7,Копия_20206[[#This Row],[Volume (in 1000 kg)]]&lt;$T$6),"outlier","not outlier")</f>
        <v>outlier</v>
      </c>
      <c r="M1404" s="4" t="str">
        <f>IF(OR(Копия_20206[[#This Row],[Number of stores]]&gt;$U$7,Копия_20206[[#This Row],[Number of stores]]&lt;$U$6),"outlier","not outlier")</f>
        <v>outlier</v>
      </c>
    </row>
    <row r="1405" spans="1:13" x14ac:dyDescent="0.25">
      <c r="A1405">
        <v>2022</v>
      </c>
      <c r="B1405">
        <v>12</v>
      </c>
      <c r="C1405" s="1" t="s">
        <v>8</v>
      </c>
      <c r="D1405" s="1" t="s">
        <v>14</v>
      </c>
      <c r="E1405" s="1" t="s">
        <v>10</v>
      </c>
      <c r="F1405" s="5">
        <v>9.7199999999999995E-2</v>
      </c>
      <c r="G1405" s="5">
        <v>12.649938000000001</v>
      </c>
      <c r="H1405" s="5">
        <v>1.9400000000000001E-2</v>
      </c>
      <c r="I1405">
        <v>14</v>
      </c>
      <c r="J1405" s="4" t="str">
        <f>IF(OR(Копия_20206[[#This Row],[Units (in 1000)]]&gt;$R$7,Копия_20206[[#This Row],[Units (in 1000)]]&lt;$R$6),"outlier","not outlier")</f>
        <v>not outlier</v>
      </c>
      <c r="K1405" s="4" t="str">
        <f>IF(OR(Копия_20206[[#This Row],[Value (in 1000 rub)]]&gt;$S$7,Копия_20206[[#This Row],[Value (in 1000 rub)]]&lt;$S$6),"outlier","not outlier")</f>
        <v>not outlier</v>
      </c>
      <c r="L1405" s="4" t="str">
        <f>IF(OR(Копия_20206[[#This Row],[Volume (in 1000 kg)]]&gt;$T$7,Копия_20206[[#This Row],[Volume (in 1000 kg)]]&lt;$T$6),"outlier","not outlier")</f>
        <v>not outlier</v>
      </c>
      <c r="M1405" s="4" t="str">
        <f>IF(OR(Копия_20206[[#This Row],[Number of stores]]&gt;$U$7,Копия_20206[[#This Row],[Number of stores]]&lt;$U$6),"outlier","not outlier")</f>
        <v>not outlier</v>
      </c>
    </row>
    <row r="1406" spans="1:13" x14ac:dyDescent="0.25">
      <c r="A1406">
        <v>2022</v>
      </c>
      <c r="B1406">
        <v>12</v>
      </c>
      <c r="C1406" s="1" t="s">
        <v>8</v>
      </c>
      <c r="D1406" s="1" t="s">
        <v>14</v>
      </c>
      <c r="E1406" s="1" t="s">
        <v>12</v>
      </c>
      <c r="F1406" s="5">
        <v>41.707599999999999</v>
      </c>
      <c r="G1406" s="5">
        <v>7988.0453440000001</v>
      </c>
      <c r="H1406" s="5">
        <v>16.6831</v>
      </c>
      <c r="I1406">
        <v>615</v>
      </c>
      <c r="J1406" s="4" t="str">
        <f>IF(OR(Копия_20206[[#This Row],[Units (in 1000)]]&gt;$R$7,Копия_20206[[#This Row],[Units (in 1000)]]&lt;$R$6),"outlier","not outlier")</f>
        <v>outlier</v>
      </c>
      <c r="K1406" s="4" t="str">
        <f>IF(OR(Копия_20206[[#This Row],[Value (in 1000 rub)]]&gt;$S$7,Копия_20206[[#This Row],[Value (in 1000 rub)]]&lt;$S$6),"outlier","not outlier")</f>
        <v>outlier</v>
      </c>
      <c r="L1406" s="4" t="str">
        <f>IF(OR(Копия_20206[[#This Row],[Volume (in 1000 kg)]]&gt;$T$7,Копия_20206[[#This Row],[Volume (in 1000 kg)]]&lt;$T$6),"outlier","not outlier")</f>
        <v>outlier</v>
      </c>
      <c r="M1406" s="4" t="str">
        <f>IF(OR(Копия_20206[[#This Row],[Number of stores]]&gt;$U$7,Копия_20206[[#This Row],[Number of stores]]&lt;$U$6),"outlier","not outlier")</f>
        <v>not outlier</v>
      </c>
    </row>
    <row r="1407" spans="1:13" x14ac:dyDescent="0.25">
      <c r="A1407">
        <v>2022</v>
      </c>
      <c r="B1407">
        <v>12</v>
      </c>
      <c r="C1407" s="1" t="s">
        <v>25</v>
      </c>
      <c r="D1407" s="1" t="s">
        <v>14</v>
      </c>
      <c r="E1407" s="1" t="s">
        <v>10</v>
      </c>
      <c r="F1407" s="5">
        <v>0.55920000000000003</v>
      </c>
      <c r="G1407" s="5">
        <v>70.359689000000003</v>
      </c>
      <c r="H1407" s="5">
        <v>0.1119</v>
      </c>
      <c r="I1407">
        <v>229</v>
      </c>
      <c r="J1407" s="4" t="str">
        <f>IF(OR(Копия_20206[[#This Row],[Units (in 1000)]]&gt;$R$7,Копия_20206[[#This Row],[Units (in 1000)]]&lt;$R$6),"outlier","not outlier")</f>
        <v>not outlier</v>
      </c>
      <c r="K1407" s="4" t="str">
        <f>IF(OR(Копия_20206[[#This Row],[Value (in 1000 rub)]]&gt;$S$7,Копия_20206[[#This Row],[Value (in 1000 rub)]]&lt;$S$6),"outlier","not outlier")</f>
        <v>not outlier</v>
      </c>
      <c r="L1407" s="4" t="str">
        <f>IF(OR(Копия_20206[[#This Row],[Volume (in 1000 kg)]]&gt;$T$7,Копия_20206[[#This Row],[Volume (in 1000 kg)]]&lt;$T$6),"outlier","not outlier")</f>
        <v>not outlier</v>
      </c>
      <c r="M1407" s="4" t="str">
        <f>IF(OR(Копия_20206[[#This Row],[Number of stores]]&gt;$U$7,Копия_20206[[#This Row],[Number of stores]]&lt;$U$6),"outlier","not outlier")</f>
        <v>not outlier</v>
      </c>
    </row>
    <row r="1408" spans="1:13" x14ac:dyDescent="0.25">
      <c r="A1408">
        <v>2022</v>
      </c>
      <c r="B1408">
        <v>12</v>
      </c>
      <c r="C1408" s="1" t="s">
        <v>25</v>
      </c>
      <c r="D1408" s="1" t="s">
        <v>14</v>
      </c>
      <c r="E1408" s="1" t="s">
        <v>12</v>
      </c>
      <c r="F1408" s="5">
        <v>13.1007</v>
      </c>
      <c r="G1408" s="5">
        <v>2332.3043750000002</v>
      </c>
      <c r="H1408" s="5">
        <v>5.2404000000000002</v>
      </c>
      <c r="I1408">
        <v>2389</v>
      </c>
      <c r="J1408" s="4" t="str">
        <f>IF(OR(Копия_20206[[#This Row],[Units (in 1000)]]&gt;$R$7,Копия_20206[[#This Row],[Units (in 1000)]]&lt;$R$6),"outlier","not outlier")</f>
        <v>not outlier</v>
      </c>
      <c r="K1408" s="4" t="str">
        <f>IF(OR(Копия_20206[[#This Row],[Value (in 1000 rub)]]&gt;$S$7,Копия_20206[[#This Row],[Value (in 1000 rub)]]&lt;$S$6),"outlier","not outlier")</f>
        <v>outlier</v>
      </c>
      <c r="L1408" s="4" t="str">
        <f>IF(OR(Копия_20206[[#This Row],[Volume (in 1000 kg)]]&gt;$T$7,Копия_20206[[#This Row],[Volume (in 1000 kg)]]&lt;$T$6),"outlier","not outlier")</f>
        <v>not outlier</v>
      </c>
      <c r="M1408" s="4" t="str">
        <f>IF(OR(Копия_20206[[#This Row],[Number of stores]]&gt;$U$7,Копия_20206[[#This Row],[Number of stores]]&lt;$U$6),"outlier","not outlier")</f>
        <v>not outlier</v>
      </c>
    </row>
    <row r="1409" spans="1:13" x14ac:dyDescent="0.25">
      <c r="A1409">
        <v>2022</v>
      </c>
      <c r="B1409">
        <v>12</v>
      </c>
      <c r="C1409" s="1" t="s">
        <v>29</v>
      </c>
      <c r="D1409" s="1" t="s">
        <v>14</v>
      </c>
      <c r="E1409" s="1" t="s">
        <v>10</v>
      </c>
      <c r="F1409" s="5">
        <v>1.3947000000000001</v>
      </c>
      <c r="G1409" s="5">
        <v>182.29401100000001</v>
      </c>
      <c r="H1409" s="5">
        <v>0.27889999999999998</v>
      </c>
      <c r="I1409">
        <v>295</v>
      </c>
      <c r="J1409" s="4" t="str">
        <f>IF(OR(Копия_20206[[#This Row],[Units (in 1000)]]&gt;$R$7,Копия_20206[[#This Row],[Units (in 1000)]]&lt;$R$6),"outlier","not outlier")</f>
        <v>not outlier</v>
      </c>
      <c r="K1409" s="4" t="str">
        <f>IF(OR(Копия_20206[[#This Row],[Value (in 1000 rub)]]&gt;$S$7,Копия_20206[[#This Row],[Value (in 1000 rub)]]&lt;$S$6),"outlier","not outlier")</f>
        <v>not outlier</v>
      </c>
      <c r="L1409" s="4" t="str">
        <f>IF(OR(Копия_20206[[#This Row],[Volume (in 1000 kg)]]&gt;$T$7,Копия_20206[[#This Row],[Volume (in 1000 kg)]]&lt;$T$6),"outlier","not outlier")</f>
        <v>not outlier</v>
      </c>
      <c r="M1409" s="4" t="str">
        <f>IF(OR(Копия_20206[[#This Row],[Number of stores]]&gt;$U$7,Копия_20206[[#This Row],[Number of stores]]&lt;$U$6),"outlier","not outlier")</f>
        <v>not outlier</v>
      </c>
    </row>
    <row r="1410" spans="1:13" x14ac:dyDescent="0.25">
      <c r="A1410">
        <v>2022</v>
      </c>
      <c r="B1410">
        <v>12</v>
      </c>
      <c r="C1410" s="1" t="s">
        <v>29</v>
      </c>
      <c r="D1410" s="1" t="s">
        <v>14</v>
      </c>
      <c r="E1410" s="1" t="s">
        <v>12</v>
      </c>
      <c r="F1410" s="5">
        <v>50.753999999999998</v>
      </c>
      <c r="G1410" s="5">
        <v>9074.1547040000005</v>
      </c>
      <c r="H1410" s="5">
        <v>20.301600000000001</v>
      </c>
      <c r="I1410">
        <v>8459</v>
      </c>
      <c r="J1410" s="4" t="str">
        <f>IF(OR(Копия_20206[[#This Row],[Units (in 1000)]]&gt;$R$7,Копия_20206[[#This Row],[Units (in 1000)]]&lt;$R$6),"outlier","not outlier")</f>
        <v>outlier</v>
      </c>
      <c r="K1410" s="4" t="str">
        <f>IF(OR(Копия_20206[[#This Row],[Value (in 1000 rub)]]&gt;$S$7,Копия_20206[[#This Row],[Value (in 1000 rub)]]&lt;$S$6),"outlier","not outlier")</f>
        <v>outlier</v>
      </c>
      <c r="L1410" s="4" t="str">
        <f>IF(OR(Копия_20206[[#This Row],[Volume (in 1000 kg)]]&gt;$T$7,Копия_20206[[#This Row],[Volume (in 1000 kg)]]&lt;$T$6),"outlier","not outlier")</f>
        <v>outlier</v>
      </c>
      <c r="M1410" s="4" t="str">
        <f>IF(OR(Копия_20206[[#This Row],[Number of stores]]&gt;$U$7,Копия_20206[[#This Row],[Number of stores]]&lt;$U$6),"outlier","not outlier")</f>
        <v>outlier</v>
      </c>
    </row>
    <row r="1411" spans="1:13" x14ac:dyDescent="0.25">
      <c r="A1411">
        <v>2022</v>
      </c>
      <c r="B1411">
        <v>8</v>
      </c>
      <c r="C1411" s="1" t="s">
        <v>8</v>
      </c>
      <c r="D1411" s="1" t="s">
        <v>51</v>
      </c>
      <c r="E1411" s="1" t="s">
        <v>21</v>
      </c>
      <c r="F1411" s="5">
        <v>2.399</v>
      </c>
      <c r="G1411" s="5">
        <v>145.440369</v>
      </c>
      <c r="H1411" s="5">
        <v>0.59970000000000001</v>
      </c>
      <c r="I1411">
        <v>0</v>
      </c>
      <c r="J1411" s="4" t="str">
        <f>IF(OR(Копия_20206[[#This Row],[Units (in 1000)]]&gt;$R$7,Копия_20206[[#This Row],[Units (in 1000)]]&lt;$R$6),"outlier","not outlier")</f>
        <v>not outlier</v>
      </c>
      <c r="K1411" s="4" t="str">
        <f>IF(OR(Копия_20206[[#This Row],[Value (in 1000 rub)]]&gt;$S$7,Копия_20206[[#This Row],[Value (in 1000 rub)]]&lt;$S$6),"outlier","not outlier")</f>
        <v>not outlier</v>
      </c>
      <c r="L1411" s="4" t="str">
        <f>IF(OR(Копия_20206[[#This Row],[Volume (in 1000 kg)]]&gt;$T$7,Копия_20206[[#This Row],[Volume (in 1000 kg)]]&lt;$T$6),"outlier","not outlier")</f>
        <v>not outlier</v>
      </c>
      <c r="M1411" s="4" t="str">
        <f>IF(OR(Копия_20206[[#This Row],[Number of stores]]&gt;$U$7,Копия_20206[[#This Row],[Number of stores]]&lt;$U$6),"outlier","not outlier")</f>
        <v>not outlier</v>
      </c>
    </row>
    <row r="1412" spans="1:13" x14ac:dyDescent="0.25">
      <c r="A1412">
        <v>2022</v>
      </c>
      <c r="B1412">
        <v>9</v>
      </c>
      <c r="C1412" s="1" t="s">
        <v>8</v>
      </c>
      <c r="D1412" s="1" t="s">
        <v>51</v>
      </c>
      <c r="E1412" s="1" t="s">
        <v>21</v>
      </c>
      <c r="F1412" s="5">
        <v>1.1431</v>
      </c>
      <c r="G1412" s="5">
        <v>75.358834999999999</v>
      </c>
      <c r="H1412" s="5">
        <v>0.2858</v>
      </c>
      <c r="I1412">
        <v>0</v>
      </c>
      <c r="J1412" s="4" t="str">
        <f>IF(OR(Копия_20206[[#This Row],[Units (in 1000)]]&gt;$R$7,Копия_20206[[#This Row],[Units (in 1000)]]&lt;$R$6),"outlier","not outlier")</f>
        <v>not outlier</v>
      </c>
      <c r="K1412" s="4" t="str">
        <f>IF(OR(Копия_20206[[#This Row],[Value (in 1000 rub)]]&gt;$S$7,Копия_20206[[#This Row],[Value (in 1000 rub)]]&lt;$S$6),"outlier","not outlier")</f>
        <v>not outlier</v>
      </c>
      <c r="L1412" s="4" t="str">
        <f>IF(OR(Копия_20206[[#This Row],[Volume (in 1000 kg)]]&gt;$T$7,Копия_20206[[#This Row],[Volume (in 1000 kg)]]&lt;$T$6),"outlier","not outlier")</f>
        <v>not outlier</v>
      </c>
      <c r="M1412" s="4" t="str">
        <f>IF(OR(Копия_20206[[#This Row],[Number of stores]]&gt;$U$7,Копия_20206[[#This Row],[Number of stores]]&lt;$U$6),"outlier","not outlier")</f>
        <v>not outlier</v>
      </c>
    </row>
    <row r="1413" spans="1:13" x14ac:dyDescent="0.25">
      <c r="A1413">
        <v>2022</v>
      </c>
      <c r="B1413">
        <v>9</v>
      </c>
      <c r="C1413" s="1" t="s">
        <v>25</v>
      </c>
      <c r="D1413" s="1" t="s">
        <v>51</v>
      </c>
      <c r="E1413" s="1" t="s">
        <v>21</v>
      </c>
      <c r="F1413" s="5">
        <v>1.3413999999999999</v>
      </c>
      <c r="G1413" s="5">
        <v>127.422027</v>
      </c>
      <c r="H1413" s="5">
        <v>0.33539999999999998</v>
      </c>
      <c r="I1413">
        <v>825</v>
      </c>
      <c r="J1413" s="4" t="str">
        <f>IF(OR(Копия_20206[[#This Row],[Units (in 1000)]]&gt;$R$7,Копия_20206[[#This Row],[Units (in 1000)]]&lt;$R$6),"outlier","not outlier")</f>
        <v>not outlier</v>
      </c>
      <c r="K1413" s="4" t="str">
        <f>IF(OR(Копия_20206[[#This Row],[Value (in 1000 rub)]]&gt;$S$7,Копия_20206[[#This Row],[Value (in 1000 rub)]]&lt;$S$6),"outlier","not outlier")</f>
        <v>not outlier</v>
      </c>
      <c r="L1413" s="4" t="str">
        <f>IF(OR(Копия_20206[[#This Row],[Volume (in 1000 kg)]]&gt;$T$7,Копия_20206[[#This Row],[Volume (in 1000 kg)]]&lt;$T$6),"outlier","not outlier")</f>
        <v>not outlier</v>
      </c>
      <c r="M1413" s="4" t="str">
        <f>IF(OR(Копия_20206[[#This Row],[Number of stores]]&gt;$U$7,Копия_20206[[#This Row],[Number of stores]]&lt;$U$6),"outlier","not outlier")</f>
        <v>not outlier</v>
      </c>
    </row>
    <row r="1414" spans="1:13" x14ac:dyDescent="0.25">
      <c r="A1414">
        <v>2022</v>
      </c>
      <c r="B1414">
        <v>10</v>
      </c>
      <c r="C1414" s="1" t="s">
        <v>8</v>
      </c>
      <c r="D1414" s="1" t="s">
        <v>51</v>
      </c>
      <c r="E1414" s="1" t="s">
        <v>21</v>
      </c>
      <c r="F1414" s="5">
        <v>1.3633</v>
      </c>
      <c r="G1414" s="5">
        <v>66.180682000000004</v>
      </c>
      <c r="H1414" s="5">
        <v>0.34079999999999999</v>
      </c>
      <c r="I1414">
        <v>67</v>
      </c>
      <c r="J1414" s="4" t="str">
        <f>IF(OR(Копия_20206[[#This Row],[Units (in 1000)]]&gt;$R$7,Копия_20206[[#This Row],[Units (in 1000)]]&lt;$R$6),"outlier","not outlier")</f>
        <v>not outlier</v>
      </c>
      <c r="K1414" s="4" t="str">
        <f>IF(OR(Копия_20206[[#This Row],[Value (in 1000 rub)]]&gt;$S$7,Копия_20206[[#This Row],[Value (in 1000 rub)]]&lt;$S$6),"outlier","not outlier")</f>
        <v>not outlier</v>
      </c>
      <c r="L1414" s="4" t="str">
        <f>IF(OR(Копия_20206[[#This Row],[Volume (in 1000 kg)]]&gt;$T$7,Копия_20206[[#This Row],[Volume (in 1000 kg)]]&lt;$T$6),"outlier","not outlier")</f>
        <v>not outlier</v>
      </c>
      <c r="M1414" s="4" t="str">
        <f>IF(OR(Копия_20206[[#This Row],[Number of stores]]&gt;$U$7,Копия_20206[[#This Row],[Number of stores]]&lt;$U$6),"outlier","not outlier")</f>
        <v>not outlier</v>
      </c>
    </row>
    <row r="1415" spans="1:13" x14ac:dyDescent="0.25">
      <c r="A1415">
        <v>2022</v>
      </c>
      <c r="B1415">
        <v>11</v>
      </c>
      <c r="C1415" s="1" t="s">
        <v>8</v>
      </c>
      <c r="D1415" s="1" t="s">
        <v>51</v>
      </c>
      <c r="E1415" s="1" t="s">
        <v>21</v>
      </c>
      <c r="F1415" s="5">
        <v>1.3554999999999999</v>
      </c>
      <c r="G1415" s="5">
        <v>43.217829999999999</v>
      </c>
      <c r="H1415" s="5">
        <v>0.33889999999999998</v>
      </c>
      <c r="I1415">
        <v>0</v>
      </c>
      <c r="J1415" s="4" t="str">
        <f>IF(OR(Копия_20206[[#This Row],[Units (in 1000)]]&gt;$R$7,Копия_20206[[#This Row],[Units (in 1000)]]&lt;$R$6),"outlier","not outlier")</f>
        <v>not outlier</v>
      </c>
      <c r="K1415" s="4" t="str">
        <f>IF(OR(Копия_20206[[#This Row],[Value (in 1000 rub)]]&gt;$S$7,Копия_20206[[#This Row],[Value (in 1000 rub)]]&lt;$S$6),"outlier","not outlier")</f>
        <v>not outlier</v>
      </c>
      <c r="L1415" s="4" t="str">
        <f>IF(OR(Копия_20206[[#This Row],[Volume (in 1000 kg)]]&gt;$T$7,Копия_20206[[#This Row],[Volume (in 1000 kg)]]&lt;$T$6),"outlier","not outlier")</f>
        <v>not outlier</v>
      </c>
      <c r="M1415" s="4" t="str">
        <f>IF(OR(Копия_20206[[#This Row],[Number of stores]]&gt;$U$7,Копия_20206[[#This Row],[Number of stores]]&lt;$U$6),"outlier","not outlier")</f>
        <v>not outlier</v>
      </c>
    </row>
    <row r="1416" spans="1:13" x14ac:dyDescent="0.25">
      <c r="A1416">
        <v>2022</v>
      </c>
      <c r="B1416">
        <v>11</v>
      </c>
      <c r="C1416" s="1" t="s">
        <v>25</v>
      </c>
      <c r="D1416" s="1" t="s">
        <v>51</v>
      </c>
      <c r="E1416" s="1" t="s">
        <v>21</v>
      </c>
      <c r="F1416" s="5">
        <v>1.0662</v>
      </c>
      <c r="G1416" s="5">
        <v>94.908581999999996</v>
      </c>
      <c r="H1416" s="5">
        <v>0.2666</v>
      </c>
      <c r="I1416">
        <v>624</v>
      </c>
      <c r="J1416" s="4" t="str">
        <f>IF(OR(Копия_20206[[#This Row],[Units (in 1000)]]&gt;$R$7,Копия_20206[[#This Row],[Units (in 1000)]]&lt;$R$6),"outlier","not outlier")</f>
        <v>not outlier</v>
      </c>
      <c r="K1416" s="4" t="str">
        <f>IF(OR(Копия_20206[[#This Row],[Value (in 1000 rub)]]&gt;$S$7,Копия_20206[[#This Row],[Value (in 1000 rub)]]&lt;$S$6),"outlier","not outlier")</f>
        <v>not outlier</v>
      </c>
      <c r="L1416" s="4" t="str">
        <f>IF(OR(Копия_20206[[#This Row],[Volume (in 1000 kg)]]&gt;$T$7,Копия_20206[[#This Row],[Volume (in 1000 kg)]]&lt;$T$6),"outlier","not outlier")</f>
        <v>not outlier</v>
      </c>
      <c r="M1416" s="4" t="str">
        <f>IF(OR(Копия_20206[[#This Row],[Number of stores]]&gt;$U$7,Копия_20206[[#This Row],[Number of stores]]&lt;$U$6),"outlier","not outlier")</f>
        <v>not outlier</v>
      </c>
    </row>
    <row r="1417" spans="1:13" x14ac:dyDescent="0.25">
      <c r="A1417">
        <v>2022</v>
      </c>
      <c r="B1417">
        <v>12</v>
      </c>
      <c r="C1417" s="1" t="s">
        <v>25</v>
      </c>
      <c r="D1417" s="1" t="s">
        <v>51</v>
      </c>
      <c r="E1417" s="1" t="s">
        <v>21</v>
      </c>
      <c r="F1417" s="5">
        <v>0.98160000000000003</v>
      </c>
      <c r="G1417" s="5">
        <v>92.915289000000001</v>
      </c>
      <c r="H1417" s="5">
        <v>0.24540000000000001</v>
      </c>
      <c r="I1417">
        <v>547</v>
      </c>
      <c r="J1417" s="4" t="str">
        <f>IF(OR(Копия_20206[[#This Row],[Units (in 1000)]]&gt;$R$7,Копия_20206[[#This Row],[Units (in 1000)]]&lt;$R$6),"outlier","not outlier")</f>
        <v>not outlier</v>
      </c>
      <c r="K1417" s="4" t="str">
        <f>IF(OR(Копия_20206[[#This Row],[Value (in 1000 rub)]]&gt;$S$7,Копия_20206[[#This Row],[Value (in 1000 rub)]]&lt;$S$6),"outlier","not outlier")</f>
        <v>not outlier</v>
      </c>
      <c r="L1417" s="4" t="str">
        <f>IF(OR(Копия_20206[[#This Row],[Volume (in 1000 kg)]]&gt;$T$7,Копия_20206[[#This Row],[Volume (in 1000 kg)]]&lt;$T$6),"outlier","not outlier")</f>
        <v>not outlier</v>
      </c>
      <c r="M1417" s="4" t="str">
        <f>IF(OR(Копия_20206[[#This Row],[Number of stores]]&gt;$U$7,Копия_20206[[#This Row],[Number of stores]]&lt;$U$6),"outlier","not outlier")</f>
        <v>not outlier</v>
      </c>
    </row>
    <row r="1418" spans="1:13" x14ac:dyDescent="0.25">
      <c r="A1418">
        <v>2022</v>
      </c>
      <c r="B1418">
        <v>1</v>
      </c>
      <c r="C1418" s="1" t="s">
        <v>8</v>
      </c>
      <c r="D1418" s="1" t="s">
        <v>42</v>
      </c>
      <c r="E1418" s="1" t="s">
        <v>12</v>
      </c>
      <c r="F1418" s="5">
        <v>0.19020000000000001</v>
      </c>
      <c r="G1418" s="5">
        <v>32.450189000000002</v>
      </c>
      <c r="H1418" s="5">
        <v>8.6499999999999994E-2</v>
      </c>
      <c r="I1418">
        <v>0</v>
      </c>
      <c r="J1418" s="4" t="str">
        <f>IF(OR(Копия_20206[[#This Row],[Units (in 1000)]]&gt;$R$7,Копия_20206[[#This Row],[Units (in 1000)]]&lt;$R$6),"outlier","not outlier")</f>
        <v>not outlier</v>
      </c>
      <c r="K1418" s="4" t="str">
        <f>IF(OR(Копия_20206[[#This Row],[Value (in 1000 rub)]]&gt;$S$7,Копия_20206[[#This Row],[Value (in 1000 rub)]]&lt;$S$6),"outlier","not outlier")</f>
        <v>not outlier</v>
      </c>
      <c r="L1418" s="4" t="str">
        <f>IF(OR(Копия_20206[[#This Row],[Volume (in 1000 kg)]]&gt;$T$7,Копия_20206[[#This Row],[Volume (in 1000 kg)]]&lt;$T$6),"outlier","not outlier")</f>
        <v>not outlier</v>
      </c>
      <c r="M1418" s="4" t="str">
        <f>IF(OR(Копия_20206[[#This Row],[Number of stores]]&gt;$U$7,Копия_20206[[#This Row],[Number of stores]]&lt;$U$6),"outlier","not outlier")</f>
        <v>not outlier</v>
      </c>
    </row>
    <row r="1419" spans="1:13" x14ac:dyDescent="0.25">
      <c r="A1419">
        <v>2022</v>
      </c>
      <c r="B1419">
        <v>10</v>
      </c>
      <c r="C1419" s="1" t="s">
        <v>25</v>
      </c>
      <c r="D1419" s="1" t="s">
        <v>52</v>
      </c>
      <c r="E1419" s="1" t="s">
        <v>11</v>
      </c>
      <c r="F1419" s="5">
        <v>0.98880000000000001</v>
      </c>
      <c r="G1419" s="5">
        <v>68.042955000000006</v>
      </c>
      <c r="H1419" s="5">
        <v>0.35599999999999998</v>
      </c>
      <c r="I1419">
        <v>341</v>
      </c>
      <c r="J1419" s="4" t="str">
        <f>IF(OR(Копия_20206[[#This Row],[Units (in 1000)]]&gt;$R$7,Копия_20206[[#This Row],[Units (in 1000)]]&lt;$R$6),"outlier","not outlier")</f>
        <v>not outlier</v>
      </c>
      <c r="K1419" s="4" t="str">
        <f>IF(OR(Копия_20206[[#This Row],[Value (in 1000 rub)]]&gt;$S$7,Копия_20206[[#This Row],[Value (in 1000 rub)]]&lt;$S$6),"outlier","not outlier")</f>
        <v>not outlier</v>
      </c>
      <c r="L1419" s="4" t="str">
        <f>IF(OR(Копия_20206[[#This Row],[Volume (in 1000 kg)]]&gt;$T$7,Копия_20206[[#This Row],[Volume (in 1000 kg)]]&lt;$T$6),"outlier","not outlier")</f>
        <v>not outlier</v>
      </c>
      <c r="M1419" s="4" t="str">
        <f>IF(OR(Копия_20206[[#This Row],[Number of stores]]&gt;$U$7,Копия_20206[[#This Row],[Number of stores]]&lt;$U$6),"outlier","not outlier")</f>
        <v>not outlier</v>
      </c>
    </row>
    <row r="1420" spans="1:13" x14ac:dyDescent="0.25">
      <c r="A1420">
        <v>2022</v>
      </c>
      <c r="B1420">
        <v>11</v>
      </c>
      <c r="C1420" s="1" t="s">
        <v>25</v>
      </c>
      <c r="D1420" s="1" t="s">
        <v>52</v>
      </c>
      <c r="E1420" s="1" t="s">
        <v>11</v>
      </c>
      <c r="F1420" s="5">
        <v>1.3532</v>
      </c>
      <c r="G1420" s="5">
        <v>95.727793000000005</v>
      </c>
      <c r="H1420" s="5">
        <v>0.48720000000000002</v>
      </c>
      <c r="I1420">
        <v>382</v>
      </c>
      <c r="J1420" s="4" t="str">
        <f>IF(OR(Копия_20206[[#This Row],[Units (in 1000)]]&gt;$R$7,Копия_20206[[#This Row],[Units (in 1000)]]&lt;$R$6),"outlier","not outlier")</f>
        <v>not outlier</v>
      </c>
      <c r="K1420" s="4" t="str">
        <f>IF(OR(Копия_20206[[#This Row],[Value (in 1000 rub)]]&gt;$S$7,Копия_20206[[#This Row],[Value (in 1000 rub)]]&lt;$S$6),"outlier","not outlier")</f>
        <v>not outlier</v>
      </c>
      <c r="L1420" s="4" t="str">
        <f>IF(OR(Копия_20206[[#This Row],[Volume (in 1000 kg)]]&gt;$T$7,Копия_20206[[#This Row],[Volume (in 1000 kg)]]&lt;$T$6),"outlier","not outlier")</f>
        <v>not outlier</v>
      </c>
      <c r="M1420" s="4" t="str">
        <f>IF(OR(Копия_20206[[#This Row],[Number of stores]]&gt;$U$7,Копия_20206[[#This Row],[Number of stores]]&lt;$U$6),"outlier","not outlier")</f>
        <v>not outlier</v>
      </c>
    </row>
    <row r="1421" spans="1:13" x14ac:dyDescent="0.25">
      <c r="A1421">
        <v>2022</v>
      </c>
      <c r="B1421">
        <v>1</v>
      </c>
      <c r="C1421" s="1" t="s">
        <v>29</v>
      </c>
      <c r="D1421" s="1" t="s">
        <v>30</v>
      </c>
      <c r="E1421" s="1" t="s">
        <v>18</v>
      </c>
      <c r="F1421" s="5">
        <v>1.1420999999999999</v>
      </c>
      <c r="G1421" s="5">
        <v>359.10961500000002</v>
      </c>
      <c r="H1421" s="5">
        <v>0.217</v>
      </c>
      <c r="I1421">
        <v>112</v>
      </c>
      <c r="J1421" s="4" t="str">
        <f>IF(OR(Копия_20206[[#This Row],[Units (in 1000)]]&gt;$R$7,Копия_20206[[#This Row],[Units (in 1000)]]&lt;$R$6),"outlier","not outlier")</f>
        <v>not outlier</v>
      </c>
      <c r="K1421" s="4" t="str">
        <f>IF(OR(Копия_20206[[#This Row],[Value (in 1000 rub)]]&gt;$S$7,Копия_20206[[#This Row],[Value (in 1000 rub)]]&lt;$S$6),"outlier","not outlier")</f>
        <v>not outlier</v>
      </c>
      <c r="L1421" s="4" t="str">
        <f>IF(OR(Копия_20206[[#This Row],[Volume (in 1000 kg)]]&gt;$T$7,Копия_20206[[#This Row],[Volume (in 1000 kg)]]&lt;$T$6),"outlier","not outlier")</f>
        <v>not outlier</v>
      </c>
      <c r="M1421" s="4" t="str">
        <f>IF(OR(Копия_20206[[#This Row],[Number of stores]]&gt;$U$7,Копия_20206[[#This Row],[Number of stores]]&lt;$U$6),"outlier","not outlier")</f>
        <v>not outlier</v>
      </c>
    </row>
    <row r="1422" spans="1:13" x14ac:dyDescent="0.25">
      <c r="A1422">
        <v>2022</v>
      </c>
      <c r="B1422">
        <v>1</v>
      </c>
      <c r="C1422" s="1" t="s">
        <v>29</v>
      </c>
      <c r="D1422" s="1" t="s">
        <v>30</v>
      </c>
      <c r="E1422" s="1" t="s">
        <v>11</v>
      </c>
      <c r="F1422" s="5">
        <v>1.18E-2</v>
      </c>
      <c r="G1422" s="5">
        <v>5.1717409999999999</v>
      </c>
      <c r="H1422" s="5">
        <v>4.1999999999999997E-3</v>
      </c>
      <c r="I1422">
        <v>5</v>
      </c>
      <c r="J1422" s="4" t="str">
        <f>IF(OR(Копия_20206[[#This Row],[Units (in 1000)]]&gt;$R$7,Копия_20206[[#This Row],[Units (in 1000)]]&lt;$R$6),"outlier","not outlier")</f>
        <v>not outlier</v>
      </c>
      <c r="K1422" s="4" t="str">
        <f>IF(OR(Копия_20206[[#This Row],[Value (in 1000 rub)]]&gt;$S$7,Копия_20206[[#This Row],[Value (in 1000 rub)]]&lt;$S$6),"outlier","not outlier")</f>
        <v>not outlier</v>
      </c>
      <c r="L1422" s="4" t="str">
        <f>IF(OR(Копия_20206[[#This Row],[Volume (in 1000 kg)]]&gt;$T$7,Копия_20206[[#This Row],[Volume (in 1000 kg)]]&lt;$T$6),"outlier","not outlier")</f>
        <v>not outlier</v>
      </c>
      <c r="M1422" s="4" t="str">
        <f>IF(OR(Копия_20206[[#This Row],[Number of stores]]&gt;$U$7,Копия_20206[[#This Row],[Number of stores]]&lt;$U$6),"outlier","not outlier")</f>
        <v>not outlier</v>
      </c>
    </row>
    <row r="1423" spans="1:13" x14ac:dyDescent="0.25">
      <c r="A1423">
        <v>2022</v>
      </c>
      <c r="B1423">
        <v>1</v>
      </c>
      <c r="C1423" s="1" t="s">
        <v>29</v>
      </c>
      <c r="D1423" s="1" t="s">
        <v>30</v>
      </c>
      <c r="E1423" s="1" t="s">
        <v>12</v>
      </c>
      <c r="F1423" s="5">
        <v>6.0299999999999999E-2</v>
      </c>
      <c r="G1423" s="5">
        <v>31.900511999999999</v>
      </c>
      <c r="H1423" s="5">
        <v>3.0200000000000001E-2</v>
      </c>
      <c r="I1423">
        <v>44</v>
      </c>
      <c r="J1423" s="4" t="str">
        <f>IF(OR(Копия_20206[[#This Row],[Units (in 1000)]]&gt;$R$7,Копия_20206[[#This Row],[Units (in 1000)]]&lt;$R$6),"outlier","not outlier")</f>
        <v>not outlier</v>
      </c>
      <c r="K1423" s="4" t="str">
        <f>IF(OR(Копия_20206[[#This Row],[Value (in 1000 rub)]]&gt;$S$7,Копия_20206[[#This Row],[Value (in 1000 rub)]]&lt;$S$6),"outlier","not outlier")</f>
        <v>not outlier</v>
      </c>
      <c r="L1423" s="4" t="str">
        <f>IF(OR(Копия_20206[[#This Row],[Volume (in 1000 kg)]]&gt;$T$7,Копия_20206[[#This Row],[Volume (in 1000 kg)]]&lt;$T$6),"outlier","not outlier")</f>
        <v>not outlier</v>
      </c>
      <c r="M1423" s="4" t="str">
        <f>IF(OR(Копия_20206[[#This Row],[Number of stores]]&gt;$U$7,Копия_20206[[#This Row],[Number of stores]]&lt;$U$6),"outlier","not outlier")</f>
        <v>not outlier</v>
      </c>
    </row>
    <row r="1424" spans="1:13" x14ac:dyDescent="0.25">
      <c r="A1424">
        <v>2022</v>
      </c>
      <c r="B1424">
        <v>2</v>
      </c>
      <c r="C1424" s="1" t="s">
        <v>29</v>
      </c>
      <c r="D1424" s="1" t="s">
        <v>30</v>
      </c>
      <c r="E1424" s="1" t="s">
        <v>18</v>
      </c>
      <c r="F1424" s="5">
        <v>1.3058000000000001</v>
      </c>
      <c r="G1424" s="5">
        <v>401.38802099999998</v>
      </c>
      <c r="H1424" s="5">
        <v>0.24809999999999999</v>
      </c>
      <c r="I1424">
        <v>99</v>
      </c>
      <c r="J1424" s="4" t="str">
        <f>IF(OR(Копия_20206[[#This Row],[Units (in 1000)]]&gt;$R$7,Копия_20206[[#This Row],[Units (in 1000)]]&lt;$R$6),"outlier","not outlier")</f>
        <v>not outlier</v>
      </c>
      <c r="K1424" s="4" t="str">
        <f>IF(OR(Копия_20206[[#This Row],[Value (in 1000 rub)]]&gt;$S$7,Копия_20206[[#This Row],[Value (in 1000 rub)]]&lt;$S$6),"outlier","not outlier")</f>
        <v>not outlier</v>
      </c>
      <c r="L1424" s="4" t="str">
        <f>IF(OR(Копия_20206[[#This Row],[Volume (in 1000 kg)]]&gt;$T$7,Копия_20206[[#This Row],[Volume (in 1000 kg)]]&lt;$T$6),"outlier","not outlier")</f>
        <v>not outlier</v>
      </c>
      <c r="M1424" s="4" t="str">
        <f>IF(OR(Копия_20206[[#This Row],[Number of stores]]&gt;$U$7,Копия_20206[[#This Row],[Number of stores]]&lt;$U$6),"outlier","not outlier")</f>
        <v>not outlier</v>
      </c>
    </row>
    <row r="1425" spans="1:13" x14ac:dyDescent="0.25">
      <c r="A1425">
        <v>2022</v>
      </c>
      <c r="B1425">
        <v>2</v>
      </c>
      <c r="C1425" s="1" t="s">
        <v>29</v>
      </c>
      <c r="D1425" s="1" t="s">
        <v>30</v>
      </c>
      <c r="E1425" s="1" t="s">
        <v>11</v>
      </c>
      <c r="F1425" s="5">
        <v>1.44E-2</v>
      </c>
      <c r="G1425" s="5">
        <v>6.543679</v>
      </c>
      <c r="H1425" s="5">
        <v>5.1000000000000004E-3</v>
      </c>
      <c r="I1425">
        <v>3</v>
      </c>
      <c r="J1425" s="4" t="str">
        <f>IF(OR(Копия_20206[[#This Row],[Units (in 1000)]]&gt;$R$7,Копия_20206[[#This Row],[Units (in 1000)]]&lt;$R$6),"outlier","not outlier")</f>
        <v>not outlier</v>
      </c>
      <c r="K1425" s="4" t="str">
        <f>IF(OR(Копия_20206[[#This Row],[Value (in 1000 rub)]]&gt;$S$7,Копия_20206[[#This Row],[Value (in 1000 rub)]]&lt;$S$6),"outlier","not outlier")</f>
        <v>not outlier</v>
      </c>
      <c r="L1425" s="4" t="str">
        <f>IF(OR(Копия_20206[[#This Row],[Volume (in 1000 kg)]]&gt;$T$7,Копия_20206[[#This Row],[Volume (in 1000 kg)]]&lt;$T$6),"outlier","not outlier")</f>
        <v>not outlier</v>
      </c>
      <c r="M1425" s="4" t="str">
        <f>IF(OR(Копия_20206[[#This Row],[Number of stores]]&gt;$U$7,Копия_20206[[#This Row],[Number of stores]]&lt;$U$6),"outlier","not outlier")</f>
        <v>not outlier</v>
      </c>
    </row>
    <row r="1426" spans="1:13" x14ac:dyDescent="0.25">
      <c r="A1426">
        <v>2022</v>
      </c>
      <c r="B1426">
        <v>2</v>
      </c>
      <c r="C1426" s="1" t="s">
        <v>29</v>
      </c>
      <c r="D1426" s="1" t="s">
        <v>30</v>
      </c>
      <c r="E1426" s="1" t="s">
        <v>12</v>
      </c>
      <c r="F1426" s="5">
        <v>8.6900000000000005E-2</v>
      </c>
      <c r="G1426" s="5">
        <v>46.111162</v>
      </c>
      <c r="H1426" s="5">
        <v>4.3499999999999997E-2</v>
      </c>
      <c r="I1426">
        <v>42</v>
      </c>
      <c r="J1426" s="4" t="str">
        <f>IF(OR(Копия_20206[[#This Row],[Units (in 1000)]]&gt;$R$7,Копия_20206[[#This Row],[Units (in 1000)]]&lt;$R$6),"outlier","not outlier")</f>
        <v>not outlier</v>
      </c>
      <c r="K1426" s="4" t="str">
        <f>IF(OR(Копия_20206[[#This Row],[Value (in 1000 rub)]]&gt;$S$7,Копия_20206[[#This Row],[Value (in 1000 rub)]]&lt;$S$6),"outlier","not outlier")</f>
        <v>not outlier</v>
      </c>
      <c r="L1426" s="4" t="str">
        <f>IF(OR(Копия_20206[[#This Row],[Volume (in 1000 kg)]]&gt;$T$7,Копия_20206[[#This Row],[Volume (in 1000 kg)]]&lt;$T$6),"outlier","not outlier")</f>
        <v>not outlier</v>
      </c>
      <c r="M1426" s="4" t="str">
        <f>IF(OR(Копия_20206[[#This Row],[Number of stores]]&gt;$U$7,Копия_20206[[#This Row],[Number of stores]]&lt;$U$6),"outlier","not outlier")</f>
        <v>not outlier</v>
      </c>
    </row>
    <row r="1427" spans="1:13" x14ac:dyDescent="0.25">
      <c r="A1427">
        <v>2022</v>
      </c>
      <c r="B1427">
        <v>3</v>
      </c>
      <c r="C1427" s="1" t="s">
        <v>29</v>
      </c>
      <c r="D1427" s="1" t="s">
        <v>30</v>
      </c>
      <c r="E1427" s="1" t="s">
        <v>18</v>
      </c>
      <c r="F1427" s="5">
        <v>2.2362000000000002</v>
      </c>
      <c r="G1427" s="5">
        <v>709.715146</v>
      </c>
      <c r="H1427" s="5">
        <v>0.42480000000000001</v>
      </c>
      <c r="I1427">
        <v>116</v>
      </c>
      <c r="J1427" s="4" t="str">
        <f>IF(OR(Копия_20206[[#This Row],[Units (in 1000)]]&gt;$R$7,Копия_20206[[#This Row],[Units (in 1000)]]&lt;$R$6),"outlier","not outlier")</f>
        <v>not outlier</v>
      </c>
      <c r="K1427" s="4" t="str">
        <f>IF(OR(Копия_20206[[#This Row],[Value (in 1000 rub)]]&gt;$S$7,Копия_20206[[#This Row],[Value (in 1000 rub)]]&lt;$S$6),"outlier","not outlier")</f>
        <v>not outlier</v>
      </c>
      <c r="L1427" s="4" t="str">
        <f>IF(OR(Копия_20206[[#This Row],[Volume (in 1000 kg)]]&gt;$T$7,Копия_20206[[#This Row],[Volume (in 1000 kg)]]&lt;$T$6),"outlier","not outlier")</f>
        <v>not outlier</v>
      </c>
      <c r="M1427" s="4" t="str">
        <f>IF(OR(Копия_20206[[#This Row],[Number of stores]]&gt;$U$7,Копия_20206[[#This Row],[Number of stores]]&lt;$U$6),"outlier","not outlier")</f>
        <v>not outlier</v>
      </c>
    </row>
    <row r="1428" spans="1:13" x14ac:dyDescent="0.25">
      <c r="A1428">
        <v>2022</v>
      </c>
      <c r="B1428">
        <v>3</v>
      </c>
      <c r="C1428" s="1" t="s">
        <v>29</v>
      </c>
      <c r="D1428" s="1" t="s">
        <v>30</v>
      </c>
      <c r="E1428" s="1" t="s">
        <v>11</v>
      </c>
      <c r="F1428" s="5">
        <v>5.0999999999999997E-2</v>
      </c>
      <c r="G1428" s="5">
        <v>22.146691000000001</v>
      </c>
      <c r="H1428" s="5">
        <v>1.7999999999999999E-2</v>
      </c>
      <c r="I1428">
        <v>6</v>
      </c>
      <c r="J1428" s="4" t="str">
        <f>IF(OR(Копия_20206[[#This Row],[Units (in 1000)]]&gt;$R$7,Копия_20206[[#This Row],[Units (in 1000)]]&lt;$R$6),"outlier","not outlier")</f>
        <v>not outlier</v>
      </c>
      <c r="K1428" s="4" t="str">
        <f>IF(OR(Копия_20206[[#This Row],[Value (in 1000 rub)]]&gt;$S$7,Копия_20206[[#This Row],[Value (in 1000 rub)]]&lt;$S$6),"outlier","not outlier")</f>
        <v>not outlier</v>
      </c>
      <c r="L1428" s="4" t="str">
        <f>IF(OR(Копия_20206[[#This Row],[Volume (in 1000 kg)]]&gt;$T$7,Копия_20206[[#This Row],[Volume (in 1000 kg)]]&lt;$T$6),"outlier","not outlier")</f>
        <v>not outlier</v>
      </c>
      <c r="M1428" s="4" t="str">
        <f>IF(OR(Копия_20206[[#This Row],[Number of stores]]&gt;$U$7,Копия_20206[[#This Row],[Number of stores]]&lt;$U$6),"outlier","not outlier")</f>
        <v>not outlier</v>
      </c>
    </row>
    <row r="1429" spans="1:13" x14ac:dyDescent="0.25">
      <c r="A1429">
        <v>2022</v>
      </c>
      <c r="B1429">
        <v>3</v>
      </c>
      <c r="C1429" s="1" t="s">
        <v>29</v>
      </c>
      <c r="D1429" s="1" t="s">
        <v>30</v>
      </c>
      <c r="E1429" s="1" t="s">
        <v>12</v>
      </c>
      <c r="F1429" s="5">
        <v>0.16880000000000001</v>
      </c>
      <c r="G1429" s="5">
        <v>88.881426000000005</v>
      </c>
      <c r="H1429" s="5">
        <v>8.4400000000000003E-2</v>
      </c>
      <c r="I1429">
        <v>64</v>
      </c>
      <c r="J1429" s="4" t="str">
        <f>IF(OR(Копия_20206[[#This Row],[Units (in 1000)]]&gt;$R$7,Копия_20206[[#This Row],[Units (in 1000)]]&lt;$R$6),"outlier","not outlier")</f>
        <v>not outlier</v>
      </c>
      <c r="K1429" s="4" t="str">
        <f>IF(OR(Копия_20206[[#This Row],[Value (in 1000 rub)]]&gt;$S$7,Копия_20206[[#This Row],[Value (in 1000 rub)]]&lt;$S$6),"outlier","not outlier")</f>
        <v>not outlier</v>
      </c>
      <c r="L1429" s="4" t="str">
        <f>IF(OR(Копия_20206[[#This Row],[Volume (in 1000 kg)]]&gt;$T$7,Копия_20206[[#This Row],[Volume (in 1000 kg)]]&lt;$T$6),"outlier","not outlier")</f>
        <v>not outlier</v>
      </c>
      <c r="M1429" s="4" t="str">
        <f>IF(OR(Копия_20206[[#This Row],[Number of stores]]&gt;$U$7,Копия_20206[[#This Row],[Number of stores]]&lt;$U$6),"outlier","not outlier")</f>
        <v>not outlier</v>
      </c>
    </row>
    <row r="1430" spans="1:13" x14ac:dyDescent="0.25">
      <c r="A1430">
        <v>2022</v>
      </c>
      <c r="B1430">
        <v>4</v>
      </c>
      <c r="C1430" s="1" t="s">
        <v>29</v>
      </c>
      <c r="D1430" s="1" t="s">
        <v>30</v>
      </c>
      <c r="E1430" s="1" t="s">
        <v>18</v>
      </c>
      <c r="F1430" s="5">
        <v>2.2896999999999998</v>
      </c>
      <c r="G1430" s="5">
        <v>723.54970800000001</v>
      </c>
      <c r="H1430" s="5">
        <v>0.435</v>
      </c>
      <c r="I1430">
        <v>122</v>
      </c>
      <c r="J1430" s="4" t="str">
        <f>IF(OR(Копия_20206[[#This Row],[Units (in 1000)]]&gt;$R$7,Копия_20206[[#This Row],[Units (in 1000)]]&lt;$R$6),"outlier","not outlier")</f>
        <v>not outlier</v>
      </c>
      <c r="K1430" s="4" t="str">
        <f>IF(OR(Копия_20206[[#This Row],[Value (in 1000 rub)]]&gt;$S$7,Копия_20206[[#This Row],[Value (in 1000 rub)]]&lt;$S$6),"outlier","not outlier")</f>
        <v>not outlier</v>
      </c>
      <c r="L1430" s="4" t="str">
        <f>IF(OR(Копия_20206[[#This Row],[Volume (in 1000 kg)]]&gt;$T$7,Копия_20206[[#This Row],[Volume (in 1000 kg)]]&lt;$T$6),"outlier","not outlier")</f>
        <v>not outlier</v>
      </c>
      <c r="M1430" s="4" t="str">
        <f>IF(OR(Копия_20206[[#This Row],[Number of stores]]&gt;$U$7,Копия_20206[[#This Row],[Number of stores]]&lt;$U$6),"outlier","not outlier")</f>
        <v>not outlier</v>
      </c>
    </row>
    <row r="1431" spans="1:13" x14ac:dyDescent="0.25">
      <c r="A1431">
        <v>2022</v>
      </c>
      <c r="B1431">
        <v>4</v>
      </c>
      <c r="C1431" s="1" t="s">
        <v>29</v>
      </c>
      <c r="D1431" s="1" t="s">
        <v>30</v>
      </c>
      <c r="E1431" s="1" t="s">
        <v>11</v>
      </c>
      <c r="F1431" s="5">
        <v>2.4E-2</v>
      </c>
      <c r="G1431" s="5">
        <v>10.674282</v>
      </c>
      <c r="H1431" s="5">
        <v>8.6E-3</v>
      </c>
      <c r="I1431">
        <v>6</v>
      </c>
      <c r="J1431" s="4" t="str">
        <f>IF(OR(Копия_20206[[#This Row],[Units (in 1000)]]&gt;$R$7,Копия_20206[[#This Row],[Units (in 1000)]]&lt;$R$6),"outlier","not outlier")</f>
        <v>not outlier</v>
      </c>
      <c r="K1431" s="4" t="str">
        <f>IF(OR(Копия_20206[[#This Row],[Value (in 1000 rub)]]&gt;$S$7,Копия_20206[[#This Row],[Value (in 1000 rub)]]&lt;$S$6),"outlier","not outlier")</f>
        <v>not outlier</v>
      </c>
      <c r="L1431" s="4" t="str">
        <f>IF(OR(Копия_20206[[#This Row],[Volume (in 1000 kg)]]&gt;$T$7,Копия_20206[[#This Row],[Volume (in 1000 kg)]]&lt;$T$6),"outlier","not outlier")</f>
        <v>not outlier</v>
      </c>
      <c r="M1431" s="4" t="str">
        <f>IF(OR(Копия_20206[[#This Row],[Number of stores]]&gt;$U$7,Копия_20206[[#This Row],[Number of stores]]&lt;$U$6),"outlier","not outlier")</f>
        <v>not outlier</v>
      </c>
    </row>
    <row r="1432" spans="1:13" x14ac:dyDescent="0.25">
      <c r="A1432">
        <v>2022</v>
      </c>
      <c r="B1432">
        <v>4</v>
      </c>
      <c r="C1432" s="1" t="s">
        <v>29</v>
      </c>
      <c r="D1432" s="1" t="s">
        <v>30</v>
      </c>
      <c r="E1432" s="1" t="s">
        <v>12</v>
      </c>
      <c r="F1432" s="5">
        <v>0.1361</v>
      </c>
      <c r="G1432" s="5">
        <v>71.973048000000006</v>
      </c>
      <c r="H1432" s="5">
        <v>6.8000000000000005E-2</v>
      </c>
      <c r="I1432">
        <v>52</v>
      </c>
      <c r="J1432" s="4" t="str">
        <f>IF(OR(Копия_20206[[#This Row],[Units (in 1000)]]&gt;$R$7,Копия_20206[[#This Row],[Units (in 1000)]]&lt;$R$6),"outlier","not outlier")</f>
        <v>not outlier</v>
      </c>
      <c r="K1432" s="4" t="str">
        <f>IF(OR(Копия_20206[[#This Row],[Value (in 1000 rub)]]&gt;$S$7,Копия_20206[[#This Row],[Value (in 1000 rub)]]&lt;$S$6),"outlier","not outlier")</f>
        <v>not outlier</v>
      </c>
      <c r="L1432" s="4" t="str">
        <f>IF(OR(Копия_20206[[#This Row],[Volume (in 1000 kg)]]&gt;$T$7,Копия_20206[[#This Row],[Volume (in 1000 kg)]]&lt;$T$6),"outlier","not outlier")</f>
        <v>not outlier</v>
      </c>
      <c r="M1432" s="4" t="str">
        <f>IF(OR(Копия_20206[[#This Row],[Number of stores]]&gt;$U$7,Копия_20206[[#This Row],[Number of stores]]&lt;$U$6),"outlier","not outlier")</f>
        <v>not outlier</v>
      </c>
    </row>
    <row r="1433" spans="1:13" x14ac:dyDescent="0.25">
      <c r="A1433">
        <v>2022</v>
      </c>
      <c r="B1433">
        <v>5</v>
      </c>
      <c r="C1433" s="1" t="s">
        <v>29</v>
      </c>
      <c r="D1433" s="1" t="s">
        <v>30</v>
      </c>
      <c r="E1433" s="1" t="s">
        <v>18</v>
      </c>
      <c r="F1433" s="5">
        <v>1.5366</v>
      </c>
      <c r="G1433" s="5">
        <v>489.37299000000002</v>
      </c>
      <c r="H1433" s="5">
        <v>0.29189999999999999</v>
      </c>
      <c r="I1433">
        <v>121</v>
      </c>
      <c r="J1433" s="4" t="str">
        <f>IF(OR(Копия_20206[[#This Row],[Units (in 1000)]]&gt;$R$7,Копия_20206[[#This Row],[Units (in 1000)]]&lt;$R$6),"outlier","not outlier")</f>
        <v>not outlier</v>
      </c>
      <c r="K1433" s="4" t="str">
        <f>IF(OR(Копия_20206[[#This Row],[Value (in 1000 rub)]]&gt;$S$7,Копия_20206[[#This Row],[Value (in 1000 rub)]]&lt;$S$6),"outlier","not outlier")</f>
        <v>not outlier</v>
      </c>
      <c r="L1433" s="4" t="str">
        <f>IF(OR(Копия_20206[[#This Row],[Volume (in 1000 kg)]]&gt;$T$7,Копия_20206[[#This Row],[Volume (in 1000 kg)]]&lt;$T$6),"outlier","not outlier")</f>
        <v>not outlier</v>
      </c>
      <c r="M1433" s="4" t="str">
        <f>IF(OR(Копия_20206[[#This Row],[Number of stores]]&gt;$U$7,Копия_20206[[#This Row],[Number of stores]]&lt;$U$6),"outlier","not outlier")</f>
        <v>not outlier</v>
      </c>
    </row>
    <row r="1434" spans="1:13" x14ac:dyDescent="0.25">
      <c r="A1434">
        <v>2022</v>
      </c>
      <c r="B1434">
        <v>5</v>
      </c>
      <c r="C1434" s="1" t="s">
        <v>29</v>
      </c>
      <c r="D1434" s="1" t="s">
        <v>30</v>
      </c>
      <c r="E1434" s="1" t="s">
        <v>11</v>
      </c>
      <c r="F1434" s="5">
        <v>2.53E-2</v>
      </c>
      <c r="G1434" s="5">
        <v>11.949414000000001</v>
      </c>
      <c r="H1434" s="5">
        <v>8.9999999999999993E-3</v>
      </c>
      <c r="I1434">
        <v>6</v>
      </c>
      <c r="J1434" s="4" t="str">
        <f>IF(OR(Копия_20206[[#This Row],[Units (in 1000)]]&gt;$R$7,Копия_20206[[#This Row],[Units (in 1000)]]&lt;$R$6),"outlier","not outlier")</f>
        <v>not outlier</v>
      </c>
      <c r="K1434" s="4" t="str">
        <f>IF(OR(Копия_20206[[#This Row],[Value (in 1000 rub)]]&gt;$S$7,Копия_20206[[#This Row],[Value (in 1000 rub)]]&lt;$S$6),"outlier","not outlier")</f>
        <v>not outlier</v>
      </c>
      <c r="L1434" s="4" t="str">
        <f>IF(OR(Копия_20206[[#This Row],[Volume (in 1000 kg)]]&gt;$T$7,Копия_20206[[#This Row],[Volume (in 1000 kg)]]&lt;$T$6),"outlier","not outlier")</f>
        <v>not outlier</v>
      </c>
      <c r="M1434" s="4" t="str">
        <f>IF(OR(Копия_20206[[#This Row],[Number of stores]]&gt;$U$7,Копия_20206[[#This Row],[Number of stores]]&lt;$U$6),"outlier","not outlier")</f>
        <v>not outlier</v>
      </c>
    </row>
    <row r="1435" spans="1:13" x14ac:dyDescent="0.25">
      <c r="A1435">
        <v>2022</v>
      </c>
      <c r="B1435">
        <v>5</v>
      </c>
      <c r="C1435" s="1" t="s">
        <v>29</v>
      </c>
      <c r="D1435" s="1" t="s">
        <v>30</v>
      </c>
      <c r="E1435" s="1" t="s">
        <v>12</v>
      </c>
      <c r="F1435" s="5">
        <v>9.0899999999999995E-2</v>
      </c>
      <c r="G1435" s="5">
        <v>47.841617999999997</v>
      </c>
      <c r="H1435" s="5">
        <v>4.5499999999999999E-2</v>
      </c>
      <c r="I1435">
        <v>52</v>
      </c>
      <c r="J1435" s="4" t="str">
        <f>IF(OR(Копия_20206[[#This Row],[Units (in 1000)]]&gt;$R$7,Копия_20206[[#This Row],[Units (in 1000)]]&lt;$R$6),"outlier","not outlier")</f>
        <v>not outlier</v>
      </c>
      <c r="K1435" s="4" t="str">
        <f>IF(OR(Копия_20206[[#This Row],[Value (in 1000 rub)]]&gt;$S$7,Копия_20206[[#This Row],[Value (in 1000 rub)]]&lt;$S$6),"outlier","not outlier")</f>
        <v>not outlier</v>
      </c>
      <c r="L1435" s="4" t="str">
        <f>IF(OR(Копия_20206[[#This Row],[Volume (in 1000 kg)]]&gt;$T$7,Копия_20206[[#This Row],[Volume (in 1000 kg)]]&lt;$T$6),"outlier","not outlier")</f>
        <v>not outlier</v>
      </c>
      <c r="M1435" s="4" t="str">
        <f>IF(OR(Копия_20206[[#This Row],[Number of stores]]&gt;$U$7,Копия_20206[[#This Row],[Number of stores]]&lt;$U$6),"outlier","not outlier")</f>
        <v>not outlier</v>
      </c>
    </row>
    <row r="1436" spans="1:13" x14ac:dyDescent="0.25">
      <c r="A1436">
        <v>2022</v>
      </c>
      <c r="B1436">
        <v>6</v>
      </c>
      <c r="C1436" s="1" t="s">
        <v>29</v>
      </c>
      <c r="D1436" s="1" t="s">
        <v>30</v>
      </c>
      <c r="E1436" s="1" t="s">
        <v>18</v>
      </c>
      <c r="F1436" s="5">
        <v>1.1775</v>
      </c>
      <c r="G1436" s="5">
        <v>383.185945</v>
      </c>
      <c r="H1436" s="5">
        <v>0.22370000000000001</v>
      </c>
      <c r="I1436">
        <v>106</v>
      </c>
      <c r="J1436" s="4" t="str">
        <f>IF(OR(Копия_20206[[#This Row],[Units (in 1000)]]&gt;$R$7,Копия_20206[[#This Row],[Units (in 1000)]]&lt;$R$6),"outlier","not outlier")</f>
        <v>not outlier</v>
      </c>
      <c r="K1436" s="4" t="str">
        <f>IF(OR(Копия_20206[[#This Row],[Value (in 1000 rub)]]&gt;$S$7,Копия_20206[[#This Row],[Value (in 1000 rub)]]&lt;$S$6),"outlier","not outlier")</f>
        <v>not outlier</v>
      </c>
      <c r="L1436" s="4" t="str">
        <f>IF(OR(Копия_20206[[#This Row],[Volume (in 1000 kg)]]&gt;$T$7,Копия_20206[[#This Row],[Volume (in 1000 kg)]]&lt;$T$6),"outlier","not outlier")</f>
        <v>not outlier</v>
      </c>
      <c r="M1436" s="4" t="str">
        <f>IF(OR(Копия_20206[[#This Row],[Number of stores]]&gt;$U$7,Копия_20206[[#This Row],[Number of stores]]&lt;$U$6),"outlier","not outlier")</f>
        <v>not outlier</v>
      </c>
    </row>
    <row r="1437" spans="1:13" x14ac:dyDescent="0.25">
      <c r="A1437">
        <v>2022</v>
      </c>
      <c r="B1437">
        <v>6</v>
      </c>
      <c r="C1437" s="1" t="s">
        <v>29</v>
      </c>
      <c r="D1437" s="1" t="s">
        <v>30</v>
      </c>
      <c r="E1437" s="1" t="s">
        <v>11</v>
      </c>
      <c r="F1437" s="5">
        <v>1.41E-2</v>
      </c>
      <c r="G1437" s="5">
        <v>6.649438</v>
      </c>
      <c r="H1437" s="5">
        <v>4.8999999999999998E-3</v>
      </c>
      <c r="I1437">
        <v>4</v>
      </c>
      <c r="J1437" s="4" t="str">
        <f>IF(OR(Копия_20206[[#This Row],[Units (in 1000)]]&gt;$R$7,Копия_20206[[#This Row],[Units (in 1000)]]&lt;$R$6),"outlier","not outlier")</f>
        <v>not outlier</v>
      </c>
      <c r="K1437" s="4" t="str">
        <f>IF(OR(Копия_20206[[#This Row],[Value (in 1000 rub)]]&gt;$S$7,Копия_20206[[#This Row],[Value (in 1000 rub)]]&lt;$S$6),"outlier","not outlier")</f>
        <v>not outlier</v>
      </c>
      <c r="L1437" s="4" t="str">
        <f>IF(OR(Копия_20206[[#This Row],[Volume (in 1000 kg)]]&gt;$T$7,Копия_20206[[#This Row],[Volume (in 1000 kg)]]&lt;$T$6),"outlier","not outlier")</f>
        <v>not outlier</v>
      </c>
      <c r="M1437" s="4" t="str">
        <f>IF(OR(Копия_20206[[#This Row],[Number of stores]]&gt;$U$7,Копия_20206[[#This Row],[Number of stores]]&lt;$U$6),"outlier","not outlier")</f>
        <v>not outlier</v>
      </c>
    </row>
    <row r="1438" spans="1:13" x14ac:dyDescent="0.25">
      <c r="A1438">
        <v>2022</v>
      </c>
      <c r="B1438">
        <v>6</v>
      </c>
      <c r="C1438" s="1" t="s">
        <v>29</v>
      </c>
      <c r="D1438" s="1" t="s">
        <v>30</v>
      </c>
      <c r="E1438" s="1" t="s">
        <v>12</v>
      </c>
      <c r="F1438" s="5">
        <v>4.6399999999999997E-2</v>
      </c>
      <c r="G1438" s="5">
        <v>24.763261</v>
      </c>
      <c r="H1438" s="5">
        <v>2.3199999999999998E-2</v>
      </c>
      <c r="I1438">
        <v>37</v>
      </c>
      <c r="J1438" s="4" t="str">
        <f>IF(OR(Копия_20206[[#This Row],[Units (in 1000)]]&gt;$R$7,Копия_20206[[#This Row],[Units (in 1000)]]&lt;$R$6),"outlier","not outlier")</f>
        <v>not outlier</v>
      </c>
      <c r="K1438" s="4" t="str">
        <f>IF(OR(Копия_20206[[#This Row],[Value (in 1000 rub)]]&gt;$S$7,Копия_20206[[#This Row],[Value (in 1000 rub)]]&lt;$S$6),"outlier","not outlier")</f>
        <v>not outlier</v>
      </c>
      <c r="L1438" s="4" t="str">
        <f>IF(OR(Копия_20206[[#This Row],[Volume (in 1000 kg)]]&gt;$T$7,Копия_20206[[#This Row],[Volume (in 1000 kg)]]&lt;$T$6),"outlier","not outlier")</f>
        <v>not outlier</v>
      </c>
      <c r="M1438" s="4" t="str">
        <f>IF(OR(Копия_20206[[#This Row],[Number of stores]]&gt;$U$7,Копия_20206[[#This Row],[Number of stores]]&lt;$U$6),"outlier","not outlier")</f>
        <v>not outlier</v>
      </c>
    </row>
    <row r="1439" spans="1:13" x14ac:dyDescent="0.25">
      <c r="A1439">
        <v>2022</v>
      </c>
      <c r="B1439">
        <v>7</v>
      </c>
      <c r="C1439" s="1" t="s">
        <v>29</v>
      </c>
      <c r="D1439" s="1" t="s">
        <v>30</v>
      </c>
      <c r="E1439" s="1" t="s">
        <v>18</v>
      </c>
      <c r="F1439" s="5">
        <v>0.97009999999999996</v>
      </c>
      <c r="G1439" s="5">
        <v>318.702764</v>
      </c>
      <c r="H1439" s="5">
        <v>0.18429999999999999</v>
      </c>
      <c r="I1439">
        <v>99</v>
      </c>
      <c r="J1439" s="4" t="str">
        <f>IF(OR(Копия_20206[[#This Row],[Units (in 1000)]]&gt;$R$7,Копия_20206[[#This Row],[Units (in 1000)]]&lt;$R$6),"outlier","not outlier")</f>
        <v>not outlier</v>
      </c>
      <c r="K1439" s="4" t="str">
        <f>IF(OR(Копия_20206[[#This Row],[Value (in 1000 rub)]]&gt;$S$7,Копия_20206[[#This Row],[Value (in 1000 rub)]]&lt;$S$6),"outlier","not outlier")</f>
        <v>not outlier</v>
      </c>
      <c r="L1439" s="4" t="str">
        <f>IF(OR(Копия_20206[[#This Row],[Volume (in 1000 kg)]]&gt;$T$7,Копия_20206[[#This Row],[Volume (in 1000 kg)]]&lt;$T$6),"outlier","not outlier")</f>
        <v>not outlier</v>
      </c>
      <c r="M1439" s="4" t="str">
        <f>IF(OR(Копия_20206[[#This Row],[Number of stores]]&gt;$U$7,Копия_20206[[#This Row],[Number of stores]]&lt;$U$6),"outlier","not outlier")</f>
        <v>not outlier</v>
      </c>
    </row>
    <row r="1440" spans="1:13" x14ac:dyDescent="0.25">
      <c r="A1440">
        <v>2022</v>
      </c>
      <c r="B1440">
        <v>7</v>
      </c>
      <c r="C1440" s="1" t="s">
        <v>29</v>
      </c>
      <c r="D1440" s="1" t="s">
        <v>30</v>
      </c>
      <c r="E1440" s="1" t="s">
        <v>11</v>
      </c>
      <c r="F1440" s="5">
        <v>7.7000000000000002E-3</v>
      </c>
      <c r="G1440" s="5">
        <v>3.731573</v>
      </c>
      <c r="H1440" s="5">
        <v>2.7000000000000001E-3</v>
      </c>
      <c r="I1440">
        <v>3</v>
      </c>
      <c r="J1440" s="4" t="str">
        <f>IF(OR(Копия_20206[[#This Row],[Units (in 1000)]]&gt;$R$7,Копия_20206[[#This Row],[Units (in 1000)]]&lt;$R$6),"outlier","not outlier")</f>
        <v>not outlier</v>
      </c>
      <c r="K1440" s="4" t="str">
        <f>IF(OR(Копия_20206[[#This Row],[Value (in 1000 rub)]]&gt;$S$7,Копия_20206[[#This Row],[Value (in 1000 rub)]]&lt;$S$6),"outlier","not outlier")</f>
        <v>not outlier</v>
      </c>
      <c r="L1440" s="4" t="str">
        <f>IF(OR(Копия_20206[[#This Row],[Volume (in 1000 kg)]]&gt;$T$7,Копия_20206[[#This Row],[Volume (in 1000 kg)]]&lt;$T$6),"outlier","not outlier")</f>
        <v>not outlier</v>
      </c>
      <c r="M1440" s="4" t="str">
        <f>IF(OR(Копия_20206[[#This Row],[Number of stores]]&gt;$U$7,Копия_20206[[#This Row],[Number of stores]]&lt;$U$6),"outlier","not outlier")</f>
        <v>not outlier</v>
      </c>
    </row>
    <row r="1441" spans="1:13" x14ac:dyDescent="0.25">
      <c r="A1441">
        <v>2022</v>
      </c>
      <c r="B1441">
        <v>7</v>
      </c>
      <c r="C1441" s="1" t="s">
        <v>29</v>
      </c>
      <c r="D1441" s="1" t="s">
        <v>30</v>
      </c>
      <c r="E1441" s="1" t="s">
        <v>12</v>
      </c>
      <c r="F1441" s="5">
        <v>4.1799999999999997E-2</v>
      </c>
      <c r="G1441" s="5">
        <v>22.339708000000002</v>
      </c>
      <c r="H1441" s="5">
        <v>2.1000000000000001E-2</v>
      </c>
      <c r="I1441">
        <v>36</v>
      </c>
      <c r="J1441" s="4" t="str">
        <f>IF(OR(Копия_20206[[#This Row],[Units (in 1000)]]&gt;$R$7,Копия_20206[[#This Row],[Units (in 1000)]]&lt;$R$6),"outlier","not outlier")</f>
        <v>not outlier</v>
      </c>
      <c r="K1441" s="4" t="str">
        <f>IF(OR(Копия_20206[[#This Row],[Value (in 1000 rub)]]&gt;$S$7,Копия_20206[[#This Row],[Value (in 1000 rub)]]&lt;$S$6),"outlier","not outlier")</f>
        <v>not outlier</v>
      </c>
      <c r="L1441" s="4" t="str">
        <f>IF(OR(Копия_20206[[#This Row],[Volume (in 1000 kg)]]&gt;$T$7,Копия_20206[[#This Row],[Volume (in 1000 kg)]]&lt;$T$6),"outlier","not outlier")</f>
        <v>not outlier</v>
      </c>
      <c r="M1441" s="4" t="str">
        <f>IF(OR(Копия_20206[[#This Row],[Number of stores]]&gt;$U$7,Копия_20206[[#This Row],[Number of stores]]&lt;$U$6),"outlier","not outlier")</f>
        <v>not outlier</v>
      </c>
    </row>
    <row r="1442" spans="1:13" x14ac:dyDescent="0.25">
      <c r="A1442">
        <v>2022</v>
      </c>
      <c r="B1442">
        <v>8</v>
      </c>
      <c r="C1442" s="1" t="s">
        <v>29</v>
      </c>
      <c r="D1442" s="1" t="s">
        <v>30</v>
      </c>
      <c r="E1442" s="1" t="s">
        <v>18</v>
      </c>
      <c r="F1442" s="5">
        <v>1.0411999999999999</v>
      </c>
      <c r="G1442" s="5">
        <v>345.81836499999997</v>
      </c>
      <c r="H1442" s="5">
        <v>0.1978</v>
      </c>
      <c r="I1442">
        <v>106</v>
      </c>
      <c r="J1442" s="4" t="str">
        <f>IF(OR(Копия_20206[[#This Row],[Units (in 1000)]]&gt;$R$7,Копия_20206[[#This Row],[Units (in 1000)]]&lt;$R$6),"outlier","not outlier")</f>
        <v>not outlier</v>
      </c>
      <c r="K1442" s="4" t="str">
        <f>IF(OR(Копия_20206[[#This Row],[Value (in 1000 rub)]]&gt;$S$7,Копия_20206[[#This Row],[Value (in 1000 rub)]]&lt;$S$6),"outlier","not outlier")</f>
        <v>not outlier</v>
      </c>
      <c r="L1442" s="4" t="str">
        <f>IF(OR(Копия_20206[[#This Row],[Volume (in 1000 kg)]]&gt;$T$7,Копия_20206[[#This Row],[Volume (in 1000 kg)]]&lt;$T$6),"outlier","not outlier")</f>
        <v>not outlier</v>
      </c>
      <c r="M1442" s="4" t="str">
        <f>IF(OR(Копия_20206[[#This Row],[Number of stores]]&gt;$U$7,Копия_20206[[#This Row],[Number of stores]]&lt;$U$6),"outlier","not outlier")</f>
        <v>not outlier</v>
      </c>
    </row>
    <row r="1443" spans="1:13" x14ac:dyDescent="0.25">
      <c r="A1443">
        <v>2022</v>
      </c>
      <c r="B1443">
        <v>8</v>
      </c>
      <c r="C1443" s="1" t="s">
        <v>29</v>
      </c>
      <c r="D1443" s="1" t="s">
        <v>30</v>
      </c>
      <c r="E1443" s="1" t="s">
        <v>11</v>
      </c>
      <c r="F1443" s="5">
        <v>2.0199999999999999E-2</v>
      </c>
      <c r="G1443" s="5">
        <v>9.1996350000000007</v>
      </c>
      <c r="H1443" s="5">
        <v>7.1999999999999998E-3</v>
      </c>
      <c r="I1443">
        <v>7</v>
      </c>
      <c r="J1443" s="4" t="str">
        <f>IF(OR(Копия_20206[[#This Row],[Units (in 1000)]]&gt;$R$7,Копия_20206[[#This Row],[Units (in 1000)]]&lt;$R$6),"outlier","not outlier")</f>
        <v>not outlier</v>
      </c>
      <c r="K1443" s="4" t="str">
        <f>IF(OR(Копия_20206[[#This Row],[Value (in 1000 rub)]]&gt;$S$7,Копия_20206[[#This Row],[Value (in 1000 rub)]]&lt;$S$6),"outlier","not outlier")</f>
        <v>not outlier</v>
      </c>
      <c r="L1443" s="4" t="str">
        <f>IF(OR(Копия_20206[[#This Row],[Volume (in 1000 kg)]]&gt;$T$7,Копия_20206[[#This Row],[Volume (in 1000 kg)]]&lt;$T$6),"outlier","not outlier")</f>
        <v>not outlier</v>
      </c>
      <c r="M1443" s="4" t="str">
        <f>IF(OR(Копия_20206[[#This Row],[Number of stores]]&gt;$U$7,Копия_20206[[#This Row],[Number of stores]]&lt;$U$6),"outlier","not outlier")</f>
        <v>not outlier</v>
      </c>
    </row>
    <row r="1444" spans="1:13" x14ac:dyDescent="0.25">
      <c r="A1444">
        <v>2022</v>
      </c>
      <c r="B1444">
        <v>8</v>
      </c>
      <c r="C1444" s="1" t="s">
        <v>29</v>
      </c>
      <c r="D1444" s="1" t="s">
        <v>30</v>
      </c>
      <c r="E1444" s="1" t="s">
        <v>12</v>
      </c>
      <c r="F1444" s="5">
        <v>3.7499999999999999E-2</v>
      </c>
      <c r="G1444" s="5">
        <v>20.010375</v>
      </c>
      <c r="H1444" s="5">
        <v>1.8800000000000001E-2</v>
      </c>
      <c r="I1444">
        <v>35</v>
      </c>
      <c r="J1444" s="4" t="str">
        <f>IF(OR(Копия_20206[[#This Row],[Units (in 1000)]]&gt;$R$7,Копия_20206[[#This Row],[Units (in 1000)]]&lt;$R$6),"outlier","not outlier")</f>
        <v>not outlier</v>
      </c>
      <c r="K1444" s="4" t="str">
        <f>IF(OR(Копия_20206[[#This Row],[Value (in 1000 rub)]]&gt;$S$7,Копия_20206[[#This Row],[Value (in 1000 rub)]]&lt;$S$6),"outlier","not outlier")</f>
        <v>not outlier</v>
      </c>
      <c r="L1444" s="4" t="str">
        <f>IF(OR(Копия_20206[[#This Row],[Volume (in 1000 kg)]]&gt;$T$7,Копия_20206[[#This Row],[Volume (in 1000 kg)]]&lt;$T$6),"outlier","not outlier")</f>
        <v>not outlier</v>
      </c>
      <c r="M1444" s="4" t="str">
        <f>IF(OR(Копия_20206[[#This Row],[Number of stores]]&gt;$U$7,Копия_20206[[#This Row],[Number of stores]]&lt;$U$6),"outlier","not outlier")</f>
        <v>not outlier</v>
      </c>
    </row>
    <row r="1445" spans="1:13" x14ac:dyDescent="0.25">
      <c r="A1445">
        <v>2022</v>
      </c>
      <c r="B1445">
        <v>9</v>
      </c>
      <c r="C1445" s="1" t="s">
        <v>29</v>
      </c>
      <c r="D1445" s="1" t="s">
        <v>30</v>
      </c>
      <c r="E1445" s="1" t="s">
        <v>18</v>
      </c>
      <c r="F1445" s="5">
        <v>1.1708000000000001</v>
      </c>
      <c r="G1445" s="5">
        <v>382.11987599999998</v>
      </c>
      <c r="H1445" s="5">
        <v>0.2225</v>
      </c>
      <c r="I1445">
        <v>101</v>
      </c>
      <c r="J1445" s="4" t="str">
        <f>IF(OR(Копия_20206[[#This Row],[Units (in 1000)]]&gt;$R$7,Копия_20206[[#This Row],[Units (in 1000)]]&lt;$R$6),"outlier","not outlier")</f>
        <v>not outlier</v>
      </c>
      <c r="K1445" s="4" t="str">
        <f>IF(OR(Копия_20206[[#This Row],[Value (in 1000 rub)]]&gt;$S$7,Копия_20206[[#This Row],[Value (in 1000 rub)]]&lt;$S$6),"outlier","not outlier")</f>
        <v>not outlier</v>
      </c>
      <c r="L1445" s="4" t="str">
        <f>IF(OR(Копия_20206[[#This Row],[Volume (in 1000 kg)]]&gt;$T$7,Копия_20206[[#This Row],[Volume (in 1000 kg)]]&lt;$T$6),"outlier","not outlier")</f>
        <v>not outlier</v>
      </c>
      <c r="M1445" s="4" t="str">
        <f>IF(OR(Копия_20206[[#This Row],[Number of stores]]&gt;$U$7,Копия_20206[[#This Row],[Number of stores]]&lt;$U$6),"outlier","not outlier")</f>
        <v>not outlier</v>
      </c>
    </row>
    <row r="1446" spans="1:13" x14ac:dyDescent="0.25">
      <c r="A1446">
        <v>2022</v>
      </c>
      <c r="B1446">
        <v>9</v>
      </c>
      <c r="C1446" s="1" t="s">
        <v>29</v>
      </c>
      <c r="D1446" s="1" t="s">
        <v>30</v>
      </c>
      <c r="E1446" s="1" t="s">
        <v>11</v>
      </c>
      <c r="F1446" s="5">
        <v>1.41E-2</v>
      </c>
      <c r="G1446" s="5">
        <v>6.9241440000000001</v>
      </c>
      <c r="H1446" s="5">
        <v>5.0000000000000001E-3</v>
      </c>
      <c r="I1446">
        <v>6</v>
      </c>
      <c r="J1446" s="4" t="str">
        <f>IF(OR(Копия_20206[[#This Row],[Units (in 1000)]]&gt;$R$7,Копия_20206[[#This Row],[Units (in 1000)]]&lt;$R$6),"outlier","not outlier")</f>
        <v>not outlier</v>
      </c>
      <c r="K1446" s="4" t="str">
        <f>IF(OR(Копия_20206[[#This Row],[Value (in 1000 rub)]]&gt;$S$7,Копия_20206[[#This Row],[Value (in 1000 rub)]]&lt;$S$6),"outlier","not outlier")</f>
        <v>not outlier</v>
      </c>
      <c r="L1446" s="4" t="str">
        <f>IF(OR(Копия_20206[[#This Row],[Volume (in 1000 kg)]]&gt;$T$7,Копия_20206[[#This Row],[Volume (in 1000 kg)]]&lt;$T$6),"outlier","not outlier")</f>
        <v>not outlier</v>
      </c>
      <c r="M1446" s="4" t="str">
        <f>IF(OR(Копия_20206[[#This Row],[Number of stores]]&gt;$U$7,Копия_20206[[#This Row],[Number of stores]]&lt;$U$6),"outlier","not outlier")</f>
        <v>not outlier</v>
      </c>
    </row>
    <row r="1447" spans="1:13" x14ac:dyDescent="0.25">
      <c r="A1447">
        <v>2022</v>
      </c>
      <c r="B1447">
        <v>9</v>
      </c>
      <c r="C1447" s="1" t="s">
        <v>29</v>
      </c>
      <c r="D1447" s="1" t="s">
        <v>30</v>
      </c>
      <c r="E1447" s="1" t="s">
        <v>12</v>
      </c>
      <c r="F1447" s="5">
        <v>3.8100000000000002E-2</v>
      </c>
      <c r="G1447" s="5">
        <v>20.303315999999999</v>
      </c>
      <c r="H1447" s="5">
        <v>1.9E-2</v>
      </c>
      <c r="I1447">
        <v>28</v>
      </c>
      <c r="J1447" s="4" t="str">
        <f>IF(OR(Копия_20206[[#This Row],[Units (in 1000)]]&gt;$R$7,Копия_20206[[#This Row],[Units (in 1000)]]&lt;$R$6),"outlier","not outlier")</f>
        <v>not outlier</v>
      </c>
      <c r="K1447" s="4" t="str">
        <f>IF(OR(Копия_20206[[#This Row],[Value (in 1000 rub)]]&gt;$S$7,Копия_20206[[#This Row],[Value (in 1000 rub)]]&lt;$S$6),"outlier","not outlier")</f>
        <v>not outlier</v>
      </c>
      <c r="L1447" s="4" t="str">
        <f>IF(OR(Копия_20206[[#This Row],[Volume (in 1000 kg)]]&gt;$T$7,Копия_20206[[#This Row],[Volume (in 1000 kg)]]&lt;$T$6),"outlier","not outlier")</f>
        <v>not outlier</v>
      </c>
      <c r="M1447" s="4" t="str">
        <f>IF(OR(Копия_20206[[#This Row],[Number of stores]]&gt;$U$7,Копия_20206[[#This Row],[Number of stores]]&lt;$U$6),"outlier","not outlier")</f>
        <v>not outlier</v>
      </c>
    </row>
    <row r="1448" spans="1:13" x14ac:dyDescent="0.25">
      <c r="A1448">
        <v>2022</v>
      </c>
      <c r="B1448">
        <v>10</v>
      </c>
      <c r="C1448" s="1" t="s">
        <v>29</v>
      </c>
      <c r="D1448" s="1" t="s">
        <v>30</v>
      </c>
      <c r="E1448" s="1" t="s">
        <v>18</v>
      </c>
      <c r="F1448" s="5">
        <v>1.0773999999999999</v>
      </c>
      <c r="G1448" s="5">
        <v>357.692522</v>
      </c>
      <c r="H1448" s="5">
        <v>0.2046</v>
      </c>
      <c r="I1448">
        <v>103</v>
      </c>
      <c r="J1448" s="4" t="str">
        <f>IF(OR(Копия_20206[[#This Row],[Units (in 1000)]]&gt;$R$7,Копия_20206[[#This Row],[Units (in 1000)]]&lt;$R$6),"outlier","not outlier")</f>
        <v>not outlier</v>
      </c>
      <c r="K1448" s="4" t="str">
        <f>IF(OR(Копия_20206[[#This Row],[Value (in 1000 rub)]]&gt;$S$7,Копия_20206[[#This Row],[Value (in 1000 rub)]]&lt;$S$6),"outlier","not outlier")</f>
        <v>not outlier</v>
      </c>
      <c r="L1448" s="4" t="str">
        <f>IF(OR(Копия_20206[[#This Row],[Volume (in 1000 kg)]]&gt;$T$7,Копия_20206[[#This Row],[Volume (in 1000 kg)]]&lt;$T$6),"outlier","not outlier")</f>
        <v>not outlier</v>
      </c>
      <c r="M1448" s="4" t="str">
        <f>IF(OR(Копия_20206[[#This Row],[Number of stores]]&gt;$U$7,Копия_20206[[#This Row],[Number of stores]]&lt;$U$6),"outlier","not outlier")</f>
        <v>not outlier</v>
      </c>
    </row>
    <row r="1449" spans="1:13" x14ac:dyDescent="0.25">
      <c r="A1449">
        <v>2022</v>
      </c>
      <c r="B1449">
        <v>10</v>
      </c>
      <c r="C1449" s="1" t="s">
        <v>29</v>
      </c>
      <c r="D1449" s="1" t="s">
        <v>30</v>
      </c>
      <c r="E1449" s="1" t="s">
        <v>11</v>
      </c>
      <c r="F1449" s="5">
        <v>1.4500000000000001E-2</v>
      </c>
      <c r="G1449" s="5">
        <v>6.7097100000000003</v>
      </c>
      <c r="H1449" s="5">
        <v>5.1999999999999998E-3</v>
      </c>
      <c r="I1449">
        <v>5</v>
      </c>
      <c r="J1449" s="4" t="str">
        <f>IF(OR(Копия_20206[[#This Row],[Units (in 1000)]]&gt;$R$7,Копия_20206[[#This Row],[Units (in 1000)]]&lt;$R$6),"outlier","not outlier")</f>
        <v>not outlier</v>
      </c>
      <c r="K1449" s="4" t="str">
        <f>IF(OR(Копия_20206[[#This Row],[Value (in 1000 rub)]]&gt;$S$7,Копия_20206[[#This Row],[Value (in 1000 rub)]]&lt;$S$6),"outlier","not outlier")</f>
        <v>not outlier</v>
      </c>
      <c r="L1449" s="4" t="str">
        <f>IF(OR(Копия_20206[[#This Row],[Volume (in 1000 kg)]]&gt;$T$7,Копия_20206[[#This Row],[Volume (in 1000 kg)]]&lt;$T$6),"outlier","not outlier")</f>
        <v>not outlier</v>
      </c>
      <c r="M1449" s="4" t="str">
        <f>IF(OR(Копия_20206[[#This Row],[Number of stores]]&gt;$U$7,Копия_20206[[#This Row],[Number of stores]]&lt;$U$6),"outlier","not outlier")</f>
        <v>not outlier</v>
      </c>
    </row>
    <row r="1450" spans="1:13" x14ac:dyDescent="0.25">
      <c r="A1450">
        <v>2022</v>
      </c>
      <c r="B1450">
        <v>10</v>
      </c>
      <c r="C1450" s="1" t="s">
        <v>29</v>
      </c>
      <c r="D1450" s="1" t="s">
        <v>30</v>
      </c>
      <c r="E1450" s="1" t="s">
        <v>12</v>
      </c>
      <c r="F1450" s="5">
        <v>5.2200000000000003E-2</v>
      </c>
      <c r="G1450" s="5">
        <v>27.388981000000001</v>
      </c>
      <c r="H1450" s="5">
        <v>2.6100000000000002E-2</v>
      </c>
      <c r="I1450">
        <v>39</v>
      </c>
      <c r="J1450" s="4" t="str">
        <f>IF(OR(Копия_20206[[#This Row],[Units (in 1000)]]&gt;$R$7,Копия_20206[[#This Row],[Units (in 1000)]]&lt;$R$6),"outlier","not outlier")</f>
        <v>not outlier</v>
      </c>
      <c r="K1450" s="4" t="str">
        <f>IF(OR(Копия_20206[[#This Row],[Value (in 1000 rub)]]&gt;$S$7,Копия_20206[[#This Row],[Value (in 1000 rub)]]&lt;$S$6),"outlier","not outlier")</f>
        <v>not outlier</v>
      </c>
      <c r="L1450" s="4" t="str">
        <f>IF(OR(Копия_20206[[#This Row],[Volume (in 1000 kg)]]&gt;$T$7,Копия_20206[[#This Row],[Volume (in 1000 kg)]]&lt;$T$6),"outlier","not outlier")</f>
        <v>not outlier</v>
      </c>
      <c r="M1450" s="4" t="str">
        <f>IF(OR(Копия_20206[[#This Row],[Number of stores]]&gt;$U$7,Копия_20206[[#This Row],[Number of stores]]&lt;$U$6),"outlier","not outlier")</f>
        <v>not outlier</v>
      </c>
    </row>
    <row r="1451" spans="1:13" x14ac:dyDescent="0.25">
      <c r="A1451">
        <v>2022</v>
      </c>
      <c r="B1451">
        <v>11</v>
      </c>
      <c r="C1451" s="1" t="s">
        <v>29</v>
      </c>
      <c r="D1451" s="1" t="s">
        <v>30</v>
      </c>
      <c r="E1451" s="1" t="s">
        <v>18</v>
      </c>
      <c r="F1451" s="5">
        <v>1.2791999999999999</v>
      </c>
      <c r="G1451" s="5">
        <v>430.25821300000001</v>
      </c>
      <c r="H1451" s="5">
        <v>0.24310000000000001</v>
      </c>
      <c r="I1451">
        <v>102</v>
      </c>
      <c r="J1451" s="4" t="str">
        <f>IF(OR(Копия_20206[[#This Row],[Units (in 1000)]]&gt;$R$7,Копия_20206[[#This Row],[Units (in 1000)]]&lt;$R$6),"outlier","not outlier")</f>
        <v>not outlier</v>
      </c>
      <c r="K1451" s="4" t="str">
        <f>IF(OR(Копия_20206[[#This Row],[Value (in 1000 rub)]]&gt;$S$7,Копия_20206[[#This Row],[Value (in 1000 rub)]]&lt;$S$6),"outlier","not outlier")</f>
        <v>not outlier</v>
      </c>
      <c r="L1451" s="4" t="str">
        <f>IF(OR(Копия_20206[[#This Row],[Volume (in 1000 kg)]]&gt;$T$7,Копия_20206[[#This Row],[Volume (in 1000 kg)]]&lt;$T$6),"outlier","not outlier")</f>
        <v>not outlier</v>
      </c>
      <c r="M1451" s="4" t="str">
        <f>IF(OR(Копия_20206[[#This Row],[Number of stores]]&gt;$U$7,Копия_20206[[#This Row],[Number of stores]]&lt;$U$6),"outlier","not outlier")</f>
        <v>not outlier</v>
      </c>
    </row>
    <row r="1452" spans="1:13" x14ac:dyDescent="0.25">
      <c r="A1452">
        <v>2022</v>
      </c>
      <c r="B1452">
        <v>11</v>
      </c>
      <c r="C1452" s="1" t="s">
        <v>29</v>
      </c>
      <c r="D1452" s="1" t="s">
        <v>30</v>
      </c>
      <c r="E1452" s="1" t="s">
        <v>11</v>
      </c>
      <c r="F1452" s="5">
        <v>1.66E-2</v>
      </c>
      <c r="G1452" s="5">
        <v>7.83141</v>
      </c>
      <c r="H1452" s="5">
        <v>5.7999999999999996E-3</v>
      </c>
      <c r="I1452">
        <v>6</v>
      </c>
      <c r="J1452" s="4" t="str">
        <f>IF(OR(Копия_20206[[#This Row],[Units (in 1000)]]&gt;$R$7,Копия_20206[[#This Row],[Units (in 1000)]]&lt;$R$6),"outlier","not outlier")</f>
        <v>not outlier</v>
      </c>
      <c r="K1452" s="4" t="str">
        <f>IF(OR(Копия_20206[[#This Row],[Value (in 1000 rub)]]&gt;$S$7,Копия_20206[[#This Row],[Value (in 1000 rub)]]&lt;$S$6),"outlier","not outlier")</f>
        <v>not outlier</v>
      </c>
      <c r="L1452" s="4" t="str">
        <f>IF(OR(Копия_20206[[#This Row],[Volume (in 1000 kg)]]&gt;$T$7,Копия_20206[[#This Row],[Volume (in 1000 kg)]]&lt;$T$6),"outlier","not outlier")</f>
        <v>not outlier</v>
      </c>
      <c r="M1452" s="4" t="str">
        <f>IF(OR(Копия_20206[[#This Row],[Number of stores]]&gt;$U$7,Копия_20206[[#This Row],[Number of stores]]&lt;$U$6),"outlier","not outlier")</f>
        <v>not outlier</v>
      </c>
    </row>
    <row r="1453" spans="1:13" x14ac:dyDescent="0.25">
      <c r="A1453">
        <v>2022</v>
      </c>
      <c r="B1453">
        <v>11</v>
      </c>
      <c r="C1453" s="1" t="s">
        <v>29</v>
      </c>
      <c r="D1453" s="1" t="s">
        <v>30</v>
      </c>
      <c r="E1453" s="1" t="s">
        <v>12</v>
      </c>
      <c r="F1453" s="5">
        <v>5.4600000000000003E-2</v>
      </c>
      <c r="G1453" s="5">
        <v>29.143439000000001</v>
      </c>
      <c r="H1453" s="5">
        <v>2.7300000000000001E-2</v>
      </c>
      <c r="I1453">
        <v>42</v>
      </c>
      <c r="J1453" s="4" t="str">
        <f>IF(OR(Копия_20206[[#This Row],[Units (in 1000)]]&gt;$R$7,Копия_20206[[#This Row],[Units (in 1000)]]&lt;$R$6),"outlier","not outlier")</f>
        <v>not outlier</v>
      </c>
      <c r="K1453" s="4" t="str">
        <f>IF(OR(Копия_20206[[#This Row],[Value (in 1000 rub)]]&gt;$S$7,Копия_20206[[#This Row],[Value (in 1000 rub)]]&lt;$S$6),"outlier","not outlier")</f>
        <v>not outlier</v>
      </c>
      <c r="L1453" s="4" t="str">
        <f>IF(OR(Копия_20206[[#This Row],[Volume (in 1000 kg)]]&gt;$T$7,Копия_20206[[#This Row],[Volume (in 1000 kg)]]&lt;$T$6),"outlier","not outlier")</f>
        <v>not outlier</v>
      </c>
      <c r="M1453" s="4" t="str">
        <f>IF(OR(Копия_20206[[#This Row],[Number of stores]]&gt;$U$7,Копия_20206[[#This Row],[Number of stores]]&lt;$U$6),"outlier","not outlier")</f>
        <v>not outlier</v>
      </c>
    </row>
    <row r="1454" spans="1:13" x14ac:dyDescent="0.25">
      <c r="A1454">
        <v>2022</v>
      </c>
      <c r="B1454">
        <v>12</v>
      </c>
      <c r="C1454" s="1" t="s">
        <v>29</v>
      </c>
      <c r="D1454" s="1" t="s">
        <v>30</v>
      </c>
      <c r="E1454" s="1" t="s">
        <v>18</v>
      </c>
      <c r="F1454" s="5">
        <v>1.3492</v>
      </c>
      <c r="G1454" s="5">
        <v>434.61664400000001</v>
      </c>
      <c r="H1454" s="5">
        <v>0.25629999999999997</v>
      </c>
      <c r="I1454">
        <v>108</v>
      </c>
      <c r="J1454" s="4" t="str">
        <f>IF(OR(Копия_20206[[#This Row],[Units (in 1000)]]&gt;$R$7,Копия_20206[[#This Row],[Units (in 1000)]]&lt;$R$6),"outlier","not outlier")</f>
        <v>not outlier</v>
      </c>
      <c r="K1454" s="4" t="str">
        <f>IF(OR(Копия_20206[[#This Row],[Value (in 1000 rub)]]&gt;$S$7,Копия_20206[[#This Row],[Value (in 1000 rub)]]&lt;$S$6),"outlier","not outlier")</f>
        <v>not outlier</v>
      </c>
      <c r="L1454" s="4" t="str">
        <f>IF(OR(Копия_20206[[#This Row],[Volume (in 1000 kg)]]&gt;$T$7,Копия_20206[[#This Row],[Volume (in 1000 kg)]]&lt;$T$6),"outlier","not outlier")</f>
        <v>not outlier</v>
      </c>
      <c r="M1454" s="4" t="str">
        <f>IF(OR(Копия_20206[[#This Row],[Number of stores]]&gt;$U$7,Копия_20206[[#This Row],[Number of stores]]&lt;$U$6),"outlier","not outlier")</f>
        <v>not outlier</v>
      </c>
    </row>
    <row r="1455" spans="1:13" x14ac:dyDescent="0.25">
      <c r="A1455">
        <v>2022</v>
      </c>
      <c r="B1455">
        <v>12</v>
      </c>
      <c r="C1455" s="1" t="s">
        <v>29</v>
      </c>
      <c r="D1455" s="1" t="s">
        <v>30</v>
      </c>
      <c r="E1455" s="1" t="s">
        <v>11</v>
      </c>
      <c r="F1455" s="5">
        <v>1.2999999999999999E-2</v>
      </c>
      <c r="G1455" s="5">
        <v>6.659516</v>
      </c>
      <c r="H1455" s="5">
        <v>4.4999999999999997E-3</v>
      </c>
      <c r="I1455">
        <v>4</v>
      </c>
      <c r="J1455" s="4" t="str">
        <f>IF(OR(Копия_20206[[#This Row],[Units (in 1000)]]&gt;$R$7,Копия_20206[[#This Row],[Units (in 1000)]]&lt;$R$6),"outlier","not outlier")</f>
        <v>not outlier</v>
      </c>
      <c r="K1455" s="4" t="str">
        <f>IF(OR(Копия_20206[[#This Row],[Value (in 1000 rub)]]&gt;$S$7,Копия_20206[[#This Row],[Value (in 1000 rub)]]&lt;$S$6),"outlier","not outlier")</f>
        <v>not outlier</v>
      </c>
      <c r="L1455" s="4" t="str">
        <f>IF(OR(Копия_20206[[#This Row],[Volume (in 1000 kg)]]&gt;$T$7,Копия_20206[[#This Row],[Volume (in 1000 kg)]]&lt;$T$6),"outlier","not outlier")</f>
        <v>not outlier</v>
      </c>
      <c r="M1455" s="4" t="str">
        <f>IF(OR(Копия_20206[[#This Row],[Number of stores]]&gt;$U$7,Копия_20206[[#This Row],[Number of stores]]&lt;$U$6),"outlier","not outlier")</f>
        <v>not outlier</v>
      </c>
    </row>
    <row r="1456" spans="1:13" x14ac:dyDescent="0.25">
      <c r="A1456">
        <v>2022</v>
      </c>
      <c r="B1456">
        <v>12</v>
      </c>
      <c r="C1456" s="1" t="s">
        <v>29</v>
      </c>
      <c r="D1456" s="1" t="s">
        <v>30</v>
      </c>
      <c r="E1456" s="1" t="s">
        <v>12</v>
      </c>
      <c r="F1456" s="5">
        <v>5.74E-2</v>
      </c>
      <c r="G1456" s="5">
        <v>30.069205</v>
      </c>
      <c r="H1456" s="5">
        <v>2.87E-2</v>
      </c>
      <c r="I1456">
        <v>43</v>
      </c>
      <c r="J1456" s="4" t="str">
        <f>IF(OR(Копия_20206[[#This Row],[Units (in 1000)]]&gt;$R$7,Копия_20206[[#This Row],[Units (in 1000)]]&lt;$R$6),"outlier","not outlier")</f>
        <v>not outlier</v>
      </c>
      <c r="K1456" s="4" t="str">
        <f>IF(OR(Копия_20206[[#This Row],[Value (in 1000 rub)]]&gt;$S$7,Копия_20206[[#This Row],[Value (in 1000 rub)]]&lt;$S$6),"outlier","not outlier")</f>
        <v>not outlier</v>
      </c>
      <c r="L1456" s="4" t="str">
        <f>IF(OR(Копия_20206[[#This Row],[Volume (in 1000 kg)]]&gt;$T$7,Копия_20206[[#This Row],[Volume (in 1000 kg)]]&lt;$T$6),"outlier","not outlier")</f>
        <v>not outlier</v>
      </c>
      <c r="M1456" s="4" t="str">
        <f>IF(OR(Копия_20206[[#This Row],[Number of stores]]&gt;$U$7,Копия_20206[[#This Row],[Number of stores]]&lt;$U$6),"outlier","not outlier")</f>
        <v>not outlier</v>
      </c>
    </row>
    <row r="1457" spans="1:13" x14ac:dyDescent="0.25">
      <c r="A1457">
        <v>2022</v>
      </c>
      <c r="B1457">
        <v>3</v>
      </c>
      <c r="C1457" s="1" t="s">
        <v>29</v>
      </c>
      <c r="D1457" s="1" t="s">
        <v>33</v>
      </c>
      <c r="E1457" s="1" t="s">
        <v>11</v>
      </c>
      <c r="F1457" s="5">
        <v>0.4466</v>
      </c>
      <c r="G1457" s="5">
        <v>200.89193399999999</v>
      </c>
      <c r="H1457" s="5">
        <v>0.15629999999999999</v>
      </c>
      <c r="I1457">
        <v>0</v>
      </c>
      <c r="J1457" s="4" t="str">
        <f>IF(OR(Копия_20206[[#This Row],[Units (in 1000)]]&gt;$R$7,Копия_20206[[#This Row],[Units (in 1000)]]&lt;$R$6),"outlier","not outlier")</f>
        <v>not outlier</v>
      </c>
      <c r="K1457" s="4" t="str">
        <f>IF(OR(Копия_20206[[#This Row],[Value (in 1000 rub)]]&gt;$S$7,Копия_20206[[#This Row],[Value (in 1000 rub)]]&lt;$S$6),"outlier","not outlier")</f>
        <v>not outlier</v>
      </c>
      <c r="L1457" s="4" t="str">
        <f>IF(OR(Копия_20206[[#This Row],[Volume (in 1000 kg)]]&gt;$T$7,Копия_20206[[#This Row],[Volume (in 1000 kg)]]&lt;$T$6),"outlier","not outlier")</f>
        <v>not outlier</v>
      </c>
      <c r="M1457" s="4" t="str">
        <f>IF(OR(Копия_20206[[#This Row],[Number of stores]]&gt;$U$7,Копия_20206[[#This Row],[Number of stores]]&lt;$U$6),"outlier","not outlier")</f>
        <v>not outlier</v>
      </c>
    </row>
    <row r="1458" spans="1:13" x14ac:dyDescent="0.25">
      <c r="A1458">
        <v>2022</v>
      </c>
      <c r="B1458">
        <v>3</v>
      </c>
      <c r="C1458" s="1" t="s">
        <v>29</v>
      </c>
      <c r="D1458" s="1" t="s">
        <v>33</v>
      </c>
      <c r="E1458" s="1" t="s">
        <v>12</v>
      </c>
      <c r="F1458" s="5">
        <v>0.53059999999999996</v>
      </c>
      <c r="G1458" s="5">
        <v>290.884253</v>
      </c>
      <c r="H1458" s="5">
        <v>0.22289999999999999</v>
      </c>
      <c r="I1458">
        <v>0</v>
      </c>
      <c r="J1458" s="4" t="str">
        <f>IF(OR(Копия_20206[[#This Row],[Units (in 1000)]]&gt;$R$7,Копия_20206[[#This Row],[Units (in 1000)]]&lt;$R$6),"outlier","not outlier")</f>
        <v>not outlier</v>
      </c>
      <c r="K1458" s="4" t="str">
        <f>IF(OR(Копия_20206[[#This Row],[Value (in 1000 rub)]]&gt;$S$7,Копия_20206[[#This Row],[Value (in 1000 rub)]]&lt;$S$6),"outlier","not outlier")</f>
        <v>not outlier</v>
      </c>
      <c r="L1458" s="4" t="str">
        <f>IF(OR(Копия_20206[[#This Row],[Volume (in 1000 kg)]]&gt;$T$7,Копия_20206[[#This Row],[Volume (in 1000 kg)]]&lt;$T$6),"outlier","not outlier")</f>
        <v>not outlier</v>
      </c>
      <c r="M1458" s="4" t="str">
        <f>IF(OR(Копия_20206[[#This Row],[Number of stores]]&gt;$U$7,Копия_20206[[#This Row],[Number of stores]]&lt;$U$6),"outlier","not outlier")</f>
        <v>not outlier</v>
      </c>
    </row>
    <row r="1459" spans="1:13" x14ac:dyDescent="0.25">
      <c r="A1459">
        <v>2022</v>
      </c>
      <c r="B1459">
        <v>4</v>
      </c>
      <c r="C1459" s="1" t="s">
        <v>29</v>
      </c>
      <c r="D1459" s="1" t="s">
        <v>33</v>
      </c>
      <c r="E1459" s="1" t="s">
        <v>11</v>
      </c>
      <c r="F1459" s="5">
        <v>0.434</v>
      </c>
      <c r="G1459" s="5">
        <v>183.83927399999999</v>
      </c>
      <c r="H1459" s="5">
        <v>0.15190000000000001</v>
      </c>
      <c r="I1459">
        <v>0</v>
      </c>
      <c r="J1459" s="4" t="str">
        <f>IF(OR(Копия_20206[[#This Row],[Units (in 1000)]]&gt;$R$7,Копия_20206[[#This Row],[Units (in 1000)]]&lt;$R$6),"outlier","not outlier")</f>
        <v>not outlier</v>
      </c>
      <c r="K1459" s="4" t="str">
        <f>IF(OR(Копия_20206[[#This Row],[Value (in 1000 rub)]]&gt;$S$7,Копия_20206[[#This Row],[Value (in 1000 rub)]]&lt;$S$6),"outlier","not outlier")</f>
        <v>not outlier</v>
      </c>
      <c r="L1459" s="4" t="str">
        <f>IF(OR(Копия_20206[[#This Row],[Volume (in 1000 kg)]]&gt;$T$7,Копия_20206[[#This Row],[Volume (in 1000 kg)]]&lt;$T$6),"outlier","not outlier")</f>
        <v>not outlier</v>
      </c>
      <c r="M1459" s="4" t="str">
        <f>IF(OR(Копия_20206[[#This Row],[Number of stores]]&gt;$U$7,Копия_20206[[#This Row],[Number of stores]]&lt;$U$6),"outlier","not outlier")</f>
        <v>not outlier</v>
      </c>
    </row>
    <row r="1460" spans="1:13" x14ac:dyDescent="0.25">
      <c r="A1460">
        <v>2022</v>
      </c>
      <c r="B1460">
        <v>4</v>
      </c>
      <c r="C1460" s="1" t="s">
        <v>29</v>
      </c>
      <c r="D1460" s="1" t="s">
        <v>33</v>
      </c>
      <c r="E1460" s="1" t="s">
        <v>12</v>
      </c>
      <c r="F1460" s="5">
        <v>0.5333</v>
      </c>
      <c r="G1460" s="5">
        <v>288.943805</v>
      </c>
      <c r="H1460" s="5">
        <v>0.224</v>
      </c>
      <c r="I1460">
        <v>0</v>
      </c>
      <c r="J1460" s="4" t="str">
        <f>IF(OR(Копия_20206[[#This Row],[Units (in 1000)]]&gt;$R$7,Копия_20206[[#This Row],[Units (in 1000)]]&lt;$R$6),"outlier","not outlier")</f>
        <v>not outlier</v>
      </c>
      <c r="K1460" s="4" t="str">
        <f>IF(OR(Копия_20206[[#This Row],[Value (in 1000 rub)]]&gt;$S$7,Копия_20206[[#This Row],[Value (in 1000 rub)]]&lt;$S$6),"outlier","not outlier")</f>
        <v>not outlier</v>
      </c>
      <c r="L1460" s="4" t="str">
        <f>IF(OR(Копия_20206[[#This Row],[Volume (in 1000 kg)]]&gt;$T$7,Копия_20206[[#This Row],[Volume (in 1000 kg)]]&lt;$T$6),"outlier","not outlier")</f>
        <v>not outlier</v>
      </c>
      <c r="M1460" s="4" t="str">
        <f>IF(OR(Копия_20206[[#This Row],[Number of stores]]&gt;$U$7,Копия_20206[[#This Row],[Number of stores]]&lt;$U$6),"outlier","not outlier")</f>
        <v>not outlier</v>
      </c>
    </row>
    <row r="1461" spans="1:13" x14ac:dyDescent="0.25">
      <c r="A1461">
        <v>2022</v>
      </c>
      <c r="B1461">
        <v>5</v>
      </c>
      <c r="C1461" s="1" t="s">
        <v>29</v>
      </c>
      <c r="D1461" s="1" t="s">
        <v>33</v>
      </c>
      <c r="E1461" s="1" t="s">
        <v>11</v>
      </c>
      <c r="F1461" s="5">
        <v>0.45429999999999998</v>
      </c>
      <c r="G1461" s="5">
        <v>194.672956</v>
      </c>
      <c r="H1461" s="5">
        <v>0.159</v>
      </c>
      <c r="I1461">
        <v>0</v>
      </c>
      <c r="J1461" s="4" t="str">
        <f>IF(OR(Копия_20206[[#This Row],[Units (in 1000)]]&gt;$R$7,Копия_20206[[#This Row],[Units (in 1000)]]&lt;$R$6),"outlier","not outlier")</f>
        <v>not outlier</v>
      </c>
      <c r="K1461" s="4" t="str">
        <f>IF(OR(Копия_20206[[#This Row],[Value (in 1000 rub)]]&gt;$S$7,Копия_20206[[#This Row],[Value (in 1000 rub)]]&lt;$S$6),"outlier","not outlier")</f>
        <v>not outlier</v>
      </c>
      <c r="L1461" s="4" t="str">
        <f>IF(OR(Копия_20206[[#This Row],[Volume (in 1000 kg)]]&gt;$T$7,Копия_20206[[#This Row],[Volume (in 1000 kg)]]&lt;$T$6),"outlier","not outlier")</f>
        <v>not outlier</v>
      </c>
      <c r="M1461" s="4" t="str">
        <f>IF(OR(Копия_20206[[#This Row],[Number of stores]]&gt;$U$7,Копия_20206[[#This Row],[Number of stores]]&lt;$U$6),"outlier","not outlier")</f>
        <v>not outlier</v>
      </c>
    </row>
    <row r="1462" spans="1:13" x14ac:dyDescent="0.25">
      <c r="A1462">
        <v>2022</v>
      </c>
      <c r="B1462">
        <v>5</v>
      </c>
      <c r="C1462" s="1" t="s">
        <v>29</v>
      </c>
      <c r="D1462" s="1" t="s">
        <v>33</v>
      </c>
      <c r="E1462" s="1" t="s">
        <v>12</v>
      </c>
      <c r="F1462" s="5">
        <v>0.1734</v>
      </c>
      <c r="G1462" s="5">
        <v>100.229246</v>
      </c>
      <c r="H1462" s="5">
        <v>7.2800000000000004E-2</v>
      </c>
      <c r="I1462">
        <v>0</v>
      </c>
      <c r="J1462" s="4" t="str">
        <f>IF(OR(Копия_20206[[#This Row],[Units (in 1000)]]&gt;$R$7,Копия_20206[[#This Row],[Units (in 1000)]]&lt;$R$6),"outlier","not outlier")</f>
        <v>not outlier</v>
      </c>
      <c r="K1462" s="4" t="str">
        <f>IF(OR(Копия_20206[[#This Row],[Value (in 1000 rub)]]&gt;$S$7,Копия_20206[[#This Row],[Value (in 1000 rub)]]&lt;$S$6),"outlier","not outlier")</f>
        <v>not outlier</v>
      </c>
      <c r="L1462" s="4" t="str">
        <f>IF(OR(Копия_20206[[#This Row],[Volume (in 1000 kg)]]&gt;$T$7,Копия_20206[[#This Row],[Volume (in 1000 kg)]]&lt;$T$6),"outlier","not outlier")</f>
        <v>not outlier</v>
      </c>
      <c r="M1462" s="4" t="str">
        <f>IF(OR(Копия_20206[[#This Row],[Number of stores]]&gt;$U$7,Копия_20206[[#This Row],[Number of stores]]&lt;$U$6),"outlier","not outlier")</f>
        <v>not outlier</v>
      </c>
    </row>
    <row r="1463" spans="1:13" x14ac:dyDescent="0.25">
      <c r="A1463">
        <v>2022</v>
      </c>
      <c r="B1463">
        <v>6</v>
      </c>
      <c r="C1463" s="1" t="s">
        <v>29</v>
      </c>
      <c r="D1463" s="1" t="s">
        <v>33</v>
      </c>
      <c r="E1463" s="1" t="s">
        <v>11</v>
      </c>
      <c r="F1463" s="5">
        <v>0.29060000000000002</v>
      </c>
      <c r="G1463" s="5">
        <v>122.495486</v>
      </c>
      <c r="H1463" s="5">
        <v>0.1017</v>
      </c>
      <c r="I1463">
        <v>0</v>
      </c>
      <c r="J1463" s="4" t="str">
        <f>IF(OR(Копия_20206[[#This Row],[Units (in 1000)]]&gt;$R$7,Копия_20206[[#This Row],[Units (in 1000)]]&lt;$R$6),"outlier","not outlier")</f>
        <v>not outlier</v>
      </c>
      <c r="K1463" s="4" t="str">
        <f>IF(OR(Копия_20206[[#This Row],[Value (in 1000 rub)]]&gt;$S$7,Копия_20206[[#This Row],[Value (in 1000 rub)]]&lt;$S$6),"outlier","not outlier")</f>
        <v>not outlier</v>
      </c>
      <c r="L1463" s="4" t="str">
        <f>IF(OR(Копия_20206[[#This Row],[Volume (in 1000 kg)]]&gt;$T$7,Копия_20206[[#This Row],[Volume (in 1000 kg)]]&lt;$T$6),"outlier","not outlier")</f>
        <v>not outlier</v>
      </c>
      <c r="M1463" s="4" t="str">
        <f>IF(OR(Копия_20206[[#This Row],[Number of stores]]&gt;$U$7,Копия_20206[[#This Row],[Number of stores]]&lt;$U$6),"outlier","not outlier")</f>
        <v>not outlier</v>
      </c>
    </row>
    <row r="1464" spans="1:13" x14ac:dyDescent="0.25">
      <c r="A1464">
        <v>2022</v>
      </c>
      <c r="B1464">
        <v>6</v>
      </c>
      <c r="C1464" s="1" t="s">
        <v>29</v>
      </c>
      <c r="D1464" s="1" t="s">
        <v>33</v>
      </c>
      <c r="E1464" s="1" t="s">
        <v>12</v>
      </c>
      <c r="F1464" s="5">
        <v>0.1318</v>
      </c>
      <c r="G1464" s="5">
        <v>74.971474000000001</v>
      </c>
      <c r="H1464" s="5">
        <v>5.5300000000000002E-2</v>
      </c>
      <c r="I1464">
        <v>0</v>
      </c>
      <c r="J1464" s="4" t="str">
        <f>IF(OR(Копия_20206[[#This Row],[Units (in 1000)]]&gt;$R$7,Копия_20206[[#This Row],[Units (in 1000)]]&lt;$R$6),"outlier","not outlier")</f>
        <v>not outlier</v>
      </c>
      <c r="K1464" s="4" t="str">
        <f>IF(OR(Копия_20206[[#This Row],[Value (in 1000 rub)]]&gt;$S$7,Копия_20206[[#This Row],[Value (in 1000 rub)]]&lt;$S$6),"outlier","not outlier")</f>
        <v>not outlier</v>
      </c>
      <c r="L1464" s="4" t="str">
        <f>IF(OR(Копия_20206[[#This Row],[Volume (in 1000 kg)]]&gt;$T$7,Копия_20206[[#This Row],[Volume (in 1000 kg)]]&lt;$T$6),"outlier","not outlier")</f>
        <v>not outlier</v>
      </c>
      <c r="M1464" s="4" t="str">
        <f>IF(OR(Копия_20206[[#This Row],[Number of stores]]&gt;$U$7,Копия_20206[[#This Row],[Number of stores]]&lt;$U$6),"outlier","not outlier")</f>
        <v>not outlier</v>
      </c>
    </row>
    <row r="1465" spans="1:13" x14ac:dyDescent="0.25">
      <c r="A1465">
        <v>2022</v>
      </c>
      <c r="B1465">
        <v>1</v>
      </c>
      <c r="C1465" s="1" t="s">
        <v>8</v>
      </c>
      <c r="D1465" s="1" t="s">
        <v>9</v>
      </c>
      <c r="E1465" s="1" t="s">
        <v>10</v>
      </c>
      <c r="F1465" s="5">
        <v>15.2249</v>
      </c>
      <c r="G1465" s="5">
        <v>899.26549299999999</v>
      </c>
      <c r="H1465" s="5">
        <v>3.1972</v>
      </c>
      <c r="I1465">
        <v>536</v>
      </c>
      <c r="J1465" s="4" t="str">
        <f>IF(OR(Копия_20206[[#This Row],[Units (in 1000)]]&gt;$R$7,Копия_20206[[#This Row],[Units (in 1000)]]&lt;$R$6),"outlier","not outlier")</f>
        <v>not outlier</v>
      </c>
      <c r="K1465" s="4" t="str">
        <f>IF(OR(Копия_20206[[#This Row],[Value (in 1000 rub)]]&gt;$S$7,Копия_20206[[#This Row],[Value (in 1000 rub)]]&lt;$S$6),"outlier","not outlier")</f>
        <v>not outlier</v>
      </c>
      <c r="L1465" s="4" t="str">
        <f>IF(OR(Копия_20206[[#This Row],[Volume (in 1000 kg)]]&gt;$T$7,Копия_20206[[#This Row],[Volume (in 1000 kg)]]&lt;$T$6),"outlier","not outlier")</f>
        <v>not outlier</v>
      </c>
      <c r="M1465" s="4" t="str">
        <f>IF(OR(Копия_20206[[#This Row],[Number of stores]]&gt;$U$7,Копия_20206[[#This Row],[Number of stores]]&lt;$U$6),"outlier","not outlier")</f>
        <v>not outlier</v>
      </c>
    </row>
    <row r="1466" spans="1:13" x14ac:dyDescent="0.25">
      <c r="A1466">
        <v>2022</v>
      </c>
      <c r="B1466">
        <v>1</v>
      </c>
      <c r="C1466" s="1" t="s">
        <v>8</v>
      </c>
      <c r="D1466" s="1" t="s">
        <v>9</v>
      </c>
      <c r="E1466" s="1" t="s">
        <v>11</v>
      </c>
      <c r="F1466" s="5">
        <v>58.244300000000003</v>
      </c>
      <c r="G1466" s="5">
        <v>5622.5804420000004</v>
      </c>
      <c r="H1466" s="5">
        <v>20.3855</v>
      </c>
      <c r="I1466">
        <v>758</v>
      </c>
      <c r="J1466" s="4" t="str">
        <f>IF(OR(Копия_20206[[#This Row],[Units (in 1000)]]&gt;$R$7,Копия_20206[[#This Row],[Units (in 1000)]]&lt;$R$6),"outlier","not outlier")</f>
        <v>outlier</v>
      </c>
      <c r="K1466" s="4" t="str">
        <f>IF(OR(Копия_20206[[#This Row],[Value (in 1000 rub)]]&gt;$S$7,Копия_20206[[#This Row],[Value (in 1000 rub)]]&lt;$S$6),"outlier","not outlier")</f>
        <v>outlier</v>
      </c>
      <c r="L1466" s="4" t="str">
        <f>IF(OR(Копия_20206[[#This Row],[Volume (in 1000 kg)]]&gt;$T$7,Копия_20206[[#This Row],[Volume (in 1000 kg)]]&lt;$T$6),"outlier","not outlier")</f>
        <v>outlier</v>
      </c>
      <c r="M1466" s="4" t="str">
        <f>IF(OR(Копия_20206[[#This Row],[Number of stores]]&gt;$U$7,Копия_20206[[#This Row],[Number of stores]]&lt;$U$6),"outlier","not outlier")</f>
        <v>not outlier</v>
      </c>
    </row>
    <row r="1467" spans="1:13" x14ac:dyDescent="0.25">
      <c r="A1467">
        <v>2022</v>
      </c>
      <c r="B1467">
        <v>1</v>
      </c>
      <c r="C1467" s="1" t="s">
        <v>8</v>
      </c>
      <c r="D1467" s="1" t="s">
        <v>9</v>
      </c>
      <c r="E1467" s="1" t="s">
        <v>12</v>
      </c>
      <c r="F1467" s="5">
        <v>38.410200000000003</v>
      </c>
      <c r="G1467" s="5">
        <v>4457.2247900000002</v>
      </c>
      <c r="H1467" s="5">
        <v>19.205100000000002</v>
      </c>
      <c r="I1467">
        <v>633</v>
      </c>
      <c r="J1467" s="4" t="str">
        <f>IF(OR(Копия_20206[[#This Row],[Units (in 1000)]]&gt;$R$7,Копия_20206[[#This Row],[Units (in 1000)]]&lt;$R$6),"outlier","not outlier")</f>
        <v>outlier</v>
      </c>
      <c r="K1467" s="4" t="str">
        <f>IF(OR(Копия_20206[[#This Row],[Value (in 1000 rub)]]&gt;$S$7,Копия_20206[[#This Row],[Value (in 1000 rub)]]&lt;$S$6),"outlier","not outlier")</f>
        <v>outlier</v>
      </c>
      <c r="L1467" s="4" t="str">
        <f>IF(OR(Копия_20206[[#This Row],[Volume (in 1000 kg)]]&gt;$T$7,Копия_20206[[#This Row],[Volume (in 1000 kg)]]&lt;$T$6),"outlier","not outlier")</f>
        <v>outlier</v>
      </c>
      <c r="M1467" s="4" t="str">
        <f>IF(OR(Копия_20206[[#This Row],[Number of stores]]&gt;$U$7,Копия_20206[[#This Row],[Number of stores]]&lt;$U$6),"outlier","not outlier")</f>
        <v>not outlier</v>
      </c>
    </row>
    <row r="1468" spans="1:13" x14ac:dyDescent="0.25">
      <c r="A1468">
        <v>2022</v>
      </c>
      <c r="B1468">
        <v>1</v>
      </c>
      <c r="C1468" s="1" t="s">
        <v>25</v>
      </c>
      <c r="D1468" s="1" t="s">
        <v>9</v>
      </c>
      <c r="E1468" s="1" t="s">
        <v>10</v>
      </c>
      <c r="F1468" s="5">
        <v>88.491699999999994</v>
      </c>
      <c r="G1468" s="5">
        <v>4389.8095540000004</v>
      </c>
      <c r="H1468" s="5">
        <v>18.583300000000001</v>
      </c>
      <c r="I1468">
        <v>9100</v>
      </c>
      <c r="J1468" s="4" t="str">
        <f>IF(OR(Копия_20206[[#This Row],[Units (in 1000)]]&gt;$R$7,Копия_20206[[#This Row],[Units (in 1000)]]&lt;$R$6),"outlier","not outlier")</f>
        <v>outlier</v>
      </c>
      <c r="K1468" s="4" t="str">
        <f>IF(OR(Копия_20206[[#This Row],[Value (in 1000 rub)]]&gt;$S$7,Копия_20206[[#This Row],[Value (in 1000 rub)]]&lt;$S$6),"outlier","not outlier")</f>
        <v>outlier</v>
      </c>
      <c r="L1468" s="4" t="str">
        <f>IF(OR(Копия_20206[[#This Row],[Volume (in 1000 kg)]]&gt;$T$7,Копия_20206[[#This Row],[Volume (in 1000 kg)]]&lt;$T$6),"outlier","not outlier")</f>
        <v>outlier</v>
      </c>
      <c r="M1468" s="4" t="str">
        <f>IF(OR(Копия_20206[[#This Row],[Number of stores]]&gt;$U$7,Копия_20206[[#This Row],[Number of stores]]&lt;$U$6),"outlier","not outlier")</f>
        <v>outlier</v>
      </c>
    </row>
    <row r="1469" spans="1:13" x14ac:dyDescent="0.25">
      <c r="A1469">
        <v>2022</v>
      </c>
      <c r="B1469">
        <v>1</v>
      </c>
      <c r="C1469" s="1" t="s">
        <v>25</v>
      </c>
      <c r="D1469" s="1" t="s">
        <v>9</v>
      </c>
      <c r="E1469" s="1" t="s">
        <v>11</v>
      </c>
      <c r="F1469" s="5">
        <v>57.690800000000003</v>
      </c>
      <c r="G1469" s="5">
        <v>5967.1194320000004</v>
      </c>
      <c r="H1469" s="5">
        <v>20.191800000000001</v>
      </c>
      <c r="I1469">
        <v>9322</v>
      </c>
      <c r="J1469" s="4" t="str">
        <f>IF(OR(Копия_20206[[#This Row],[Units (in 1000)]]&gt;$R$7,Копия_20206[[#This Row],[Units (in 1000)]]&lt;$R$6),"outlier","not outlier")</f>
        <v>outlier</v>
      </c>
      <c r="K1469" s="4" t="str">
        <f>IF(OR(Копия_20206[[#This Row],[Value (in 1000 rub)]]&gt;$S$7,Копия_20206[[#This Row],[Value (in 1000 rub)]]&lt;$S$6),"outlier","not outlier")</f>
        <v>outlier</v>
      </c>
      <c r="L1469" s="4" t="str">
        <f>IF(OR(Копия_20206[[#This Row],[Volume (in 1000 kg)]]&gt;$T$7,Копия_20206[[#This Row],[Volume (in 1000 kg)]]&lt;$T$6),"outlier","not outlier")</f>
        <v>outlier</v>
      </c>
      <c r="M1469" s="4" t="str">
        <f>IF(OR(Копия_20206[[#This Row],[Number of stores]]&gt;$U$7,Копия_20206[[#This Row],[Number of stores]]&lt;$U$6),"outlier","not outlier")</f>
        <v>outlier</v>
      </c>
    </row>
    <row r="1470" spans="1:13" x14ac:dyDescent="0.25">
      <c r="A1470">
        <v>2022</v>
      </c>
      <c r="B1470">
        <v>1</v>
      </c>
      <c r="C1470" s="1" t="s">
        <v>25</v>
      </c>
      <c r="D1470" s="1" t="s">
        <v>9</v>
      </c>
      <c r="E1470" s="1" t="s">
        <v>12</v>
      </c>
      <c r="F1470" s="5">
        <v>2.8340000000000001</v>
      </c>
      <c r="G1470" s="5">
        <v>485.82223299999998</v>
      </c>
      <c r="H1470" s="5">
        <v>1.4171</v>
      </c>
      <c r="I1470">
        <v>721</v>
      </c>
      <c r="J1470" s="4" t="str">
        <f>IF(OR(Копия_20206[[#This Row],[Units (in 1000)]]&gt;$R$7,Копия_20206[[#This Row],[Units (in 1000)]]&lt;$R$6),"outlier","not outlier")</f>
        <v>not outlier</v>
      </c>
      <c r="K1470" s="4" t="str">
        <f>IF(OR(Копия_20206[[#This Row],[Value (in 1000 rub)]]&gt;$S$7,Копия_20206[[#This Row],[Value (in 1000 rub)]]&lt;$S$6),"outlier","not outlier")</f>
        <v>not outlier</v>
      </c>
      <c r="L1470" s="4" t="str">
        <f>IF(OR(Копия_20206[[#This Row],[Volume (in 1000 kg)]]&gt;$T$7,Копия_20206[[#This Row],[Volume (in 1000 kg)]]&lt;$T$6),"outlier","not outlier")</f>
        <v>not outlier</v>
      </c>
      <c r="M1470" s="4" t="str">
        <f>IF(OR(Копия_20206[[#This Row],[Number of stores]]&gt;$U$7,Копия_20206[[#This Row],[Number of stores]]&lt;$U$6),"outlier","not outlier")</f>
        <v>not outlier</v>
      </c>
    </row>
    <row r="1471" spans="1:13" x14ac:dyDescent="0.25">
      <c r="A1471">
        <v>2022</v>
      </c>
      <c r="B1471">
        <v>1</v>
      </c>
      <c r="C1471" s="1" t="s">
        <v>25</v>
      </c>
      <c r="D1471" s="1" t="s">
        <v>9</v>
      </c>
      <c r="E1471" s="1" t="s">
        <v>13</v>
      </c>
      <c r="F1471" s="5">
        <v>0.28560000000000002</v>
      </c>
      <c r="G1471" s="5">
        <v>46.137219999999999</v>
      </c>
      <c r="H1471" s="5">
        <v>0.2142</v>
      </c>
      <c r="I1471">
        <v>163</v>
      </c>
      <c r="J1471" s="4" t="str">
        <f>IF(OR(Копия_20206[[#This Row],[Units (in 1000)]]&gt;$R$7,Копия_20206[[#This Row],[Units (in 1000)]]&lt;$R$6),"outlier","not outlier")</f>
        <v>not outlier</v>
      </c>
      <c r="K1471" s="4" t="str">
        <f>IF(OR(Копия_20206[[#This Row],[Value (in 1000 rub)]]&gt;$S$7,Копия_20206[[#This Row],[Value (in 1000 rub)]]&lt;$S$6),"outlier","not outlier")</f>
        <v>not outlier</v>
      </c>
      <c r="L1471" s="4" t="str">
        <f>IF(OR(Копия_20206[[#This Row],[Volume (in 1000 kg)]]&gt;$T$7,Копия_20206[[#This Row],[Volume (in 1000 kg)]]&lt;$T$6),"outlier","not outlier")</f>
        <v>not outlier</v>
      </c>
      <c r="M1471" s="4" t="str">
        <f>IF(OR(Копия_20206[[#This Row],[Number of stores]]&gt;$U$7,Копия_20206[[#This Row],[Number of stores]]&lt;$U$6),"outlier","not outlier")</f>
        <v>not outlier</v>
      </c>
    </row>
    <row r="1472" spans="1:13" x14ac:dyDescent="0.25">
      <c r="A1472">
        <v>2022</v>
      </c>
      <c r="B1472">
        <v>1</v>
      </c>
      <c r="C1472" s="1" t="s">
        <v>29</v>
      </c>
      <c r="D1472" s="1" t="s">
        <v>9</v>
      </c>
      <c r="E1472" s="1" t="s">
        <v>10</v>
      </c>
      <c r="F1472" s="5">
        <v>200.7302</v>
      </c>
      <c r="G1472" s="5">
        <v>10271.139880000001</v>
      </c>
      <c r="H1472" s="5">
        <v>42.153399999999998</v>
      </c>
      <c r="I1472">
        <v>17167</v>
      </c>
      <c r="J1472" s="4" t="str">
        <f>IF(OR(Копия_20206[[#This Row],[Units (in 1000)]]&gt;$R$7,Копия_20206[[#This Row],[Units (in 1000)]]&lt;$R$6),"outlier","not outlier")</f>
        <v>outlier</v>
      </c>
      <c r="K1472" s="4" t="str">
        <f>IF(OR(Копия_20206[[#This Row],[Value (in 1000 rub)]]&gt;$S$7,Копия_20206[[#This Row],[Value (in 1000 rub)]]&lt;$S$6),"outlier","not outlier")</f>
        <v>outlier</v>
      </c>
      <c r="L1472" s="4" t="str">
        <f>IF(OR(Копия_20206[[#This Row],[Volume (in 1000 kg)]]&gt;$T$7,Копия_20206[[#This Row],[Volume (in 1000 kg)]]&lt;$T$6),"outlier","not outlier")</f>
        <v>outlier</v>
      </c>
      <c r="M1472" s="4" t="str">
        <f>IF(OR(Копия_20206[[#This Row],[Number of stores]]&gt;$U$7,Копия_20206[[#This Row],[Number of stores]]&lt;$U$6),"outlier","not outlier")</f>
        <v>outlier</v>
      </c>
    </row>
    <row r="1473" spans="1:13" x14ac:dyDescent="0.25">
      <c r="A1473">
        <v>2022</v>
      </c>
      <c r="B1473">
        <v>1</v>
      </c>
      <c r="C1473" s="1" t="s">
        <v>29</v>
      </c>
      <c r="D1473" s="1" t="s">
        <v>9</v>
      </c>
      <c r="E1473" s="1" t="s">
        <v>11</v>
      </c>
      <c r="F1473" s="5">
        <v>159.5171</v>
      </c>
      <c r="G1473" s="5">
        <v>14567.697899999999</v>
      </c>
      <c r="H1473" s="5">
        <v>55.8309</v>
      </c>
      <c r="I1473">
        <v>17397</v>
      </c>
      <c r="J1473" s="4" t="str">
        <f>IF(OR(Копия_20206[[#This Row],[Units (in 1000)]]&gt;$R$7,Копия_20206[[#This Row],[Units (in 1000)]]&lt;$R$6),"outlier","not outlier")</f>
        <v>outlier</v>
      </c>
      <c r="K1473" s="4" t="str">
        <f>IF(OR(Копия_20206[[#This Row],[Value (in 1000 rub)]]&gt;$S$7,Копия_20206[[#This Row],[Value (in 1000 rub)]]&lt;$S$6),"outlier","not outlier")</f>
        <v>outlier</v>
      </c>
      <c r="L1473" s="4" t="str">
        <f>IF(OR(Копия_20206[[#This Row],[Volume (in 1000 kg)]]&gt;$T$7,Копия_20206[[#This Row],[Volume (in 1000 kg)]]&lt;$T$6),"outlier","not outlier")</f>
        <v>outlier</v>
      </c>
      <c r="M1473" s="4" t="str">
        <f>IF(OR(Копия_20206[[#This Row],[Number of stores]]&gt;$U$7,Копия_20206[[#This Row],[Number of stores]]&lt;$U$6),"outlier","not outlier")</f>
        <v>outlier</v>
      </c>
    </row>
    <row r="1474" spans="1:13" x14ac:dyDescent="0.25">
      <c r="A1474">
        <v>2022</v>
      </c>
      <c r="B1474">
        <v>1</v>
      </c>
      <c r="C1474" s="1" t="s">
        <v>29</v>
      </c>
      <c r="D1474" s="1" t="s">
        <v>9</v>
      </c>
      <c r="E1474" s="1" t="s">
        <v>12</v>
      </c>
      <c r="F1474" s="5">
        <v>9.9210999999999991</v>
      </c>
      <c r="G1474" s="5">
        <v>1323.619549</v>
      </c>
      <c r="H1474" s="5">
        <v>4.9606000000000003</v>
      </c>
      <c r="I1474">
        <v>729</v>
      </c>
      <c r="J1474" s="4" t="str">
        <f>IF(OR(Копия_20206[[#This Row],[Units (in 1000)]]&gt;$R$7,Копия_20206[[#This Row],[Units (in 1000)]]&lt;$R$6),"outlier","not outlier")</f>
        <v>not outlier</v>
      </c>
      <c r="K1474" s="4" t="str">
        <f>IF(OR(Копия_20206[[#This Row],[Value (in 1000 rub)]]&gt;$S$7,Копия_20206[[#This Row],[Value (in 1000 rub)]]&lt;$S$6),"outlier","not outlier")</f>
        <v>not outlier</v>
      </c>
      <c r="L1474" s="4" t="str">
        <f>IF(OR(Копия_20206[[#This Row],[Volume (in 1000 kg)]]&gt;$T$7,Копия_20206[[#This Row],[Volume (in 1000 kg)]]&lt;$T$6),"outlier","not outlier")</f>
        <v>not outlier</v>
      </c>
      <c r="M1474" s="4" t="str">
        <f>IF(OR(Копия_20206[[#This Row],[Number of stores]]&gt;$U$7,Копия_20206[[#This Row],[Number of stores]]&lt;$U$6),"outlier","not outlier")</f>
        <v>not outlier</v>
      </c>
    </row>
    <row r="1475" spans="1:13" x14ac:dyDescent="0.25">
      <c r="A1475">
        <v>2022</v>
      </c>
      <c r="B1475">
        <v>1</v>
      </c>
      <c r="C1475" s="1" t="s">
        <v>29</v>
      </c>
      <c r="D1475" s="1" t="s">
        <v>9</v>
      </c>
      <c r="E1475" s="1" t="s">
        <v>13</v>
      </c>
      <c r="F1475" s="5">
        <v>8.6999999999999994E-3</v>
      </c>
      <c r="G1475" s="5">
        <v>1.791126</v>
      </c>
      <c r="H1475" s="5">
        <v>6.4999999999999997E-3</v>
      </c>
      <c r="I1475">
        <v>3</v>
      </c>
      <c r="J1475" s="4" t="str">
        <f>IF(OR(Копия_20206[[#This Row],[Units (in 1000)]]&gt;$R$7,Копия_20206[[#This Row],[Units (in 1000)]]&lt;$R$6),"outlier","not outlier")</f>
        <v>not outlier</v>
      </c>
      <c r="K1475" s="4" t="str">
        <f>IF(OR(Копия_20206[[#This Row],[Value (in 1000 rub)]]&gt;$S$7,Копия_20206[[#This Row],[Value (in 1000 rub)]]&lt;$S$6),"outlier","not outlier")</f>
        <v>not outlier</v>
      </c>
      <c r="L1475" s="4" t="str">
        <f>IF(OR(Копия_20206[[#This Row],[Volume (in 1000 kg)]]&gt;$T$7,Копия_20206[[#This Row],[Volume (in 1000 kg)]]&lt;$T$6),"outlier","not outlier")</f>
        <v>not outlier</v>
      </c>
      <c r="M1475" s="4" t="str">
        <f>IF(OR(Копия_20206[[#This Row],[Number of stores]]&gt;$U$7,Копия_20206[[#This Row],[Number of stores]]&lt;$U$6),"outlier","not outlier")</f>
        <v>not outlier</v>
      </c>
    </row>
    <row r="1476" spans="1:13" x14ac:dyDescent="0.25">
      <c r="A1476">
        <v>2022</v>
      </c>
      <c r="B1476">
        <v>2</v>
      </c>
      <c r="C1476" s="1" t="s">
        <v>8</v>
      </c>
      <c r="D1476" s="1" t="s">
        <v>9</v>
      </c>
      <c r="E1476" s="1" t="s">
        <v>10</v>
      </c>
      <c r="F1476" s="5">
        <v>11.107900000000001</v>
      </c>
      <c r="G1476" s="5">
        <v>729.82120099999997</v>
      </c>
      <c r="H1476" s="5">
        <v>2.3325999999999998</v>
      </c>
      <c r="I1476">
        <v>533</v>
      </c>
      <c r="J1476" s="4" t="str">
        <f>IF(OR(Копия_20206[[#This Row],[Units (in 1000)]]&gt;$R$7,Копия_20206[[#This Row],[Units (in 1000)]]&lt;$R$6),"outlier","not outlier")</f>
        <v>not outlier</v>
      </c>
      <c r="K1476" s="4" t="str">
        <f>IF(OR(Копия_20206[[#This Row],[Value (in 1000 rub)]]&gt;$S$7,Копия_20206[[#This Row],[Value (in 1000 rub)]]&lt;$S$6),"outlier","not outlier")</f>
        <v>not outlier</v>
      </c>
      <c r="L1476" s="4" t="str">
        <f>IF(OR(Копия_20206[[#This Row],[Volume (in 1000 kg)]]&gt;$T$7,Копия_20206[[#This Row],[Volume (in 1000 kg)]]&lt;$T$6),"outlier","not outlier")</f>
        <v>not outlier</v>
      </c>
      <c r="M1476" s="4" t="str">
        <f>IF(OR(Копия_20206[[#This Row],[Number of stores]]&gt;$U$7,Копия_20206[[#This Row],[Number of stores]]&lt;$U$6),"outlier","not outlier")</f>
        <v>not outlier</v>
      </c>
    </row>
    <row r="1477" spans="1:13" x14ac:dyDescent="0.25">
      <c r="A1477">
        <v>2022</v>
      </c>
      <c r="B1477">
        <v>2</v>
      </c>
      <c r="C1477" s="1" t="s">
        <v>8</v>
      </c>
      <c r="D1477" s="1" t="s">
        <v>9</v>
      </c>
      <c r="E1477" s="1" t="s">
        <v>11</v>
      </c>
      <c r="F1477" s="5">
        <v>47.110900000000001</v>
      </c>
      <c r="G1477" s="5">
        <v>4702.004113</v>
      </c>
      <c r="H1477" s="5">
        <v>16.488900000000001</v>
      </c>
      <c r="I1477">
        <v>744</v>
      </c>
      <c r="J1477" s="4" t="str">
        <f>IF(OR(Копия_20206[[#This Row],[Units (in 1000)]]&gt;$R$7,Копия_20206[[#This Row],[Units (in 1000)]]&lt;$R$6),"outlier","not outlier")</f>
        <v>outlier</v>
      </c>
      <c r="K1477" s="4" t="str">
        <f>IF(OR(Копия_20206[[#This Row],[Value (in 1000 rub)]]&gt;$S$7,Копия_20206[[#This Row],[Value (in 1000 rub)]]&lt;$S$6),"outlier","not outlier")</f>
        <v>outlier</v>
      </c>
      <c r="L1477" s="4" t="str">
        <f>IF(OR(Копия_20206[[#This Row],[Volume (in 1000 kg)]]&gt;$T$7,Копия_20206[[#This Row],[Volume (in 1000 kg)]]&lt;$T$6),"outlier","not outlier")</f>
        <v>outlier</v>
      </c>
      <c r="M1477" s="4" t="str">
        <f>IF(OR(Копия_20206[[#This Row],[Number of stores]]&gt;$U$7,Копия_20206[[#This Row],[Number of stores]]&lt;$U$6),"outlier","not outlier")</f>
        <v>not outlier</v>
      </c>
    </row>
    <row r="1478" spans="1:13" x14ac:dyDescent="0.25">
      <c r="A1478">
        <v>2022</v>
      </c>
      <c r="B1478">
        <v>2</v>
      </c>
      <c r="C1478" s="1" t="s">
        <v>8</v>
      </c>
      <c r="D1478" s="1" t="s">
        <v>9</v>
      </c>
      <c r="E1478" s="1" t="s">
        <v>12</v>
      </c>
      <c r="F1478" s="5">
        <v>32.415199999999999</v>
      </c>
      <c r="G1478" s="5">
        <v>3969.1989400000002</v>
      </c>
      <c r="H1478" s="5">
        <v>16.2075</v>
      </c>
      <c r="I1478">
        <v>641</v>
      </c>
      <c r="J1478" s="4" t="str">
        <f>IF(OR(Копия_20206[[#This Row],[Units (in 1000)]]&gt;$R$7,Копия_20206[[#This Row],[Units (in 1000)]]&lt;$R$6),"outlier","not outlier")</f>
        <v>outlier</v>
      </c>
      <c r="K1478" s="4" t="str">
        <f>IF(OR(Копия_20206[[#This Row],[Value (in 1000 rub)]]&gt;$S$7,Копия_20206[[#This Row],[Value (in 1000 rub)]]&lt;$S$6),"outlier","not outlier")</f>
        <v>outlier</v>
      </c>
      <c r="L1478" s="4" t="str">
        <f>IF(OR(Копия_20206[[#This Row],[Volume (in 1000 kg)]]&gt;$T$7,Копия_20206[[#This Row],[Volume (in 1000 kg)]]&lt;$T$6),"outlier","not outlier")</f>
        <v>outlier</v>
      </c>
      <c r="M1478" s="4" t="str">
        <f>IF(OR(Копия_20206[[#This Row],[Number of stores]]&gt;$U$7,Копия_20206[[#This Row],[Number of stores]]&lt;$U$6),"outlier","not outlier")</f>
        <v>not outlier</v>
      </c>
    </row>
    <row r="1479" spans="1:13" x14ac:dyDescent="0.25">
      <c r="A1479">
        <v>2022</v>
      </c>
      <c r="B1479">
        <v>2</v>
      </c>
      <c r="C1479" s="1" t="s">
        <v>25</v>
      </c>
      <c r="D1479" s="1" t="s">
        <v>9</v>
      </c>
      <c r="E1479" s="1" t="s">
        <v>10</v>
      </c>
      <c r="F1479" s="5">
        <v>82.454999999999998</v>
      </c>
      <c r="G1479" s="5">
        <v>4483.615135</v>
      </c>
      <c r="H1479" s="5">
        <v>17.3156</v>
      </c>
      <c r="I1479">
        <v>9842</v>
      </c>
      <c r="J1479" s="4" t="str">
        <f>IF(OR(Копия_20206[[#This Row],[Units (in 1000)]]&gt;$R$7,Копия_20206[[#This Row],[Units (in 1000)]]&lt;$R$6),"outlier","not outlier")</f>
        <v>outlier</v>
      </c>
      <c r="K1479" s="4" t="str">
        <f>IF(OR(Копия_20206[[#This Row],[Value (in 1000 rub)]]&gt;$S$7,Копия_20206[[#This Row],[Value (in 1000 rub)]]&lt;$S$6),"outlier","not outlier")</f>
        <v>outlier</v>
      </c>
      <c r="L1479" s="4" t="str">
        <f>IF(OR(Копия_20206[[#This Row],[Volume (in 1000 kg)]]&gt;$T$7,Копия_20206[[#This Row],[Volume (in 1000 kg)]]&lt;$T$6),"outlier","not outlier")</f>
        <v>outlier</v>
      </c>
      <c r="M1479" s="4" t="str">
        <f>IF(OR(Копия_20206[[#This Row],[Number of stores]]&gt;$U$7,Копия_20206[[#This Row],[Number of stores]]&lt;$U$6),"outlier","not outlier")</f>
        <v>outlier</v>
      </c>
    </row>
    <row r="1480" spans="1:13" x14ac:dyDescent="0.25">
      <c r="A1480">
        <v>2022</v>
      </c>
      <c r="B1480">
        <v>2</v>
      </c>
      <c r="C1480" s="1" t="s">
        <v>25</v>
      </c>
      <c r="D1480" s="1" t="s">
        <v>9</v>
      </c>
      <c r="E1480" s="1" t="s">
        <v>11</v>
      </c>
      <c r="F1480" s="5">
        <v>54.681100000000001</v>
      </c>
      <c r="G1480" s="5">
        <v>5765.4214149999998</v>
      </c>
      <c r="H1480" s="5">
        <v>19.138400000000001</v>
      </c>
      <c r="I1480">
        <v>8884</v>
      </c>
      <c r="J1480" s="4" t="str">
        <f>IF(OR(Копия_20206[[#This Row],[Units (in 1000)]]&gt;$R$7,Копия_20206[[#This Row],[Units (in 1000)]]&lt;$R$6),"outlier","not outlier")</f>
        <v>outlier</v>
      </c>
      <c r="K1480" s="4" t="str">
        <f>IF(OR(Копия_20206[[#This Row],[Value (in 1000 rub)]]&gt;$S$7,Копия_20206[[#This Row],[Value (in 1000 rub)]]&lt;$S$6),"outlier","not outlier")</f>
        <v>outlier</v>
      </c>
      <c r="L1480" s="4" t="str">
        <f>IF(OR(Копия_20206[[#This Row],[Volume (in 1000 kg)]]&gt;$T$7,Копия_20206[[#This Row],[Volume (in 1000 kg)]]&lt;$T$6),"outlier","not outlier")</f>
        <v>outlier</v>
      </c>
      <c r="M1480" s="4" t="str">
        <f>IF(OR(Копия_20206[[#This Row],[Number of stores]]&gt;$U$7,Копия_20206[[#This Row],[Number of stores]]&lt;$U$6),"outlier","not outlier")</f>
        <v>outlier</v>
      </c>
    </row>
    <row r="1481" spans="1:13" x14ac:dyDescent="0.25">
      <c r="A1481">
        <v>2022</v>
      </c>
      <c r="B1481">
        <v>2</v>
      </c>
      <c r="C1481" s="1" t="s">
        <v>25</v>
      </c>
      <c r="D1481" s="1" t="s">
        <v>9</v>
      </c>
      <c r="E1481" s="1" t="s">
        <v>12</v>
      </c>
      <c r="F1481" s="5">
        <v>3.2303000000000002</v>
      </c>
      <c r="G1481" s="5">
        <v>555.28155200000003</v>
      </c>
      <c r="H1481" s="5">
        <v>1.6151</v>
      </c>
      <c r="I1481">
        <v>698</v>
      </c>
      <c r="J1481" s="4" t="str">
        <f>IF(OR(Копия_20206[[#This Row],[Units (in 1000)]]&gt;$R$7,Копия_20206[[#This Row],[Units (in 1000)]]&lt;$R$6),"outlier","not outlier")</f>
        <v>not outlier</v>
      </c>
      <c r="K1481" s="4" t="str">
        <f>IF(OR(Копия_20206[[#This Row],[Value (in 1000 rub)]]&gt;$S$7,Копия_20206[[#This Row],[Value (in 1000 rub)]]&lt;$S$6),"outlier","not outlier")</f>
        <v>not outlier</v>
      </c>
      <c r="L1481" s="4" t="str">
        <f>IF(OR(Копия_20206[[#This Row],[Volume (in 1000 kg)]]&gt;$T$7,Копия_20206[[#This Row],[Volume (in 1000 kg)]]&lt;$T$6),"outlier","not outlier")</f>
        <v>not outlier</v>
      </c>
      <c r="M1481" s="4" t="str">
        <f>IF(OR(Копия_20206[[#This Row],[Number of stores]]&gt;$U$7,Копия_20206[[#This Row],[Number of stores]]&lt;$U$6),"outlier","not outlier")</f>
        <v>not outlier</v>
      </c>
    </row>
    <row r="1482" spans="1:13" x14ac:dyDescent="0.25">
      <c r="A1482">
        <v>2022</v>
      </c>
      <c r="B1482">
        <v>2</v>
      </c>
      <c r="C1482" s="1" t="s">
        <v>25</v>
      </c>
      <c r="D1482" s="1" t="s">
        <v>9</v>
      </c>
      <c r="E1482" s="1" t="s">
        <v>13</v>
      </c>
      <c r="F1482" s="5">
        <v>0.29289999999999999</v>
      </c>
      <c r="G1482" s="5">
        <v>47.309114000000001</v>
      </c>
      <c r="H1482" s="5">
        <v>0.21970000000000001</v>
      </c>
      <c r="I1482">
        <v>179</v>
      </c>
      <c r="J1482" s="4" t="str">
        <f>IF(OR(Копия_20206[[#This Row],[Units (in 1000)]]&gt;$R$7,Копия_20206[[#This Row],[Units (in 1000)]]&lt;$R$6),"outlier","not outlier")</f>
        <v>not outlier</v>
      </c>
      <c r="K1482" s="4" t="str">
        <f>IF(OR(Копия_20206[[#This Row],[Value (in 1000 rub)]]&gt;$S$7,Копия_20206[[#This Row],[Value (in 1000 rub)]]&lt;$S$6),"outlier","not outlier")</f>
        <v>not outlier</v>
      </c>
      <c r="L1482" s="4" t="str">
        <f>IF(OR(Копия_20206[[#This Row],[Volume (in 1000 kg)]]&gt;$T$7,Копия_20206[[#This Row],[Volume (in 1000 kg)]]&lt;$T$6),"outlier","not outlier")</f>
        <v>not outlier</v>
      </c>
      <c r="M1482" s="4" t="str">
        <f>IF(OR(Копия_20206[[#This Row],[Number of stores]]&gt;$U$7,Копия_20206[[#This Row],[Number of stores]]&lt;$U$6),"outlier","not outlier")</f>
        <v>not outlier</v>
      </c>
    </row>
    <row r="1483" spans="1:13" x14ac:dyDescent="0.25">
      <c r="A1483">
        <v>2022</v>
      </c>
      <c r="B1483">
        <v>2</v>
      </c>
      <c r="C1483" s="1" t="s">
        <v>29</v>
      </c>
      <c r="D1483" s="1" t="s">
        <v>9</v>
      </c>
      <c r="E1483" s="1" t="s">
        <v>10</v>
      </c>
      <c r="F1483" s="5">
        <v>211.82910000000001</v>
      </c>
      <c r="G1483" s="5">
        <v>11127.30868</v>
      </c>
      <c r="H1483" s="5">
        <v>44.484099999999998</v>
      </c>
      <c r="I1483">
        <v>18131</v>
      </c>
      <c r="J1483" s="4" t="str">
        <f>IF(OR(Копия_20206[[#This Row],[Units (in 1000)]]&gt;$R$7,Копия_20206[[#This Row],[Units (in 1000)]]&lt;$R$6),"outlier","not outlier")</f>
        <v>outlier</v>
      </c>
      <c r="K1483" s="4" t="str">
        <f>IF(OR(Копия_20206[[#This Row],[Value (in 1000 rub)]]&gt;$S$7,Копия_20206[[#This Row],[Value (in 1000 rub)]]&lt;$S$6),"outlier","not outlier")</f>
        <v>outlier</v>
      </c>
      <c r="L1483" s="4" t="str">
        <f>IF(OR(Копия_20206[[#This Row],[Volume (in 1000 kg)]]&gt;$T$7,Копия_20206[[#This Row],[Volume (in 1000 kg)]]&lt;$T$6),"outlier","not outlier")</f>
        <v>outlier</v>
      </c>
      <c r="M1483" s="4" t="str">
        <f>IF(OR(Копия_20206[[#This Row],[Number of stores]]&gt;$U$7,Копия_20206[[#This Row],[Number of stores]]&lt;$U$6),"outlier","not outlier")</f>
        <v>outlier</v>
      </c>
    </row>
    <row r="1484" spans="1:13" x14ac:dyDescent="0.25">
      <c r="A1484">
        <v>2022</v>
      </c>
      <c r="B1484">
        <v>2</v>
      </c>
      <c r="C1484" s="1" t="s">
        <v>29</v>
      </c>
      <c r="D1484" s="1" t="s">
        <v>9</v>
      </c>
      <c r="E1484" s="1" t="s">
        <v>11</v>
      </c>
      <c r="F1484" s="5">
        <v>129.52809999999999</v>
      </c>
      <c r="G1484" s="5">
        <v>12648.513944</v>
      </c>
      <c r="H1484" s="5">
        <v>45.334800000000001</v>
      </c>
      <c r="I1484">
        <v>16535</v>
      </c>
      <c r="J1484" s="4" t="str">
        <f>IF(OR(Копия_20206[[#This Row],[Units (in 1000)]]&gt;$R$7,Копия_20206[[#This Row],[Units (in 1000)]]&lt;$R$6),"outlier","not outlier")</f>
        <v>outlier</v>
      </c>
      <c r="K1484" s="4" t="str">
        <f>IF(OR(Копия_20206[[#This Row],[Value (in 1000 rub)]]&gt;$S$7,Копия_20206[[#This Row],[Value (in 1000 rub)]]&lt;$S$6),"outlier","not outlier")</f>
        <v>outlier</v>
      </c>
      <c r="L1484" s="4" t="str">
        <f>IF(OR(Копия_20206[[#This Row],[Volume (in 1000 kg)]]&gt;$T$7,Копия_20206[[#This Row],[Volume (in 1000 kg)]]&lt;$T$6),"outlier","not outlier")</f>
        <v>outlier</v>
      </c>
      <c r="M1484" s="4" t="str">
        <f>IF(OR(Копия_20206[[#This Row],[Number of stores]]&gt;$U$7,Копия_20206[[#This Row],[Number of stores]]&lt;$U$6),"outlier","not outlier")</f>
        <v>outlier</v>
      </c>
    </row>
    <row r="1485" spans="1:13" x14ac:dyDescent="0.25">
      <c r="A1485">
        <v>2022</v>
      </c>
      <c r="B1485">
        <v>2</v>
      </c>
      <c r="C1485" s="1" t="s">
        <v>29</v>
      </c>
      <c r="D1485" s="1" t="s">
        <v>9</v>
      </c>
      <c r="E1485" s="1" t="s">
        <v>12</v>
      </c>
      <c r="F1485" s="5">
        <v>7.3784999999999998</v>
      </c>
      <c r="G1485" s="5">
        <v>1108.9610170000001</v>
      </c>
      <c r="H1485" s="5">
        <v>3.6892999999999998</v>
      </c>
      <c r="I1485">
        <v>690</v>
      </c>
      <c r="J1485" s="4" t="str">
        <f>IF(OR(Копия_20206[[#This Row],[Units (in 1000)]]&gt;$R$7,Копия_20206[[#This Row],[Units (in 1000)]]&lt;$R$6),"outlier","not outlier")</f>
        <v>not outlier</v>
      </c>
      <c r="K1485" s="4" t="str">
        <f>IF(OR(Копия_20206[[#This Row],[Value (in 1000 rub)]]&gt;$S$7,Копия_20206[[#This Row],[Value (in 1000 rub)]]&lt;$S$6),"outlier","not outlier")</f>
        <v>not outlier</v>
      </c>
      <c r="L1485" s="4" t="str">
        <f>IF(OR(Копия_20206[[#This Row],[Volume (in 1000 kg)]]&gt;$T$7,Копия_20206[[#This Row],[Volume (in 1000 kg)]]&lt;$T$6),"outlier","not outlier")</f>
        <v>not outlier</v>
      </c>
      <c r="M1485" s="4" t="str">
        <f>IF(OR(Копия_20206[[#This Row],[Number of stores]]&gt;$U$7,Копия_20206[[#This Row],[Number of stores]]&lt;$U$6),"outlier","not outlier")</f>
        <v>not outlier</v>
      </c>
    </row>
    <row r="1486" spans="1:13" x14ac:dyDescent="0.25">
      <c r="A1486">
        <v>2022</v>
      </c>
      <c r="B1486">
        <v>2</v>
      </c>
      <c r="C1486" s="1" t="s">
        <v>29</v>
      </c>
      <c r="D1486" s="1" t="s">
        <v>9</v>
      </c>
      <c r="E1486" s="1" t="s">
        <v>13</v>
      </c>
      <c r="F1486" s="5">
        <v>1.52E-2</v>
      </c>
      <c r="G1486" s="5">
        <v>3.141648</v>
      </c>
      <c r="H1486" s="5">
        <v>1.14E-2</v>
      </c>
      <c r="I1486">
        <v>4</v>
      </c>
      <c r="J1486" s="4" t="str">
        <f>IF(OR(Копия_20206[[#This Row],[Units (in 1000)]]&gt;$R$7,Копия_20206[[#This Row],[Units (in 1000)]]&lt;$R$6),"outlier","not outlier")</f>
        <v>not outlier</v>
      </c>
      <c r="K1486" s="4" t="str">
        <f>IF(OR(Копия_20206[[#This Row],[Value (in 1000 rub)]]&gt;$S$7,Копия_20206[[#This Row],[Value (in 1000 rub)]]&lt;$S$6),"outlier","not outlier")</f>
        <v>not outlier</v>
      </c>
      <c r="L1486" s="4" t="str">
        <f>IF(OR(Копия_20206[[#This Row],[Volume (in 1000 kg)]]&gt;$T$7,Копия_20206[[#This Row],[Volume (in 1000 kg)]]&lt;$T$6),"outlier","not outlier")</f>
        <v>not outlier</v>
      </c>
      <c r="M1486" s="4" t="str">
        <f>IF(OR(Копия_20206[[#This Row],[Number of stores]]&gt;$U$7,Копия_20206[[#This Row],[Number of stores]]&lt;$U$6),"outlier","not outlier")</f>
        <v>not outlier</v>
      </c>
    </row>
    <row r="1487" spans="1:13" x14ac:dyDescent="0.25">
      <c r="A1487">
        <v>2022</v>
      </c>
      <c r="B1487">
        <v>3</v>
      </c>
      <c r="C1487" s="1" t="s">
        <v>8</v>
      </c>
      <c r="D1487" s="1" t="s">
        <v>9</v>
      </c>
      <c r="E1487" s="1" t="s">
        <v>10</v>
      </c>
      <c r="F1487" s="5">
        <v>14.1119</v>
      </c>
      <c r="G1487" s="5">
        <v>1000.988615</v>
      </c>
      <c r="H1487" s="5">
        <v>2.9634999999999998</v>
      </c>
      <c r="I1487">
        <v>478</v>
      </c>
      <c r="J1487" s="4" t="str">
        <f>IF(OR(Копия_20206[[#This Row],[Units (in 1000)]]&gt;$R$7,Копия_20206[[#This Row],[Units (in 1000)]]&lt;$R$6),"outlier","not outlier")</f>
        <v>not outlier</v>
      </c>
      <c r="K1487" s="4" t="str">
        <f>IF(OR(Копия_20206[[#This Row],[Value (in 1000 rub)]]&gt;$S$7,Копия_20206[[#This Row],[Value (in 1000 rub)]]&lt;$S$6),"outlier","not outlier")</f>
        <v>not outlier</v>
      </c>
      <c r="L1487" s="4" t="str">
        <f>IF(OR(Копия_20206[[#This Row],[Volume (in 1000 kg)]]&gt;$T$7,Копия_20206[[#This Row],[Volume (in 1000 kg)]]&lt;$T$6),"outlier","not outlier")</f>
        <v>not outlier</v>
      </c>
      <c r="M1487" s="4" t="str">
        <f>IF(OR(Копия_20206[[#This Row],[Number of stores]]&gt;$U$7,Копия_20206[[#This Row],[Number of stores]]&lt;$U$6),"outlier","not outlier")</f>
        <v>not outlier</v>
      </c>
    </row>
    <row r="1488" spans="1:13" x14ac:dyDescent="0.25">
      <c r="A1488">
        <v>2022</v>
      </c>
      <c r="B1488">
        <v>3</v>
      </c>
      <c r="C1488" s="1" t="s">
        <v>8</v>
      </c>
      <c r="D1488" s="1" t="s">
        <v>9</v>
      </c>
      <c r="E1488" s="1" t="s">
        <v>11</v>
      </c>
      <c r="F1488" s="5">
        <v>73.746099999999998</v>
      </c>
      <c r="G1488" s="5">
        <v>7356.7611919999999</v>
      </c>
      <c r="H1488" s="5">
        <v>25.811299999999999</v>
      </c>
      <c r="I1488">
        <v>710</v>
      </c>
      <c r="J1488" s="4" t="str">
        <f>IF(OR(Копия_20206[[#This Row],[Units (in 1000)]]&gt;$R$7,Копия_20206[[#This Row],[Units (in 1000)]]&lt;$R$6),"outlier","not outlier")</f>
        <v>outlier</v>
      </c>
      <c r="K1488" s="4" t="str">
        <f>IF(OR(Копия_20206[[#This Row],[Value (in 1000 rub)]]&gt;$S$7,Копия_20206[[#This Row],[Value (in 1000 rub)]]&lt;$S$6),"outlier","not outlier")</f>
        <v>outlier</v>
      </c>
      <c r="L1488" s="4" t="str">
        <f>IF(OR(Копия_20206[[#This Row],[Volume (in 1000 kg)]]&gt;$T$7,Копия_20206[[#This Row],[Volume (in 1000 kg)]]&lt;$T$6),"outlier","not outlier")</f>
        <v>outlier</v>
      </c>
      <c r="M1488" s="4" t="str">
        <f>IF(OR(Копия_20206[[#This Row],[Number of stores]]&gt;$U$7,Копия_20206[[#This Row],[Number of stores]]&lt;$U$6),"outlier","not outlier")</f>
        <v>not outlier</v>
      </c>
    </row>
    <row r="1489" spans="1:13" x14ac:dyDescent="0.25">
      <c r="A1489">
        <v>2022</v>
      </c>
      <c r="B1489">
        <v>3</v>
      </c>
      <c r="C1489" s="1" t="s">
        <v>8</v>
      </c>
      <c r="D1489" s="1" t="s">
        <v>9</v>
      </c>
      <c r="E1489" s="1" t="s">
        <v>12</v>
      </c>
      <c r="F1489" s="5">
        <v>55.554200000000002</v>
      </c>
      <c r="G1489" s="5">
        <v>6568.2463909999997</v>
      </c>
      <c r="H1489" s="5">
        <v>27.777100000000001</v>
      </c>
      <c r="I1489">
        <v>618</v>
      </c>
      <c r="J1489" s="4" t="str">
        <f>IF(OR(Копия_20206[[#This Row],[Units (in 1000)]]&gt;$R$7,Копия_20206[[#This Row],[Units (in 1000)]]&lt;$R$6),"outlier","not outlier")</f>
        <v>outlier</v>
      </c>
      <c r="K1489" s="4" t="str">
        <f>IF(OR(Копия_20206[[#This Row],[Value (in 1000 rub)]]&gt;$S$7,Копия_20206[[#This Row],[Value (in 1000 rub)]]&lt;$S$6),"outlier","not outlier")</f>
        <v>outlier</v>
      </c>
      <c r="L1489" s="4" t="str">
        <f>IF(OR(Копия_20206[[#This Row],[Volume (in 1000 kg)]]&gt;$T$7,Копия_20206[[#This Row],[Volume (in 1000 kg)]]&lt;$T$6),"outlier","not outlier")</f>
        <v>outlier</v>
      </c>
      <c r="M1489" s="4" t="str">
        <f>IF(OR(Копия_20206[[#This Row],[Number of stores]]&gt;$U$7,Копия_20206[[#This Row],[Number of stores]]&lt;$U$6),"outlier","not outlier")</f>
        <v>not outlier</v>
      </c>
    </row>
    <row r="1490" spans="1:13" x14ac:dyDescent="0.25">
      <c r="A1490">
        <v>2022</v>
      </c>
      <c r="B1490">
        <v>3</v>
      </c>
      <c r="C1490" s="1" t="s">
        <v>25</v>
      </c>
      <c r="D1490" s="1" t="s">
        <v>9</v>
      </c>
      <c r="E1490" s="1" t="s">
        <v>10</v>
      </c>
      <c r="F1490" s="5">
        <v>52.485700000000001</v>
      </c>
      <c r="G1490" s="5">
        <v>3593.9786079999999</v>
      </c>
      <c r="H1490" s="5">
        <v>11.022</v>
      </c>
      <c r="I1490">
        <v>8349</v>
      </c>
      <c r="J1490" s="4" t="str">
        <f>IF(OR(Копия_20206[[#This Row],[Units (in 1000)]]&gt;$R$7,Копия_20206[[#This Row],[Units (in 1000)]]&lt;$R$6),"outlier","not outlier")</f>
        <v>outlier</v>
      </c>
      <c r="K1490" s="4" t="str">
        <f>IF(OR(Копия_20206[[#This Row],[Value (in 1000 rub)]]&gt;$S$7,Копия_20206[[#This Row],[Value (in 1000 rub)]]&lt;$S$6),"outlier","not outlier")</f>
        <v>outlier</v>
      </c>
      <c r="L1490" s="4" t="str">
        <f>IF(OR(Копия_20206[[#This Row],[Volume (in 1000 kg)]]&gt;$T$7,Копия_20206[[#This Row],[Volume (in 1000 kg)]]&lt;$T$6),"outlier","not outlier")</f>
        <v>outlier</v>
      </c>
      <c r="M1490" s="4" t="str">
        <f>IF(OR(Копия_20206[[#This Row],[Number of stores]]&gt;$U$7,Копия_20206[[#This Row],[Number of stores]]&lt;$U$6),"outlier","not outlier")</f>
        <v>outlier</v>
      </c>
    </row>
    <row r="1491" spans="1:13" x14ac:dyDescent="0.25">
      <c r="A1491">
        <v>2022</v>
      </c>
      <c r="B1491">
        <v>3</v>
      </c>
      <c r="C1491" s="1" t="s">
        <v>25</v>
      </c>
      <c r="D1491" s="1" t="s">
        <v>9</v>
      </c>
      <c r="E1491" s="1" t="s">
        <v>11</v>
      </c>
      <c r="F1491" s="5">
        <v>62.9831</v>
      </c>
      <c r="G1491" s="5">
        <v>6762.7386630000001</v>
      </c>
      <c r="H1491" s="5">
        <v>22.0441</v>
      </c>
      <c r="I1491">
        <v>9221</v>
      </c>
      <c r="J1491" s="4" t="str">
        <f>IF(OR(Копия_20206[[#This Row],[Units (in 1000)]]&gt;$R$7,Копия_20206[[#This Row],[Units (in 1000)]]&lt;$R$6),"outlier","not outlier")</f>
        <v>outlier</v>
      </c>
      <c r="K1491" s="4" t="str">
        <f>IF(OR(Копия_20206[[#This Row],[Value (in 1000 rub)]]&gt;$S$7,Копия_20206[[#This Row],[Value (in 1000 rub)]]&lt;$S$6),"outlier","not outlier")</f>
        <v>outlier</v>
      </c>
      <c r="L1491" s="4" t="str">
        <f>IF(OR(Копия_20206[[#This Row],[Volume (in 1000 kg)]]&gt;$T$7,Копия_20206[[#This Row],[Volume (in 1000 kg)]]&lt;$T$6),"outlier","not outlier")</f>
        <v>outlier</v>
      </c>
      <c r="M1491" s="4" t="str">
        <f>IF(OR(Копия_20206[[#This Row],[Number of stores]]&gt;$U$7,Копия_20206[[#This Row],[Number of stores]]&lt;$U$6),"outlier","not outlier")</f>
        <v>outlier</v>
      </c>
    </row>
    <row r="1492" spans="1:13" x14ac:dyDescent="0.25">
      <c r="A1492">
        <v>2022</v>
      </c>
      <c r="B1492">
        <v>3</v>
      </c>
      <c r="C1492" s="1" t="s">
        <v>25</v>
      </c>
      <c r="D1492" s="1" t="s">
        <v>9</v>
      </c>
      <c r="E1492" s="1" t="s">
        <v>12</v>
      </c>
      <c r="F1492" s="5">
        <v>3.6111</v>
      </c>
      <c r="G1492" s="5">
        <v>602.11737300000004</v>
      </c>
      <c r="H1492" s="5">
        <v>1.8055000000000001</v>
      </c>
      <c r="I1492">
        <v>786</v>
      </c>
      <c r="J1492" s="4" t="str">
        <f>IF(OR(Копия_20206[[#This Row],[Units (in 1000)]]&gt;$R$7,Копия_20206[[#This Row],[Units (in 1000)]]&lt;$R$6),"outlier","not outlier")</f>
        <v>not outlier</v>
      </c>
      <c r="K1492" s="4" t="str">
        <f>IF(OR(Копия_20206[[#This Row],[Value (in 1000 rub)]]&gt;$S$7,Копия_20206[[#This Row],[Value (in 1000 rub)]]&lt;$S$6),"outlier","not outlier")</f>
        <v>not outlier</v>
      </c>
      <c r="L1492" s="4" t="str">
        <f>IF(OR(Копия_20206[[#This Row],[Volume (in 1000 kg)]]&gt;$T$7,Копия_20206[[#This Row],[Volume (in 1000 kg)]]&lt;$T$6),"outlier","not outlier")</f>
        <v>not outlier</v>
      </c>
      <c r="M1492" s="4" t="str">
        <f>IF(OR(Копия_20206[[#This Row],[Number of stores]]&gt;$U$7,Копия_20206[[#This Row],[Number of stores]]&lt;$U$6),"outlier","not outlier")</f>
        <v>not outlier</v>
      </c>
    </row>
    <row r="1493" spans="1:13" x14ac:dyDescent="0.25">
      <c r="A1493">
        <v>2022</v>
      </c>
      <c r="B1493">
        <v>3</v>
      </c>
      <c r="C1493" s="1" t="s">
        <v>25</v>
      </c>
      <c r="D1493" s="1" t="s">
        <v>9</v>
      </c>
      <c r="E1493" s="1" t="s">
        <v>13</v>
      </c>
      <c r="F1493" s="5">
        <v>0.31319999999999998</v>
      </c>
      <c r="G1493" s="5">
        <v>50.571637000000003</v>
      </c>
      <c r="H1493" s="5">
        <v>0.2349</v>
      </c>
      <c r="I1493">
        <v>179</v>
      </c>
      <c r="J1493" s="4" t="str">
        <f>IF(OR(Копия_20206[[#This Row],[Units (in 1000)]]&gt;$R$7,Копия_20206[[#This Row],[Units (in 1000)]]&lt;$R$6),"outlier","not outlier")</f>
        <v>not outlier</v>
      </c>
      <c r="K1493" s="4" t="str">
        <f>IF(OR(Копия_20206[[#This Row],[Value (in 1000 rub)]]&gt;$S$7,Копия_20206[[#This Row],[Value (in 1000 rub)]]&lt;$S$6),"outlier","not outlier")</f>
        <v>not outlier</v>
      </c>
      <c r="L1493" s="4" t="str">
        <f>IF(OR(Копия_20206[[#This Row],[Volume (in 1000 kg)]]&gt;$T$7,Копия_20206[[#This Row],[Volume (in 1000 kg)]]&lt;$T$6),"outlier","not outlier")</f>
        <v>not outlier</v>
      </c>
      <c r="M1493" s="4" t="str">
        <f>IF(OR(Копия_20206[[#This Row],[Number of stores]]&gt;$U$7,Копия_20206[[#This Row],[Number of stores]]&lt;$U$6),"outlier","not outlier")</f>
        <v>not outlier</v>
      </c>
    </row>
    <row r="1494" spans="1:13" x14ac:dyDescent="0.25">
      <c r="A1494">
        <v>2022</v>
      </c>
      <c r="B1494">
        <v>3</v>
      </c>
      <c r="C1494" s="1" t="s">
        <v>29</v>
      </c>
      <c r="D1494" s="1" t="s">
        <v>9</v>
      </c>
      <c r="E1494" s="1" t="s">
        <v>10</v>
      </c>
      <c r="F1494" s="5">
        <v>161.93020000000001</v>
      </c>
      <c r="G1494" s="5">
        <v>10159.89176</v>
      </c>
      <c r="H1494" s="5">
        <v>34.005299999999998</v>
      </c>
      <c r="I1494">
        <v>16513</v>
      </c>
      <c r="J1494" s="4" t="str">
        <f>IF(OR(Копия_20206[[#This Row],[Units (in 1000)]]&gt;$R$7,Копия_20206[[#This Row],[Units (in 1000)]]&lt;$R$6),"outlier","not outlier")</f>
        <v>outlier</v>
      </c>
      <c r="K1494" s="4" t="str">
        <f>IF(OR(Копия_20206[[#This Row],[Value (in 1000 rub)]]&gt;$S$7,Копия_20206[[#This Row],[Value (in 1000 rub)]]&lt;$S$6),"outlier","not outlier")</f>
        <v>outlier</v>
      </c>
      <c r="L1494" s="4" t="str">
        <f>IF(OR(Копия_20206[[#This Row],[Volume (in 1000 kg)]]&gt;$T$7,Копия_20206[[#This Row],[Volume (in 1000 kg)]]&lt;$T$6),"outlier","not outlier")</f>
        <v>outlier</v>
      </c>
      <c r="M1494" s="4" t="str">
        <f>IF(OR(Копия_20206[[#This Row],[Number of stores]]&gt;$U$7,Копия_20206[[#This Row],[Number of stores]]&lt;$U$6),"outlier","not outlier")</f>
        <v>outlier</v>
      </c>
    </row>
    <row r="1495" spans="1:13" x14ac:dyDescent="0.25">
      <c r="A1495">
        <v>2022</v>
      </c>
      <c r="B1495">
        <v>3</v>
      </c>
      <c r="C1495" s="1" t="s">
        <v>29</v>
      </c>
      <c r="D1495" s="1" t="s">
        <v>9</v>
      </c>
      <c r="E1495" s="1" t="s">
        <v>11</v>
      </c>
      <c r="F1495" s="5">
        <v>159.762</v>
      </c>
      <c r="G1495" s="5">
        <v>16676.614219999999</v>
      </c>
      <c r="H1495" s="5">
        <v>55.916600000000003</v>
      </c>
      <c r="I1495">
        <v>17796</v>
      </c>
      <c r="J1495" s="4" t="str">
        <f>IF(OR(Копия_20206[[#This Row],[Units (in 1000)]]&gt;$R$7,Копия_20206[[#This Row],[Units (in 1000)]]&lt;$R$6),"outlier","not outlier")</f>
        <v>outlier</v>
      </c>
      <c r="K1495" s="4" t="str">
        <f>IF(OR(Копия_20206[[#This Row],[Value (in 1000 rub)]]&gt;$S$7,Копия_20206[[#This Row],[Value (in 1000 rub)]]&lt;$S$6),"outlier","not outlier")</f>
        <v>outlier</v>
      </c>
      <c r="L1495" s="4" t="str">
        <f>IF(OR(Копия_20206[[#This Row],[Volume (in 1000 kg)]]&gt;$T$7,Копия_20206[[#This Row],[Volume (in 1000 kg)]]&lt;$T$6),"outlier","not outlier")</f>
        <v>outlier</v>
      </c>
      <c r="M1495" s="4" t="str">
        <f>IF(OR(Копия_20206[[#This Row],[Number of stores]]&gt;$U$7,Копия_20206[[#This Row],[Number of stores]]&lt;$U$6),"outlier","not outlier")</f>
        <v>outlier</v>
      </c>
    </row>
    <row r="1496" spans="1:13" x14ac:dyDescent="0.25">
      <c r="A1496">
        <v>2022</v>
      </c>
      <c r="B1496">
        <v>3</v>
      </c>
      <c r="C1496" s="1" t="s">
        <v>29</v>
      </c>
      <c r="D1496" s="1" t="s">
        <v>9</v>
      </c>
      <c r="E1496" s="1" t="s">
        <v>12</v>
      </c>
      <c r="F1496" s="5">
        <v>26.552499999999998</v>
      </c>
      <c r="G1496" s="5">
        <v>3433.7747290000002</v>
      </c>
      <c r="H1496" s="5">
        <v>13.276300000000001</v>
      </c>
      <c r="I1496">
        <v>918</v>
      </c>
      <c r="J1496" s="4" t="str">
        <f>IF(OR(Копия_20206[[#This Row],[Units (in 1000)]]&gt;$R$7,Копия_20206[[#This Row],[Units (in 1000)]]&lt;$R$6),"outlier","not outlier")</f>
        <v>outlier</v>
      </c>
      <c r="K1496" s="4" t="str">
        <f>IF(OR(Копия_20206[[#This Row],[Value (in 1000 rub)]]&gt;$S$7,Копия_20206[[#This Row],[Value (in 1000 rub)]]&lt;$S$6),"outlier","not outlier")</f>
        <v>outlier</v>
      </c>
      <c r="L1496" s="4" t="str">
        <f>IF(OR(Копия_20206[[#This Row],[Volume (in 1000 kg)]]&gt;$T$7,Копия_20206[[#This Row],[Volume (in 1000 kg)]]&lt;$T$6),"outlier","not outlier")</f>
        <v>outlier</v>
      </c>
      <c r="M1496" s="4" t="str">
        <f>IF(OR(Копия_20206[[#This Row],[Number of stores]]&gt;$U$7,Копия_20206[[#This Row],[Number of stores]]&lt;$U$6),"outlier","not outlier")</f>
        <v>not outlier</v>
      </c>
    </row>
    <row r="1497" spans="1:13" x14ac:dyDescent="0.25">
      <c r="A1497">
        <v>2022</v>
      </c>
      <c r="B1497">
        <v>3</v>
      </c>
      <c r="C1497" s="1" t="s">
        <v>29</v>
      </c>
      <c r="D1497" s="1" t="s">
        <v>9</v>
      </c>
      <c r="E1497" s="1" t="s">
        <v>13</v>
      </c>
      <c r="F1497" s="5">
        <v>1.6199999999999999E-2</v>
      </c>
      <c r="G1497" s="5">
        <v>3.358336</v>
      </c>
      <c r="H1497" s="5">
        <v>1.2200000000000001E-2</v>
      </c>
      <c r="I1497">
        <v>4</v>
      </c>
      <c r="J1497" s="4" t="str">
        <f>IF(OR(Копия_20206[[#This Row],[Units (in 1000)]]&gt;$R$7,Копия_20206[[#This Row],[Units (in 1000)]]&lt;$R$6),"outlier","not outlier")</f>
        <v>not outlier</v>
      </c>
      <c r="K1497" s="4" t="str">
        <f>IF(OR(Копия_20206[[#This Row],[Value (in 1000 rub)]]&gt;$S$7,Копия_20206[[#This Row],[Value (in 1000 rub)]]&lt;$S$6),"outlier","not outlier")</f>
        <v>not outlier</v>
      </c>
      <c r="L1497" s="4" t="str">
        <f>IF(OR(Копия_20206[[#This Row],[Volume (in 1000 kg)]]&gt;$T$7,Копия_20206[[#This Row],[Volume (in 1000 kg)]]&lt;$T$6),"outlier","not outlier")</f>
        <v>not outlier</v>
      </c>
      <c r="M1497" s="4" t="str">
        <f>IF(OR(Копия_20206[[#This Row],[Number of stores]]&gt;$U$7,Копия_20206[[#This Row],[Number of stores]]&lt;$U$6),"outlier","not outlier")</f>
        <v>not outlier</v>
      </c>
    </row>
    <row r="1498" spans="1:13" x14ac:dyDescent="0.25">
      <c r="A1498">
        <v>2022</v>
      </c>
      <c r="B1498">
        <v>4</v>
      </c>
      <c r="C1498" s="1" t="s">
        <v>8</v>
      </c>
      <c r="D1498" s="1" t="s">
        <v>9</v>
      </c>
      <c r="E1498" s="1" t="s">
        <v>10</v>
      </c>
      <c r="F1498" s="5">
        <v>11.337899999999999</v>
      </c>
      <c r="G1498" s="5">
        <v>820.41610800000001</v>
      </c>
      <c r="H1498" s="5">
        <v>2.3809</v>
      </c>
      <c r="I1498">
        <v>442</v>
      </c>
      <c r="J1498" s="4" t="str">
        <f>IF(OR(Копия_20206[[#This Row],[Units (in 1000)]]&gt;$R$7,Копия_20206[[#This Row],[Units (in 1000)]]&lt;$R$6),"outlier","not outlier")</f>
        <v>not outlier</v>
      </c>
      <c r="K1498" s="4" t="str">
        <f>IF(OR(Копия_20206[[#This Row],[Value (in 1000 rub)]]&gt;$S$7,Копия_20206[[#This Row],[Value (in 1000 rub)]]&lt;$S$6),"outlier","not outlier")</f>
        <v>not outlier</v>
      </c>
      <c r="L1498" s="4" t="str">
        <f>IF(OR(Копия_20206[[#This Row],[Volume (in 1000 kg)]]&gt;$T$7,Копия_20206[[#This Row],[Volume (in 1000 kg)]]&lt;$T$6),"outlier","not outlier")</f>
        <v>not outlier</v>
      </c>
      <c r="M1498" s="4" t="str">
        <f>IF(OR(Копия_20206[[#This Row],[Number of stores]]&gt;$U$7,Копия_20206[[#This Row],[Number of stores]]&lt;$U$6),"outlier","not outlier")</f>
        <v>not outlier</v>
      </c>
    </row>
    <row r="1499" spans="1:13" x14ac:dyDescent="0.25">
      <c r="A1499">
        <v>2022</v>
      </c>
      <c r="B1499">
        <v>4</v>
      </c>
      <c r="C1499" s="1" t="s">
        <v>8</v>
      </c>
      <c r="D1499" s="1" t="s">
        <v>9</v>
      </c>
      <c r="E1499" s="1" t="s">
        <v>11</v>
      </c>
      <c r="F1499" s="5">
        <v>54.245699999999999</v>
      </c>
      <c r="G1499" s="5">
        <v>5684.181431</v>
      </c>
      <c r="H1499" s="5">
        <v>18.986000000000001</v>
      </c>
      <c r="I1499">
        <v>679</v>
      </c>
      <c r="J1499" s="4" t="str">
        <f>IF(OR(Копия_20206[[#This Row],[Units (in 1000)]]&gt;$R$7,Копия_20206[[#This Row],[Units (in 1000)]]&lt;$R$6),"outlier","not outlier")</f>
        <v>outlier</v>
      </c>
      <c r="K1499" s="4" t="str">
        <f>IF(OR(Копия_20206[[#This Row],[Value (in 1000 rub)]]&gt;$S$7,Копия_20206[[#This Row],[Value (in 1000 rub)]]&lt;$S$6),"outlier","not outlier")</f>
        <v>outlier</v>
      </c>
      <c r="L1499" s="4" t="str">
        <f>IF(OR(Копия_20206[[#This Row],[Volume (in 1000 kg)]]&gt;$T$7,Копия_20206[[#This Row],[Volume (in 1000 kg)]]&lt;$T$6),"outlier","not outlier")</f>
        <v>outlier</v>
      </c>
      <c r="M1499" s="4" t="str">
        <f>IF(OR(Копия_20206[[#This Row],[Number of stores]]&gt;$U$7,Копия_20206[[#This Row],[Number of stores]]&lt;$U$6),"outlier","not outlier")</f>
        <v>not outlier</v>
      </c>
    </row>
    <row r="1500" spans="1:13" x14ac:dyDescent="0.25">
      <c r="A1500">
        <v>2022</v>
      </c>
      <c r="B1500">
        <v>4</v>
      </c>
      <c r="C1500" s="1" t="s">
        <v>8</v>
      </c>
      <c r="D1500" s="1" t="s">
        <v>9</v>
      </c>
      <c r="E1500" s="1" t="s">
        <v>12</v>
      </c>
      <c r="F1500" s="5">
        <v>25.783000000000001</v>
      </c>
      <c r="G1500" s="5">
        <v>3564.3508029999998</v>
      </c>
      <c r="H1500" s="5">
        <v>12.8916</v>
      </c>
      <c r="I1500">
        <v>538</v>
      </c>
      <c r="J1500" s="4" t="str">
        <f>IF(OR(Копия_20206[[#This Row],[Units (in 1000)]]&gt;$R$7,Копия_20206[[#This Row],[Units (in 1000)]]&lt;$R$6),"outlier","not outlier")</f>
        <v>outlier</v>
      </c>
      <c r="K1500" s="4" t="str">
        <f>IF(OR(Копия_20206[[#This Row],[Value (in 1000 rub)]]&gt;$S$7,Копия_20206[[#This Row],[Value (in 1000 rub)]]&lt;$S$6),"outlier","not outlier")</f>
        <v>outlier</v>
      </c>
      <c r="L1500" s="4" t="str">
        <f>IF(OR(Копия_20206[[#This Row],[Volume (in 1000 kg)]]&gt;$T$7,Копия_20206[[#This Row],[Volume (in 1000 kg)]]&lt;$T$6),"outlier","not outlier")</f>
        <v>outlier</v>
      </c>
      <c r="M1500" s="4" t="str">
        <f>IF(OR(Копия_20206[[#This Row],[Number of stores]]&gt;$U$7,Копия_20206[[#This Row],[Number of stores]]&lt;$U$6),"outlier","not outlier")</f>
        <v>not outlier</v>
      </c>
    </row>
    <row r="1501" spans="1:13" x14ac:dyDescent="0.25">
      <c r="A1501">
        <v>2022</v>
      </c>
      <c r="B1501">
        <v>4</v>
      </c>
      <c r="C1501" s="1" t="s">
        <v>25</v>
      </c>
      <c r="D1501" s="1" t="s">
        <v>9</v>
      </c>
      <c r="E1501" s="1" t="s">
        <v>10</v>
      </c>
      <c r="F1501" s="5">
        <v>41.018300000000004</v>
      </c>
      <c r="G1501" s="5">
        <v>2841.1043800000002</v>
      </c>
      <c r="H1501" s="5">
        <v>8.6137999999999995</v>
      </c>
      <c r="I1501">
        <v>7512</v>
      </c>
      <c r="J1501" s="4" t="str">
        <f>IF(OR(Копия_20206[[#This Row],[Units (in 1000)]]&gt;$R$7,Копия_20206[[#This Row],[Units (in 1000)]]&lt;$R$6),"outlier","not outlier")</f>
        <v>outlier</v>
      </c>
      <c r="K1501" s="4" t="str">
        <f>IF(OR(Копия_20206[[#This Row],[Value (in 1000 rub)]]&gt;$S$7,Копия_20206[[#This Row],[Value (in 1000 rub)]]&lt;$S$6),"outlier","not outlier")</f>
        <v>outlier</v>
      </c>
      <c r="L1501" s="4" t="str">
        <f>IF(OR(Копия_20206[[#This Row],[Volume (in 1000 kg)]]&gt;$T$7,Копия_20206[[#This Row],[Volume (in 1000 kg)]]&lt;$T$6),"outlier","not outlier")</f>
        <v>outlier</v>
      </c>
      <c r="M1501" s="4" t="str">
        <f>IF(OR(Копия_20206[[#This Row],[Number of stores]]&gt;$U$7,Копия_20206[[#This Row],[Number of stores]]&lt;$U$6),"outlier","not outlier")</f>
        <v>outlier</v>
      </c>
    </row>
    <row r="1502" spans="1:13" x14ac:dyDescent="0.25">
      <c r="A1502">
        <v>2022</v>
      </c>
      <c r="B1502">
        <v>4</v>
      </c>
      <c r="C1502" s="1" t="s">
        <v>25</v>
      </c>
      <c r="D1502" s="1" t="s">
        <v>9</v>
      </c>
      <c r="E1502" s="1" t="s">
        <v>11</v>
      </c>
      <c r="F1502" s="5">
        <v>61.099299999999999</v>
      </c>
      <c r="G1502" s="5">
        <v>6623.0000179999997</v>
      </c>
      <c r="H1502" s="5">
        <v>21.384699999999999</v>
      </c>
      <c r="I1502">
        <v>8855</v>
      </c>
      <c r="J1502" s="4" t="str">
        <f>IF(OR(Копия_20206[[#This Row],[Units (in 1000)]]&gt;$R$7,Копия_20206[[#This Row],[Units (in 1000)]]&lt;$R$6),"outlier","not outlier")</f>
        <v>outlier</v>
      </c>
      <c r="K1502" s="4" t="str">
        <f>IF(OR(Копия_20206[[#This Row],[Value (in 1000 rub)]]&gt;$S$7,Копия_20206[[#This Row],[Value (in 1000 rub)]]&lt;$S$6),"outlier","not outlier")</f>
        <v>outlier</v>
      </c>
      <c r="L1502" s="4" t="str">
        <f>IF(OR(Копия_20206[[#This Row],[Volume (in 1000 kg)]]&gt;$T$7,Копия_20206[[#This Row],[Volume (in 1000 kg)]]&lt;$T$6),"outlier","not outlier")</f>
        <v>outlier</v>
      </c>
      <c r="M1502" s="4" t="str">
        <f>IF(OR(Копия_20206[[#This Row],[Number of stores]]&gt;$U$7,Копия_20206[[#This Row],[Number of stores]]&lt;$U$6),"outlier","not outlier")</f>
        <v>outlier</v>
      </c>
    </row>
    <row r="1503" spans="1:13" x14ac:dyDescent="0.25">
      <c r="A1503">
        <v>2022</v>
      </c>
      <c r="B1503">
        <v>4</v>
      </c>
      <c r="C1503" s="1" t="s">
        <v>25</v>
      </c>
      <c r="D1503" s="1" t="s">
        <v>9</v>
      </c>
      <c r="E1503" s="1" t="s">
        <v>12</v>
      </c>
      <c r="F1503" s="5">
        <v>2.8633999999999999</v>
      </c>
      <c r="G1503" s="5">
        <v>525.96028000000001</v>
      </c>
      <c r="H1503" s="5">
        <v>1.4317</v>
      </c>
      <c r="I1503">
        <v>472</v>
      </c>
      <c r="J1503" s="4" t="str">
        <f>IF(OR(Копия_20206[[#This Row],[Units (in 1000)]]&gt;$R$7,Копия_20206[[#This Row],[Units (in 1000)]]&lt;$R$6),"outlier","not outlier")</f>
        <v>not outlier</v>
      </c>
      <c r="K1503" s="4" t="str">
        <f>IF(OR(Копия_20206[[#This Row],[Value (in 1000 rub)]]&gt;$S$7,Копия_20206[[#This Row],[Value (in 1000 rub)]]&lt;$S$6),"outlier","not outlier")</f>
        <v>not outlier</v>
      </c>
      <c r="L1503" s="4" t="str">
        <f>IF(OR(Копия_20206[[#This Row],[Volume (in 1000 kg)]]&gt;$T$7,Копия_20206[[#This Row],[Volume (in 1000 kg)]]&lt;$T$6),"outlier","not outlier")</f>
        <v>not outlier</v>
      </c>
      <c r="M1503" s="4" t="str">
        <f>IF(OR(Копия_20206[[#This Row],[Number of stores]]&gt;$U$7,Копия_20206[[#This Row],[Number of stores]]&lt;$U$6),"outlier","not outlier")</f>
        <v>not outlier</v>
      </c>
    </row>
    <row r="1504" spans="1:13" x14ac:dyDescent="0.25">
      <c r="A1504">
        <v>2022</v>
      </c>
      <c r="B1504">
        <v>4</v>
      </c>
      <c r="C1504" s="1" t="s">
        <v>25</v>
      </c>
      <c r="D1504" s="1" t="s">
        <v>9</v>
      </c>
      <c r="E1504" s="1" t="s">
        <v>13</v>
      </c>
      <c r="F1504" s="5">
        <v>0.30299999999999999</v>
      </c>
      <c r="G1504" s="5">
        <v>48.940376000000001</v>
      </c>
      <c r="H1504" s="5">
        <v>0.2273</v>
      </c>
      <c r="I1504">
        <v>179</v>
      </c>
      <c r="J1504" s="4" t="str">
        <f>IF(OR(Копия_20206[[#This Row],[Units (in 1000)]]&gt;$R$7,Копия_20206[[#This Row],[Units (in 1000)]]&lt;$R$6),"outlier","not outlier")</f>
        <v>not outlier</v>
      </c>
      <c r="K1504" s="4" t="str">
        <f>IF(OR(Копия_20206[[#This Row],[Value (in 1000 rub)]]&gt;$S$7,Копия_20206[[#This Row],[Value (in 1000 rub)]]&lt;$S$6),"outlier","not outlier")</f>
        <v>not outlier</v>
      </c>
      <c r="L1504" s="4" t="str">
        <f>IF(OR(Копия_20206[[#This Row],[Volume (in 1000 kg)]]&gt;$T$7,Копия_20206[[#This Row],[Volume (in 1000 kg)]]&lt;$T$6),"outlier","not outlier")</f>
        <v>not outlier</v>
      </c>
      <c r="M1504" s="4" t="str">
        <f>IF(OR(Копия_20206[[#This Row],[Number of stores]]&gt;$U$7,Копия_20206[[#This Row],[Number of stores]]&lt;$U$6),"outlier","not outlier")</f>
        <v>not outlier</v>
      </c>
    </row>
    <row r="1505" spans="1:13" x14ac:dyDescent="0.25">
      <c r="A1505">
        <v>2022</v>
      </c>
      <c r="B1505">
        <v>4</v>
      </c>
      <c r="C1505" s="1" t="s">
        <v>29</v>
      </c>
      <c r="D1505" s="1" t="s">
        <v>9</v>
      </c>
      <c r="E1505" s="1" t="s">
        <v>10</v>
      </c>
      <c r="F1505" s="5">
        <v>94.072100000000006</v>
      </c>
      <c r="G1505" s="5">
        <v>6235.1577299999999</v>
      </c>
      <c r="H1505" s="5">
        <v>19.755099999999999</v>
      </c>
      <c r="I1505">
        <v>13935</v>
      </c>
      <c r="J1505" s="4" t="str">
        <f>IF(OR(Копия_20206[[#This Row],[Units (in 1000)]]&gt;$R$7,Копия_20206[[#This Row],[Units (in 1000)]]&lt;$R$6),"outlier","not outlier")</f>
        <v>outlier</v>
      </c>
      <c r="K1505" s="4" t="str">
        <f>IF(OR(Копия_20206[[#This Row],[Value (in 1000 rub)]]&gt;$S$7,Копия_20206[[#This Row],[Value (in 1000 rub)]]&lt;$S$6),"outlier","not outlier")</f>
        <v>outlier</v>
      </c>
      <c r="L1505" s="4" t="str">
        <f>IF(OR(Копия_20206[[#This Row],[Volume (in 1000 kg)]]&gt;$T$7,Копия_20206[[#This Row],[Volume (in 1000 kg)]]&lt;$T$6),"outlier","not outlier")</f>
        <v>outlier</v>
      </c>
      <c r="M1505" s="4" t="str">
        <f>IF(OR(Копия_20206[[#This Row],[Number of stores]]&gt;$U$7,Копия_20206[[#This Row],[Number of stores]]&lt;$U$6),"outlier","not outlier")</f>
        <v>outlier</v>
      </c>
    </row>
    <row r="1506" spans="1:13" x14ac:dyDescent="0.25">
      <c r="A1506">
        <v>2022</v>
      </c>
      <c r="B1506">
        <v>4</v>
      </c>
      <c r="C1506" s="1" t="s">
        <v>29</v>
      </c>
      <c r="D1506" s="1" t="s">
        <v>9</v>
      </c>
      <c r="E1506" s="1" t="s">
        <v>11</v>
      </c>
      <c r="F1506" s="5">
        <v>150.4402</v>
      </c>
      <c r="G1506" s="5">
        <v>15700.382104</v>
      </c>
      <c r="H1506" s="5">
        <v>52.6541</v>
      </c>
      <c r="I1506">
        <v>17610</v>
      </c>
      <c r="J1506" s="4" t="str">
        <f>IF(OR(Копия_20206[[#This Row],[Units (in 1000)]]&gt;$R$7,Копия_20206[[#This Row],[Units (in 1000)]]&lt;$R$6),"outlier","not outlier")</f>
        <v>outlier</v>
      </c>
      <c r="K1506" s="4" t="str">
        <f>IF(OR(Копия_20206[[#This Row],[Value (in 1000 rub)]]&gt;$S$7,Копия_20206[[#This Row],[Value (in 1000 rub)]]&lt;$S$6),"outlier","not outlier")</f>
        <v>outlier</v>
      </c>
      <c r="L1506" s="4" t="str">
        <f>IF(OR(Копия_20206[[#This Row],[Volume (in 1000 kg)]]&gt;$T$7,Копия_20206[[#This Row],[Volume (in 1000 kg)]]&lt;$T$6),"outlier","not outlier")</f>
        <v>outlier</v>
      </c>
      <c r="M1506" s="4" t="str">
        <f>IF(OR(Копия_20206[[#This Row],[Number of stores]]&gt;$U$7,Копия_20206[[#This Row],[Number of stores]]&lt;$U$6),"outlier","not outlier")</f>
        <v>outlier</v>
      </c>
    </row>
    <row r="1507" spans="1:13" x14ac:dyDescent="0.25">
      <c r="A1507">
        <v>2022</v>
      </c>
      <c r="B1507">
        <v>4</v>
      </c>
      <c r="C1507" s="1" t="s">
        <v>29</v>
      </c>
      <c r="D1507" s="1" t="s">
        <v>9</v>
      </c>
      <c r="E1507" s="1" t="s">
        <v>12</v>
      </c>
      <c r="F1507" s="5">
        <v>12.196300000000001</v>
      </c>
      <c r="G1507" s="5">
        <v>1938.3899759999999</v>
      </c>
      <c r="H1507" s="5">
        <v>6.0980999999999996</v>
      </c>
      <c r="I1507">
        <v>971</v>
      </c>
      <c r="J1507" s="4" t="str">
        <f>IF(OR(Копия_20206[[#This Row],[Units (in 1000)]]&gt;$R$7,Копия_20206[[#This Row],[Units (in 1000)]]&lt;$R$6),"outlier","not outlier")</f>
        <v>not outlier</v>
      </c>
      <c r="K1507" s="4" t="str">
        <f>IF(OR(Копия_20206[[#This Row],[Value (in 1000 rub)]]&gt;$S$7,Копия_20206[[#This Row],[Value (in 1000 rub)]]&lt;$S$6),"outlier","not outlier")</f>
        <v>not outlier</v>
      </c>
      <c r="L1507" s="4" t="str">
        <f>IF(OR(Копия_20206[[#This Row],[Volume (in 1000 kg)]]&gt;$T$7,Копия_20206[[#This Row],[Volume (in 1000 kg)]]&lt;$T$6),"outlier","not outlier")</f>
        <v>not outlier</v>
      </c>
      <c r="M1507" s="4" t="str">
        <f>IF(OR(Копия_20206[[#This Row],[Number of stores]]&gt;$U$7,Копия_20206[[#This Row],[Number of stores]]&lt;$U$6),"outlier","not outlier")</f>
        <v>not outlier</v>
      </c>
    </row>
    <row r="1508" spans="1:13" x14ac:dyDescent="0.25">
      <c r="A1508">
        <v>2022</v>
      </c>
      <c r="B1508">
        <v>4</v>
      </c>
      <c r="C1508" s="1" t="s">
        <v>29</v>
      </c>
      <c r="D1508" s="1" t="s">
        <v>9</v>
      </c>
      <c r="E1508" s="1" t="s">
        <v>13</v>
      </c>
      <c r="F1508" s="5">
        <v>1.5699999999999999E-2</v>
      </c>
      <c r="G1508" s="5">
        <v>3.2499920000000002</v>
      </c>
      <c r="H1508" s="5">
        <v>1.18E-2</v>
      </c>
      <c r="I1508">
        <v>4</v>
      </c>
      <c r="J1508" s="4" t="str">
        <f>IF(OR(Копия_20206[[#This Row],[Units (in 1000)]]&gt;$R$7,Копия_20206[[#This Row],[Units (in 1000)]]&lt;$R$6),"outlier","not outlier")</f>
        <v>not outlier</v>
      </c>
      <c r="K1508" s="4" t="str">
        <f>IF(OR(Копия_20206[[#This Row],[Value (in 1000 rub)]]&gt;$S$7,Копия_20206[[#This Row],[Value (in 1000 rub)]]&lt;$S$6),"outlier","not outlier")</f>
        <v>not outlier</v>
      </c>
      <c r="L1508" s="4" t="str">
        <f>IF(OR(Копия_20206[[#This Row],[Volume (in 1000 kg)]]&gt;$T$7,Копия_20206[[#This Row],[Volume (in 1000 kg)]]&lt;$T$6),"outlier","not outlier")</f>
        <v>not outlier</v>
      </c>
      <c r="M1508" s="4" t="str">
        <f>IF(OR(Копия_20206[[#This Row],[Number of stores]]&gt;$U$7,Копия_20206[[#This Row],[Number of stores]]&lt;$U$6),"outlier","not outlier")</f>
        <v>not outlier</v>
      </c>
    </row>
    <row r="1509" spans="1:13" x14ac:dyDescent="0.25">
      <c r="A1509">
        <v>2022</v>
      </c>
      <c r="B1509">
        <v>5</v>
      </c>
      <c r="C1509" s="1" t="s">
        <v>8</v>
      </c>
      <c r="D1509" s="1" t="s">
        <v>9</v>
      </c>
      <c r="E1509" s="1" t="s">
        <v>10</v>
      </c>
      <c r="F1509" s="5">
        <v>10.422700000000001</v>
      </c>
      <c r="G1509" s="5">
        <v>773.76654099999996</v>
      </c>
      <c r="H1509" s="5">
        <v>2.1888000000000001</v>
      </c>
      <c r="I1509">
        <v>423</v>
      </c>
      <c r="J1509" s="4" t="str">
        <f>IF(OR(Копия_20206[[#This Row],[Units (in 1000)]]&gt;$R$7,Копия_20206[[#This Row],[Units (in 1000)]]&lt;$R$6),"outlier","not outlier")</f>
        <v>not outlier</v>
      </c>
      <c r="K1509" s="4" t="str">
        <f>IF(OR(Копия_20206[[#This Row],[Value (in 1000 rub)]]&gt;$S$7,Копия_20206[[#This Row],[Value (in 1000 rub)]]&lt;$S$6),"outlier","not outlier")</f>
        <v>not outlier</v>
      </c>
      <c r="L1509" s="4" t="str">
        <f>IF(OR(Копия_20206[[#This Row],[Volume (in 1000 kg)]]&gt;$T$7,Копия_20206[[#This Row],[Volume (in 1000 kg)]]&lt;$T$6),"outlier","not outlier")</f>
        <v>not outlier</v>
      </c>
      <c r="M1509" s="4" t="str">
        <f>IF(OR(Копия_20206[[#This Row],[Number of stores]]&gt;$U$7,Копия_20206[[#This Row],[Number of stores]]&lt;$U$6),"outlier","not outlier")</f>
        <v>not outlier</v>
      </c>
    </row>
    <row r="1510" spans="1:13" x14ac:dyDescent="0.25">
      <c r="A1510">
        <v>2022</v>
      </c>
      <c r="B1510">
        <v>5</v>
      </c>
      <c r="C1510" s="1" t="s">
        <v>8</v>
      </c>
      <c r="D1510" s="1" t="s">
        <v>9</v>
      </c>
      <c r="E1510" s="1" t="s">
        <v>11</v>
      </c>
      <c r="F1510" s="5">
        <v>42.728000000000002</v>
      </c>
      <c r="G1510" s="5">
        <v>4568.3092669999996</v>
      </c>
      <c r="H1510" s="5">
        <v>14.9549</v>
      </c>
      <c r="I1510">
        <v>677</v>
      </c>
      <c r="J1510" s="4" t="str">
        <f>IF(OR(Копия_20206[[#This Row],[Units (in 1000)]]&gt;$R$7,Копия_20206[[#This Row],[Units (in 1000)]]&lt;$R$6),"outlier","not outlier")</f>
        <v>outlier</v>
      </c>
      <c r="K1510" s="4" t="str">
        <f>IF(OR(Копия_20206[[#This Row],[Value (in 1000 rub)]]&gt;$S$7,Копия_20206[[#This Row],[Value (in 1000 rub)]]&lt;$S$6),"outlier","not outlier")</f>
        <v>outlier</v>
      </c>
      <c r="L1510" s="4" t="str">
        <f>IF(OR(Копия_20206[[#This Row],[Volume (in 1000 kg)]]&gt;$T$7,Копия_20206[[#This Row],[Volume (in 1000 kg)]]&lt;$T$6),"outlier","not outlier")</f>
        <v>outlier</v>
      </c>
      <c r="M1510" s="4" t="str">
        <f>IF(OR(Копия_20206[[#This Row],[Number of stores]]&gt;$U$7,Копия_20206[[#This Row],[Number of stores]]&lt;$U$6),"outlier","not outlier")</f>
        <v>not outlier</v>
      </c>
    </row>
    <row r="1511" spans="1:13" x14ac:dyDescent="0.25">
      <c r="A1511">
        <v>2022</v>
      </c>
      <c r="B1511">
        <v>5</v>
      </c>
      <c r="C1511" s="1" t="s">
        <v>8</v>
      </c>
      <c r="D1511" s="1" t="s">
        <v>9</v>
      </c>
      <c r="E1511" s="1" t="s">
        <v>12</v>
      </c>
      <c r="F1511" s="5">
        <v>38.6723</v>
      </c>
      <c r="G1511" s="5">
        <v>4738.7843540000003</v>
      </c>
      <c r="H1511" s="5">
        <v>19.336099999999998</v>
      </c>
      <c r="I1511">
        <v>554</v>
      </c>
      <c r="J1511" s="4" t="str">
        <f>IF(OR(Копия_20206[[#This Row],[Units (in 1000)]]&gt;$R$7,Копия_20206[[#This Row],[Units (in 1000)]]&lt;$R$6),"outlier","not outlier")</f>
        <v>outlier</v>
      </c>
      <c r="K1511" s="4" t="str">
        <f>IF(OR(Копия_20206[[#This Row],[Value (in 1000 rub)]]&gt;$S$7,Копия_20206[[#This Row],[Value (in 1000 rub)]]&lt;$S$6),"outlier","not outlier")</f>
        <v>outlier</v>
      </c>
      <c r="L1511" s="4" t="str">
        <f>IF(OR(Копия_20206[[#This Row],[Volume (in 1000 kg)]]&gt;$T$7,Копия_20206[[#This Row],[Volume (in 1000 kg)]]&lt;$T$6),"outlier","not outlier")</f>
        <v>outlier</v>
      </c>
      <c r="M1511" s="4" t="str">
        <f>IF(OR(Копия_20206[[#This Row],[Number of stores]]&gt;$U$7,Копия_20206[[#This Row],[Number of stores]]&lt;$U$6),"outlier","not outlier")</f>
        <v>not outlier</v>
      </c>
    </row>
    <row r="1512" spans="1:13" x14ac:dyDescent="0.25">
      <c r="A1512">
        <v>2022</v>
      </c>
      <c r="B1512">
        <v>5</v>
      </c>
      <c r="C1512" s="1" t="s">
        <v>25</v>
      </c>
      <c r="D1512" s="1" t="s">
        <v>9</v>
      </c>
      <c r="E1512" s="1" t="s">
        <v>10</v>
      </c>
      <c r="F1512" s="5">
        <v>38.142800000000001</v>
      </c>
      <c r="G1512" s="5">
        <v>2383.2716610000002</v>
      </c>
      <c r="H1512" s="5">
        <v>8.01</v>
      </c>
      <c r="I1512">
        <v>6985</v>
      </c>
      <c r="J1512" s="4" t="str">
        <f>IF(OR(Копия_20206[[#This Row],[Units (in 1000)]]&gt;$R$7,Копия_20206[[#This Row],[Units (in 1000)]]&lt;$R$6),"outlier","not outlier")</f>
        <v>outlier</v>
      </c>
      <c r="K1512" s="4" t="str">
        <f>IF(OR(Копия_20206[[#This Row],[Value (in 1000 rub)]]&gt;$S$7,Копия_20206[[#This Row],[Value (in 1000 rub)]]&lt;$S$6),"outlier","not outlier")</f>
        <v>outlier</v>
      </c>
      <c r="L1512" s="4" t="str">
        <f>IF(OR(Копия_20206[[#This Row],[Volume (in 1000 kg)]]&gt;$T$7,Копия_20206[[#This Row],[Volume (in 1000 kg)]]&lt;$T$6),"outlier","not outlier")</f>
        <v>outlier</v>
      </c>
      <c r="M1512" s="4" t="str">
        <f>IF(OR(Копия_20206[[#This Row],[Number of stores]]&gt;$U$7,Копия_20206[[#This Row],[Number of stores]]&lt;$U$6),"outlier","not outlier")</f>
        <v>outlier</v>
      </c>
    </row>
    <row r="1513" spans="1:13" x14ac:dyDescent="0.25">
      <c r="A1513">
        <v>2022</v>
      </c>
      <c r="B1513">
        <v>5</v>
      </c>
      <c r="C1513" s="1" t="s">
        <v>25</v>
      </c>
      <c r="D1513" s="1" t="s">
        <v>9</v>
      </c>
      <c r="E1513" s="1" t="s">
        <v>11</v>
      </c>
      <c r="F1513" s="5">
        <v>62.5334</v>
      </c>
      <c r="G1513" s="5">
        <v>6723.1640189999998</v>
      </c>
      <c r="H1513" s="5">
        <v>21.886500000000002</v>
      </c>
      <c r="I1513">
        <v>8839</v>
      </c>
      <c r="J1513" s="4" t="str">
        <f>IF(OR(Копия_20206[[#This Row],[Units (in 1000)]]&gt;$R$7,Копия_20206[[#This Row],[Units (in 1000)]]&lt;$R$6),"outlier","not outlier")</f>
        <v>outlier</v>
      </c>
      <c r="K1513" s="4" t="str">
        <f>IF(OR(Копия_20206[[#This Row],[Value (in 1000 rub)]]&gt;$S$7,Копия_20206[[#This Row],[Value (in 1000 rub)]]&lt;$S$6),"outlier","not outlier")</f>
        <v>outlier</v>
      </c>
      <c r="L1513" s="4" t="str">
        <f>IF(OR(Копия_20206[[#This Row],[Volume (in 1000 kg)]]&gt;$T$7,Копия_20206[[#This Row],[Volume (in 1000 kg)]]&lt;$T$6),"outlier","not outlier")</f>
        <v>outlier</v>
      </c>
      <c r="M1513" s="4" t="str">
        <f>IF(OR(Копия_20206[[#This Row],[Number of stores]]&gt;$U$7,Копия_20206[[#This Row],[Number of stores]]&lt;$U$6),"outlier","not outlier")</f>
        <v>outlier</v>
      </c>
    </row>
    <row r="1514" spans="1:13" x14ac:dyDescent="0.25">
      <c r="A1514">
        <v>2022</v>
      </c>
      <c r="B1514">
        <v>5</v>
      </c>
      <c r="C1514" s="1" t="s">
        <v>25</v>
      </c>
      <c r="D1514" s="1" t="s">
        <v>9</v>
      </c>
      <c r="E1514" s="1" t="s">
        <v>12</v>
      </c>
      <c r="F1514" s="5">
        <v>2.8616000000000001</v>
      </c>
      <c r="G1514" s="5">
        <v>523.02981699999998</v>
      </c>
      <c r="H1514" s="5">
        <v>1.4308000000000001</v>
      </c>
      <c r="I1514">
        <v>438</v>
      </c>
      <c r="J1514" s="4" t="str">
        <f>IF(OR(Копия_20206[[#This Row],[Units (in 1000)]]&gt;$R$7,Копия_20206[[#This Row],[Units (in 1000)]]&lt;$R$6),"outlier","not outlier")</f>
        <v>not outlier</v>
      </c>
      <c r="K1514" s="4" t="str">
        <f>IF(OR(Копия_20206[[#This Row],[Value (in 1000 rub)]]&gt;$S$7,Копия_20206[[#This Row],[Value (in 1000 rub)]]&lt;$S$6),"outlier","not outlier")</f>
        <v>not outlier</v>
      </c>
      <c r="L1514" s="4" t="str">
        <f>IF(OR(Копия_20206[[#This Row],[Volume (in 1000 kg)]]&gt;$T$7,Копия_20206[[#This Row],[Volume (in 1000 kg)]]&lt;$T$6),"outlier","not outlier")</f>
        <v>not outlier</v>
      </c>
      <c r="M1514" s="4" t="str">
        <f>IF(OR(Копия_20206[[#This Row],[Number of stores]]&gt;$U$7,Копия_20206[[#This Row],[Number of stores]]&lt;$U$6),"outlier","not outlier")</f>
        <v>not outlier</v>
      </c>
    </row>
    <row r="1515" spans="1:13" x14ac:dyDescent="0.25">
      <c r="A1515">
        <v>2022</v>
      </c>
      <c r="B1515">
        <v>5</v>
      </c>
      <c r="C1515" s="1" t="s">
        <v>25</v>
      </c>
      <c r="D1515" s="1" t="s">
        <v>9</v>
      </c>
      <c r="E1515" s="1" t="s">
        <v>13</v>
      </c>
      <c r="F1515" s="5">
        <v>0.29330000000000001</v>
      </c>
      <c r="G1515" s="5">
        <v>47.363750000000003</v>
      </c>
      <c r="H1515" s="5">
        <v>0.21990000000000001</v>
      </c>
      <c r="I1515">
        <v>168</v>
      </c>
      <c r="J1515" s="4" t="str">
        <f>IF(OR(Копия_20206[[#This Row],[Units (in 1000)]]&gt;$R$7,Копия_20206[[#This Row],[Units (in 1000)]]&lt;$R$6),"outlier","not outlier")</f>
        <v>not outlier</v>
      </c>
      <c r="K1515" s="4" t="str">
        <f>IF(OR(Копия_20206[[#This Row],[Value (in 1000 rub)]]&gt;$S$7,Копия_20206[[#This Row],[Value (in 1000 rub)]]&lt;$S$6),"outlier","not outlier")</f>
        <v>not outlier</v>
      </c>
      <c r="L1515" s="4" t="str">
        <f>IF(OR(Копия_20206[[#This Row],[Volume (in 1000 kg)]]&gt;$T$7,Копия_20206[[#This Row],[Volume (in 1000 kg)]]&lt;$T$6),"outlier","not outlier")</f>
        <v>not outlier</v>
      </c>
      <c r="M1515" s="4" t="str">
        <f>IF(OR(Копия_20206[[#This Row],[Number of stores]]&gt;$U$7,Копия_20206[[#This Row],[Number of stores]]&lt;$U$6),"outlier","not outlier")</f>
        <v>not outlier</v>
      </c>
    </row>
    <row r="1516" spans="1:13" x14ac:dyDescent="0.25">
      <c r="A1516">
        <v>2022</v>
      </c>
      <c r="B1516">
        <v>5</v>
      </c>
      <c r="C1516" s="1" t="s">
        <v>29</v>
      </c>
      <c r="D1516" s="1" t="s">
        <v>9</v>
      </c>
      <c r="E1516" s="1" t="s">
        <v>10</v>
      </c>
      <c r="F1516" s="5">
        <v>83.008799999999994</v>
      </c>
      <c r="G1516" s="5">
        <v>5184.360197</v>
      </c>
      <c r="H1516" s="5">
        <v>17.431899999999999</v>
      </c>
      <c r="I1516">
        <v>12256</v>
      </c>
      <c r="J1516" s="4" t="str">
        <f>IF(OR(Копия_20206[[#This Row],[Units (in 1000)]]&gt;$R$7,Копия_20206[[#This Row],[Units (in 1000)]]&lt;$R$6),"outlier","not outlier")</f>
        <v>outlier</v>
      </c>
      <c r="K1516" s="4" t="str">
        <f>IF(OR(Копия_20206[[#This Row],[Value (in 1000 rub)]]&gt;$S$7,Копия_20206[[#This Row],[Value (in 1000 rub)]]&lt;$S$6),"outlier","not outlier")</f>
        <v>outlier</v>
      </c>
      <c r="L1516" s="4" t="str">
        <f>IF(OR(Копия_20206[[#This Row],[Volume (in 1000 kg)]]&gt;$T$7,Копия_20206[[#This Row],[Volume (in 1000 kg)]]&lt;$T$6),"outlier","not outlier")</f>
        <v>outlier</v>
      </c>
      <c r="M1516" s="4" t="str">
        <f>IF(OR(Копия_20206[[#This Row],[Number of stores]]&gt;$U$7,Копия_20206[[#This Row],[Number of stores]]&lt;$U$6),"outlier","not outlier")</f>
        <v>outlier</v>
      </c>
    </row>
    <row r="1517" spans="1:13" x14ac:dyDescent="0.25">
      <c r="A1517">
        <v>2022</v>
      </c>
      <c r="B1517">
        <v>5</v>
      </c>
      <c r="C1517" s="1" t="s">
        <v>29</v>
      </c>
      <c r="D1517" s="1" t="s">
        <v>9</v>
      </c>
      <c r="E1517" s="1" t="s">
        <v>11</v>
      </c>
      <c r="F1517" s="5">
        <v>139.11660000000001</v>
      </c>
      <c r="G1517" s="5">
        <v>14277.08856</v>
      </c>
      <c r="H1517" s="5">
        <v>48.6907</v>
      </c>
      <c r="I1517">
        <v>18024</v>
      </c>
      <c r="J1517" s="4" t="str">
        <f>IF(OR(Копия_20206[[#This Row],[Units (in 1000)]]&gt;$R$7,Копия_20206[[#This Row],[Units (in 1000)]]&lt;$R$6),"outlier","not outlier")</f>
        <v>outlier</v>
      </c>
      <c r="K1517" s="4" t="str">
        <f>IF(OR(Копия_20206[[#This Row],[Value (in 1000 rub)]]&gt;$S$7,Копия_20206[[#This Row],[Value (in 1000 rub)]]&lt;$S$6),"outlier","not outlier")</f>
        <v>outlier</v>
      </c>
      <c r="L1517" s="4" t="str">
        <f>IF(OR(Копия_20206[[#This Row],[Volume (in 1000 kg)]]&gt;$T$7,Копия_20206[[#This Row],[Volume (in 1000 kg)]]&lt;$T$6),"outlier","not outlier")</f>
        <v>outlier</v>
      </c>
      <c r="M1517" s="4" t="str">
        <f>IF(OR(Копия_20206[[#This Row],[Number of stores]]&gt;$U$7,Копия_20206[[#This Row],[Number of stores]]&lt;$U$6),"outlier","not outlier")</f>
        <v>outlier</v>
      </c>
    </row>
    <row r="1518" spans="1:13" x14ac:dyDescent="0.25">
      <c r="A1518">
        <v>2022</v>
      </c>
      <c r="B1518">
        <v>5</v>
      </c>
      <c r="C1518" s="1" t="s">
        <v>29</v>
      </c>
      <c r="D1518" s="1" t="s">
        <v>9</v>
      </c>
      <c r="E1518" s="1" t="s">
        <v>12</v>
      </c>
      <c r="F1518" s="5">
        <v>11.2546</v>
      </c>
      <c r="G1518" s="5">
        <v>1644.230536</v>
      </c>
      <c r="H1518" s="5">
        <v>5.6273</v>
      </c>
      <c r="I1518">
        <v>891</v>
      </c>
      <c r="J1518" s="4" t="str">
        <f>IF(OR(Копия_20206[[#This Row],[Units (in 1000)]]&gt;$R$7,Копия_20206[[#This Row],[Units (in 1000)]]&lt;$R$6),"outlier","not outlier")</f>
        <v>not outlier</v>
      </c>
      <c r="K1518" s="4" t="str">
        <f>IF(OR(Копия_20206[[#This Row],[Value (in 1000 rub)]]&gt;$S$7,Копия_20206[[#This Row],[Value (in 1000 rub)]]&lt;$S$6),"outlier","not outlier")</f>
        <v>not outlier</v>
      </c>
      <c r="L1518" s="4" t="str">
        <f>IF(OR(Копия_20206[[#This Row],[Volume (in 1000 kg)]]&gt;$T$7,Копия_20206[[#This Row],[Volume (in 1000 kg)]]&lt;$T$6),"outlier","not outlier")</f>
        <v>not outlier</v>
      </c>
      <c r="M1518" s="4" t="str">
        <f>IF(OR(Копия_20206[[#This Row],[Number of stores]]&gt;$U$7,Копия_20206[[#This Row],[Number of stores]]&lt;$U$6),"outlier","not outlier")</f>
        <v>not outlier</v>
      </c>
    </row>
    <row r="1519" spans="1:13" x14ac:dyDescent="0.25">
      <c r="A1519">
        <v>2022</v>
      </c>
      <c r="B1519">
        <v>5</v>
      </c>
      <c r="C1519" s="1" t="s">
        <v>29</v>
      </c>
      <c r="D1519" s="1" t="s">
        <v>9</v>
      </c>
      <c r="E1519" s="1" t="s">
        <v>13</v>
      </c>
      <c r="F1519" s="5">
        <v>1.7299999999999999E-2</v>
      </c>
      <c r="G1519" s="5">
        <v>3.582185</v>
      </c>
      <c r="H1519" s="5">
        <v>1.2999999999999999E-2</v>
      </c>
      <c r="I1519">
        <v>5</v>
      </c>
      <c r="J1519" s="4" t="str">
        <f>IF(OR(Копия_20206[[#This Row],[Units (in 1000)]]&gt;$R$7,Копия_20206[[#This Row],[Units (in 1000)]]&lt;$R$6),"outlier","not outlier")</f>
        <v>not outlier</v>
      </c>
      <c r="K1519" s="4" t="str">
        <f>IF(OR(Копия_20206[[#This Row],[Value (in 1000 rub)]]&gt;$S$7,Копия_20206[[#This Row],[Value (in 1000 rub)]]&lt;$S$6),"outlier","not outlier")</f>
        <v>not outlier</v>
      </c>
      <c r="L1519" s="4" t="str">
        <f>IF(OR(Копия_20206[[#This Row],[Volume (in 1000 kg)]]&gt;$T$7,Копия_20206[[#This Row],[Volume (in 1000 kg)]]&lt;$T$6),"outlier","not outlier")</f>
        <v>not outlier</v>
      </c>
      <c r="M1519" s="4" t="str">
        <f>IF(OR(Копия_20206[[#This Row],[Number of stores]]&gt;$U$7,Копия_20206[[#This Row],[Number of stores]]&lt;$U$6),"outlier","not outlier")</f>
        <v>not outlier</v>
      </c>
    </row>
    <row r="1520" spans="1:13" x14ac:dyDescent="0.25">
      <c r="A1520">
        <v>2022</v>
      </c>
      <c r="B1520">
        <v>6</v>
      </c>
      <c r="C1520" s="1" t="s">
        <v>8</v>
      </c>
      <c r="D1520" s="1" t="s">
        <v>9</v>
      </c>
      <c r="E1520" s="1" t="s">
        <v>10</v>
      </c>
      <c r="F1520" s="5">
        <v>7.5260999999999996</v>
      </c>
      <c r="G1520" s="5">
        <v>562.87664700000005</v>
      </c>
      <c r="H1520" s="5">
        <v>1.5805</v>
      </c>
      <c r="I1520">
        <v>403</v>
      </c>
      <c r="J1520" s="4" t="str">
        <f>IF(OR(Копия_20206[[#This Row],[Units (in 1000)]]&gt;$R$7,Копия_20206[[#This Row],[Units (in 1000)]]&lt;$R$6),"outlier","not outlier")</f>
        <v>not outlier</v>
      </c>
      <c r="K1520" s="4" t="str">
        <f>IF(OR(Копия_20206[[#This Row],[Value (in 1000 rub)]]&gt;$S$7,Копия_20206[[#This Row],[Value (in 1000 rub)]]&lt;$S$6),"outlier","not outlier")</f>
        <v>not outlier</v>
      </c>
      <c r="L1520" s="4" t="str">
        <f>IF(OR(Копия_20206[[#This Row],[Volume (in 1000 kg)]]&gt;$T$7,Копия_20206[[#This Row],[Volume (in 1000 kg)]]&lt;$T$6),"outlier","not outlier")</f>
        <v>not outlier</v>
      </c>
      <c r="M1520" s="4" t="str">
        <f>IF(OR(Копия_20206[[#This Row],[Number of stores]]&gt;$U$7,Копия_20206[[#This Row],[Number of stores]]&lt;$U$6),"outlier","not outlier")</f>
        <v>not outlier</v>
      </c>
    </row>
    <row r="1521" spans="1:13" x14ac:dyDescent="0.25">
      <c r="A1521">
        <v>2022</v>
      </c>
      <c r="B1521">
        <v>6</v>
      </c>
      <c r="C1521" s="1" t="s">
        <v>8</v>
      </c>
      <c r="D1521" s="1" t="s">
        <v>9</v>
      </c>
      <c r="E1521" s="1" t="s">
        <v>11</v>
      </c>
      <c r="F1521" s="5">
        <v>56.865200000000002</v>
      </c>
      <c r="G1521" s="5">
        <v>5681.495903</v>
      </c>
      <c r="H1521" s="5">
        <v>19.902799999999999</v>
      </c>
      <c r="I1521">
        <v>681</v>
      </c>
      <c r="J1521" s="4" t="str">
        <f>IF(OR(Копия_20206[[#This Row],[Units (in 1000)]]&gt;$R$7,Копия_20206[[#This Row],[Units (in 1000)]]&lt;$R$6),"outlier","not outlier")</f>
        <v>outlier</v>
      </c>
      <c r="K1521" s="4" t="str">
        <f>IF(OR(Копия_20206[[#This Row],[Value (in 1000 rub)]]&gt;$S$7,Копия_20206[[#This Row],[Value (in 1000 rub)]]&lt;$S$6),"outlier","not outlier")</f>
        <v>outlier</v>
      </c>
      <c r="L1521" s="4" t="str">
        <f>IF(OR(Копия_20206[[#This Row],[Volume (in 1000 kg)]]&gt;$T$7,Копия_20206[[#This Row],[Volume (in 1000 kg)]]&lt;$T$6),"outlier","not outlier")</f>
        <v>outlier</v>
      </c>
      <c r="M1521" s="4" t="str">
        <f>IF(OR(Копия_20206[[#This Row],[Number of stores]]&gt;$U$7,Копия_20206[[#This Row],[Number of stores]]&lt;$U$6),"outlier","not outlier")</f>
        <v>not outlier</v>
      </c>
    </row>
    <row r="1522" spans="1:13" x14ac:dyDescent="0.25">
      <c r="A1522">
        <v>2022</v>
      </c>
      <c r="B1522">
        <v>6</v>
      </c>
      <c r="C1522" s="1" t="s">
        <v>8</v>
      </c>
      <c r="D1522" s="1" t="s">
        <v>9</v>
      </c>
      <c r="E1522" s="1" t="s">
        <v>12</v>
      </c>
      <c r="F1522" s="5">
        <v>22.7316</v>
      </c>
      <c r="G1522" s="5">
        <v>2922.3966789999999</v>
      </c>
      <c r="H1522" s="5">
        <v>11.3659</v>
      </c>
      <c r="I1522">
        <v>558</v>
      </c>
      <c r="J1522" s="4" t="str">
        <f>IF(OR(Копия_20206[[#This Row],[Units (in 1000)]]&gt;$R$7,Копия_20206[[#This Row],[Units (in 1000)]]&lt;$R$6),"outlier","not outlier")</f>
        <v>not outlier</v>
      </c>
      <c r="K1522" s="4" t="str">
        <f>IF(OR(Копия_20206[[#This Row],[Value (in 1000 rub)]]&gt;$S$7,Копия_20206[[#This Row],[Value (in 1000 rub)]]&lt;$S$6),"outlier","not outlier")</f>
        <v>outlier</v>
      </c>
      <c r="L1522" s="4" t="str">
        <f>IF(OR(Копия_20206[[#This Row],[Volume (in 1000 kg)]]&gt;$T$7,Копия_20206[[#This Row],[Volume (in 1000 kg)]]&lt;$T$6),"outlier","not outlier")</f>
        <v>outlier</v>
      </c>
      <c r="M1522" s="4" t="str">
        <f>IF(OR(Копия_20206[[#This Row],[Number of stores]]&gt;$U$7,Копия_20206[[#This Row],[Number of stores]]&lt;$U$6),"outlier","not outlier")</f>
        <v>not outlier</v>
      </c>
    </row>
    <row r="1523" spans="1:13" x14ac:dyDescent="0.25">
      <c r="A1523">
        <v>2022</v>
      </c>
      <c r="B1523">
        <v>6</v>
      </c>
      <c r="C1523" s="1" t="s">
        <v>25</v>
      </c>
      <c r="D1523" s="1" t="s">
        <v>9</v>
      </c>
      <c r="E1523" s="1" t="s">
        <v>10</v>
      </c>
      <c r="F1523" s="5">
        <v>23.008400000000002</v>
      </c>
      <c r="G1523" s="5">
        <v>1685.635691</v>
      </c>
      <c r="H1523" s="5">
        <v>4.8318000000000003</v>
      </c>
      <c r="I1523">
        <v>5156</v>
      </c>
      <c r="J1523" s="4" t="str">
        <f>IF(OR(Копия_20206[[#This Row],[Units (in 1000)]]&gt;$R$7,Копия_20206[[#This Row],[Units (in 1000)]]&lt;$R$6),"outlier","not outlier")</f>
        <v>not outlier</v>
      </c>
      <c r="K1523" s="4" t="str">
        <f>IF(OR(Копия_20206[[#This Row],[Value (in 1000 rub)]]&gt;$S$7,Копия_20206[[#This Row],[Value (in 1000 rub)]]&lt;$S$6),"outlier","not outlier")</f>
        <v>not outlier</v>
      </c>
      <c r="L1523" s="4" t="str">
        <f>IF(OR(Копия_20206[[#This Row],[Volume (in 1000 kg)]]&gt;$T$7,Копия_20206[[#This Row],[Volume (in 1000 kg)]]&lt;$T$6),"outlier","not outlier")</f>
        <v>not outlier</v>
      </c>
      <c r="M1523" s="4" t="str">
        <f>IF(OR(Копия_20206[[#This Row],[Number of stores]]&gt;$U$7,Копия_20206[[#This Row],[Number of stores]]&lt;$U$6),"outlier","not outlier")</f>
        <v>outlier</v>
      </c>
    </row>
    <row r="1524" spans="1:13" x14ac:dyDescent="0.25">
      <c r="A1524">
        <v>2022</v>
      </c>
      <c r="B1524">
        <v>6</v>
      </c>
      <c r="C1524" s="1" t="s">
        <v>25</v>
      </c>
      <c r="D1524" s="1" t="s">
        <v>9</v>
      </c>
      <c r="E1524" s="1" t="s">
        <v>11</v>
      </c>
      <c r="F1524" s="5">
        <v>49.532600000000002</v>
      </c>
      <c r="G1524" s="5">
        <v>5592.5030820000002</v>
      </c>
      <c r="H1524" s="5">
        <v>17.336400000000001</v>
      </c>
      <c r="I1524">
        <v>9047</v>
      </c>
      <c r="J1524" s="4" t="str">
        <f>IF(OR(Копия_20206[[#This Row],[Units (in 1000)]]&gt;$R$7,Копия_20206[[#This Row],[Units (in 1000)]]&lt;$R$6),"outlier","not outlier")</f>
        <v>outlier</v>
      </c>
      <c r="K1524" s="4" t="str">
        <f>IF(OR(Копия_20206[[#This Row],[Value (in 1000 rub)]]&gt;$S$7,Копия_20206[[#This Row],[Value (in 1000 rub)]]&lt;$S$6),"outlier","not outlier")</f>
        <v>outlier</v>
      </c>
      <c r="L1524" s="4" t="str">
        <f>IF(OR(Копия_20206[[#This Row],[Volume (in 1000 kg)]]&gt;$T$7,Копия_20206[[#This Row],[Volume (in 1000 kg)]]&lt;$T$6),"outlier","not outlier")</f>
        <v>outlier</v>
      </c>
      <c r="M1524" s="4" t="str">
        <f>IF(OR(Копия_20206[[#This Row],[Number of stores]]&gt;$U$7,Копия_20206[[#This Row],[Number of stores]]&lt;$U$6),"outlier","not outlier")</f>
        <v>outlier</v>
      </c>
    </row>
    <row r="1525" spans="1:13" x14ac:dyDescent="0.25">
      <c r="A1525">
        <v>2022</v>
      </c>
      <c r="B1525">
        <v>6</v>
      </c>
      <c r="C1525" s="1" t="s">
        <v>25</v>
      </c>
      <c r="D1525" s="1" t="s">
        <v>9</v>
      </c>
      <c r="E1525" s="1" t="s">
        <v>12</v>
      </c>
      <c r="F1525" s="5">
        <v>1.6842999999999999</v>
      </c>
      <c r="G1525" s="5">
        <v>272.15079900000001</v>
      </c>
      <c r="H1525" s="5">
        <v>0.84219999999999995</v>
      </c>
      <c r="I1525">
        <v>405</v>
      </c>
      <c r="J1525" s="4" t="str">
        <f>IF(OR(Копия_20206[[#This Row],[Units (in 1000)]]&gt;$R$7,Копия_20206[[#This Row],[Units (in 1000)]]&lt;$R$6),"outlier","not outlier")</f>
        <v>not outlier</v>
      </c>
      <c r="K1525" s="4" t="str">
        <f>IF(OR(Копия_20206[[#This Row],[Value (in 1000 rub)]]&gt;$S$7,Копия_20206[[#This Row],[Value (in 1000 rub)]]&lt;$S$6),"outlier","not outlier")</f>
        <v>not outlier</v>
      </c>
      <c r="L1525" s="4" t="str">
        <f>IF(OR(Копия_20206[[#This Row],[Volume (in 1000 kg)]]&gt;$T$7,Копия_20206[[#This Row],[Volume (in 1000 kg)]]&lt;$T$6),"outlier","not outlier")</f>
        <v>not outlier</v>
      </c>
      <c r="M1525" s="4" t="str">
        <f>IF(OR(Копия_20206[[#This Row],[Number of stores]]&gt;$U$7,Копия_20206[[#This Row],[Number of stores]]&lt;$U$6),"outlier","not outlier")</f>
        <v>not outlier</v>
      </c>
    </row>
    <row r="1526" spans="1:13" x14ac:dyDescent="0.25">
      <c r="A1526">
        <v>2022</v>
      </c>
      <c r="B1526">
        <v>6</v>
      </c>
      <c r="C1526" s="1" t="s">
        <v>25</v>
      </c>
      <c r="D1526" s="1" t="s">
        <v>9</v>
      </c>
      <c r="E1526" s="1" t="s">
        <v>13</v>
      </c>
      <c r="F1526" s="5">
        <v>0.2838</v>
      </c>
      <c r="G1526" s="5">
        <v>45.835925000000003</v>
      </c>
      <c r="H1526" s="5">
        <v>0.21279999999999999</v>
      </c>
      <c r="I1526">
        <v>168</v>
      </c>
      <c r="J1526" s="4" t="str">
        <f>IF(OR(Копия_20206[[#This Row],[Units (in 1000)]]&gt;$R$7,Копия_20206[[#This Row],[Units (in 1000)]]&lt;$R$6),"outlier","not outlier")</f>
        <v>not outlier</v>
      </c>
      <c r="K1526" s="4" t="str">
        <f>IF(OR(Копия_20206[[#This Row],[Value (in 1000 rub)]]&gt;$S$7,Копия_20206[[#This Row],[Value (in 1000 rub)]]&lt;$S$6),"outlier","not outlier")</f>
        <v>not outlier</v>
      </c>
      <c r="L1526" s="4" t="str">
        <f>IF(OR(Копия_20206[[#This Row],[Volume (in 1000 kg)]]&gt;$T$7,Копия_20206[[#This Row],[Volume (in 1000 kg)]]&lt;$T$6),"outlier","not outlier")</f>
        <v>not outlier</v>
      </c>
      <c r="M1526" s="4" t="str">
        <f>IF(OR(Копия_20206[[#This Row],[Number of stores]]&gt;$U$7,Копия_20206[[#This Row],[Number of stores]]&lt;$U$6),"outlier","not outlier")</f>
        <v>not outlier</v>
      </c>
    </row>
    <row r="1527" spans="1:13" x14ac:dyDescent="0.25">
      <c r="A1527">
        <v>2022</v>
      </c>
      <c r="B1527">
        <v>6</v>
      </c>
      <c r="C1527" s="1" t="s">
        <v>29</v>
      </c>
      <c r="D1527" s="1" t="s">
        <v>9</v>
      </c>
      <c r="E1527" s="1" t="s">
        <v>10</v>
      </c>
      <c r="F1527" s="5">
        <v>51.0212</v>
      </c>
      <c r="G1527" s="5">
        <v>3597.9911860000002</v>
      </c>
      <c r="H1527" s="5">
        <v>10.714399999999999</v>
      </c>
      <c r="I1527">
        <v>9488</v>
      </c>
      <c r="J1527" s="4" t="str">
        <f>IF(OR(Копия_20206[[#This Row],[Units (in 1000)]]&gt;$R$7,Копия_20206[[#This Row],[Units (in 1000)]]&lt;$R$6),"outlier","not outlier")</f>
        <v>outlier</v>
      </c>
      <c r="K1527" s="4" t="str">
        <f>IF(OR(Копия_20206[[#This Row],[Value (in 1000 rub)]]&gt;$S$7,Копия_20206[[#This Row],[Value (in 1000 rub)]]&lt;$S$6),"outlier","not outlier")</f>
        <v>outlier</v>
      </c>
      <c r="L1527" s="4" t="str">
        <f>IF(OR(Копия_20206[[#This Row],[Volume (in 1000 kg)]]&gt;$T$7,Копия_20206[[#This Row],[Volume (in 1000 kg)]]&lt;$T$6),"outlier","not outlier")</f>
        <v>outlier</v>
      </c>
      <c r="M1527" s="4" t="str">
        <f>IF(OR(Копия_20206[[#This Row],[Number of stores]]&gt;$U$7,Копия_20206[[#This Row],[Number of stores]]&lt;$U$6),"outlier","not outlier")</f>
        <v>outlier</v>
      </c>
    </row>
    <row r="1528" spans="1:13" x14ac:dyDescent="0.25">
      <c r="A1528">
        <v>2022</v>
      </c>
      <c r="B1528">
        <v>6</v>
      </c>
      <c r="C1528" s="1" t="s">
        <v>29</v>
      </c>
      <c r="D1528" s="1" t="s">
        <v>9</v>
      </c>
      <c r="E1528" s="1" t="s">
        <v>11</v>
      </c>
      <c r="F1528" s="5">
        <v>107.7345</v>
      </c>
      <c r="G1528" s="5">
        <v>12022.168798000001</v>
      </c>
      <c r="H1528" s="5">
        <v>37.707000000000001</v>
      </c>
      <c r="I1528">
        <v>17303</v>
      </c>
      <c r="J1528" s="4" t="str">
        <f>IF(OR(Копия_20206[[#This Row],[Units (in 1000)]]&gt;$R$7,Копия_20206[[#This Row],[Units (in 1000)]]&lt;$R$6),"outlier","not outlier")</f>
        <v>outlier</v>
      </c>
      <c r="K1528" s="4" t="str">
        <f>IF(OR(Копия_20206[[#This Row],[Value (in 1000 rub)]]&gt;$S$7,Копия_20206[[#This Row],[Value (in 1000 rub)]]&lt;$S$6),"outlier","not outlier")</f>
        <v>outlier</v>
      </c>
      <c r="L1528" s="4" t="str">
        <f>IF(OR(Копия_20206[[#This Row],[Volume (in 1000 kg)]]&gt;$T$7,Копия_20206[[#This Row],[Volume (in 1000 kg)]]&lt;$T$6),"outlier","not outlier")</f>
        <v>outlier</v>
      </c>
      <c r="M1528" s="4" t="str">
        <f>IF(OR(Копия_20206[[#This Row],[Number of stores]]&gt;$U$7,Копия_20206[[#This Row],[Number of stores]]&lt;$U$6),"outlier","not outlier")</f>
        <v>outlier</v>
      </c>
    </row>
    <row r="1529" spans="1:13" x14ac:dyDescent="0.25">
      <c r="A1529">
        <v>2022</v>
      </c>
      <c r="B1529">
        <v>6</v>
      </c>
      <c r="C1529" s="1" t="s">
        <v>29</v>
      </c>
      <c r="D1529" s="1" t="s">
        <v>9</v>
      </c>
      <c r="E1529" s="1" t="s">
        <v>12</v>
      </c>
      <c r="F1529" s="5">
        <v>7.0644</v>
      </c>
      <c r="G1529" s="5">
        <v>1132.8631600000001</v>
      </c>
      <c r="H1529" s="5">
        <v>3.5320999999999998</v>
      </c>
      <c r="I1529">
        <v>824</v>
      </c>
      <c r="J1529" s="4" t="str">
        <f>IF(OR(Копия_20206[[#This Row],[Units (in 1000)]]&gt;$R$7,Копия_20206[[#This Row],[Units (in 1000)]]&lt;$R$6),"outlier","not outlier")</f>
        <v>not outlier</v>
      </c>
      <c r="K1529" s="4" t="str">
        <f>IF(OR(Копия_20206[[#This Row],[Value (in 1000 rub)]]&gt;$S$7,Копия_20206[[#This Row],[Value (in 1000 rub)]]&lt;$S$6),"outlier","not outlier")</f>
        <v>not outlier</v>
      </c>
      <c r="L1529" s="4" t="str">
        <f>IF(OR(Копия_20206[[#This Row],[Volume (in 1000 kg)]]&gt;$T$7,Копия_20206[[#This Row],[Volume (in 1000 kg)]]&lt;$T$6),"outlier","not outlier")</f>
        <v>not outlier</v>
      </c>
      <c r="M1529" s="4" t="str">
        <f>IF(OR(Копия_20206[[#This Row],[Number of stores]]&gt;$U$7,Копия_20206[[#This Row],[Number of stores]]&lt;$U$6),"outlier","not outlier")</f>
        <v>not outlier</v>
      </c>
    </row>
    <row r="1530" spans="1:13" x14ac:dyDescent="0.25">
      <c r="A1530">
        <v>2022</v>
      </c>
      <c r="B1530">
        <v>6</v>
      </c>
      <c r="C1530" s="1" t="s">
        <v>29</v>
      </c>
      <c r="D1530" s="1" t="s">
        <v>9</v>
      </c>
      <c r="E1530" s="1" t="s">
        <v>13</v>
      </c>
      <c r="F1530" s="5">
        <v>1.6799999999999999E-2</v>
      </c>
      <c r="G1530" s="5">
        <v>3.4666800000000002</v>
      </c>
      <c r="H1530" s="5">
        <v>1.26E-2</v>
      </c>
      <c r="I1530">
        <v>5</v>
      </c>
      <c r="J1530" s="4" t="str">
        <f>IF(OR(Копия_20206[[#This Row],[Units (in 1000)]]&gt;$R$7,Копия_20206[[#This Row],[Units (in 1000)]]&lt;$R$6),"outlier","not outlier")</f>
        <v>not outlier</v>
      </c>
      <c r="K1530" s="4" t="str">
        <f>IF(OR(Копия_20206[[#This Row],[Value (in 1000 rub)]]&gt;$S$7,Копия_20206[[#This Row],[Value (in 1000 rub)]]&lt;$S$6),"outlier","not outlier")</f>
        <v>not outlier</v>
      </c>
      <c r="L1530" s="4" t="str">
        <f>IF(OR(Копия_20206[[#This Row],[Volume (in 1000 kg)]]&gt;$T$7,Копия_20206[[#This Row],[Volume (in 1000 kg)]]&lt;$T$6),"outlier","not outlier")</f>
        <v>not outlier</v>
      </c>
      <c r="M1530" s="4" t="str">
        <f>IF(OR(Копия_20206[[#This Row],[Number of stores]]&gt;$U$7,Копия_20206[[#This Row],[Number of stores]]&lt;$U$6),"outlier","not outlier")</f>
        <v>not outlier</v>
      </c>
    </row>
    <row r="1531" spans="1:13" x14ac:dyDescent="0.25">
      <c r="A1531">
        <v>2022</v>
      </c>
      <c r="B1531">
        <v>7</v>
      </c>
      <c r="C1531" s="1" t="s">
        <v>8</v>
      </c>
      <c r="D1531" s="1" t="s">
        <v>9</v>
      </c>
      <c r="E1531" s="1" t="s">
        <v>10</v>
      </c>
      <c r="F1531" s="5">
        <v>7.9512</v>
      </c>
      <c r="G1531" s="5">
        <v>593.09145999999998</v>
      </c>
      <c r="H1531" s="5">
        <v>1.6698</v>
      </c>
      <c r="I1531">
        <v>431</v>
      </c>
      <c r="J1531" s="4" t="str">
        <f>IF(OR(Копия_20206[[#This Row],[Units (in 1000)]]&gt;$R$7,Копия_20206[[#This Row],[Units (in 1000)]]&lt;$R$6),"outlier","not outlier")</f>
        <v>not outlier</v>
      </c>
      <c r="K1531" s="4" t="str">
        <f>IF(OR(Копия_20206[[#This Row],[Value (in 1000 rub)]]&gt;$S$7,Копия_20206[[#This Row],[Value (in 1000 rub)]]&lt;$S$6),"outlier","not outlier")</f>
        <v>not outlier</v>
      </c>
      <c r="L1531" s="4" t="str">
        <f>IF(OR(Копия_20206[[#This Row],[Volume (in 1000 kg)]]&gt;$T$7,Копия_20206[[#This Row],[Volume (in 1000 kg)]]&lt;$T$6),"outlier","not outlier")</f>
        <v>not outlier</v>
      </c>
      <c r="M1531" s="4" t="str">
        <f>IF(OR(Копия_20206[[#This Row],[Number of stores]]&gt;$U$7,Копия_20206[[#This Row],[Number of stores]]&lt;$U$6),"outlier","not outlier")</f>
        <v>not outlier</v>
      </c>
    </row>
    <row r="1532" spans="1:13" x14ac:dyDescent="0.25">
      <c r="A1532">
        <v>2022</v>
      </c>
      <c r="B1532">
        <v>7</v>
      </c>
      <c r="C1532" s="1" t="s">
        <v>8</v>
      </c>
      <c r="D1532" s="1" t="s">
        <v>9</v>
      </c>
      <c r="E1532" s="1" t="s">
        <v>11</v>
      </c>
      <c r="F1532" s="5">
        <v>38.008899999999997</v>
      </c>
      <c r="G1532" s="5">
        <v>4003.4489410000001</v>
      </c>
      <c r="H1532" s="5">
        <v>13.3033</v>
      </c>
      <c r="I1532">
        <v>654</v>
      </c>
      <c r="J1532" s="4" t="str">
        <f>IF(OR(Копия_20206[[#This Row],[Units (in 1000)]]&gt;$R$7,Копия_20206[[#This Row],[Units (in 1000)]]&lt;$R$6),"outlier","not outlier")</f>
        <v>outlier</v>
      </c>
      <c r="K1532" s="4" t="str">
        <f>IF(OR(Копия_20206[[#This Row],[Value (in 1000 rub)]]&gt;$S$7,Копия_20206[[#This Row],[Value (in 1000 rub)]]&lt;$S$6),"outlier","not outlier")</f>
        <v>outlier</v>
      </c>
      <c r="L1532" s="4" t="str">
        <f>IF(OR(Копия_20206[[#This Row],[Volume (in 1000 kg)]]&gt;$T$7,Копия_20206[[#This Row],[Volume (in 1000 kg)]]&lt;$T$6),"outlier","not outlier")</f>
        <v>outlier</v>
      </c>
      <c r="M1532" s="4" t="str">
        <f>IF(OR(Копия_20206[[#This Row],[Number of stores]]&gt;$U$7,Копия_20206[[#This Row],[Number of stores]]&lt;$U$6),"outlier","not outlier")</f>
        <v>not outlier</v>
      </c>
    </row>
    <row r="1533" spans="1:13" x14ac:dyDescent="0.25">
      <c r="A1533">
        <v>2022</v>
      </c>
      <c r="B1533">
        <v>7</v>
      </c>
      <c r="C1533" s="1" t="s">
        <v>8</v>
      </c>
      <c r="D1533" s="1" t="s">
        <v>9</v>
      </c>
      <c r="E1533" s="1" t="s">
        <v>12</v>
      </c>
      <c r="F1533" s="5">
        <v>24.308599999999998</v>
      </c>
      <c r="G1533" s="5">
        <v>3206.174313</v>
      </c>
      <c r="H1533" s="5">
        <v>12.154400000000001</v>
      </c>
      <c r="I1533">
        <v>540</v>
      </c>
      <c r="J1533" s="4" t="str">
        <f>IF(OR(Копия_20206[[#This Row],[Units (in 1000)]]&gt;$R$7,Копия_20206[[#This Row],[Units (in 1000)]]&lt;$R$6),"outlier","not outlier")</f>
        <v>outlier</v>
      </c>
      <c r="K1533" s="4" t="str">
        <f>IF(OR(Копия_20206[[#This Row],[Value (in 1000 rub)]]&gt;$S$7,Копия_20206[[#This Row],[Value (in 1000 rub)]]&lt;$S$6),"outlier","not outlier")</f>
        <v>outlier</v>
      </c>
      <c r="L1533" s="4" t="str">
        <f>IF(OR(Копия_20206[[#This Row],[Volume (in 1000 kg)]]&gt;$T$7,Копия_20206[[#This Row],[Volume (in 1000 kg)]]&lt;$T$6),"outlier","not outlier")</f>
        <v>outlier</v>
      </c>
      <c r="M1533" s="4" t="str">
        <f>IF(OR(Копия_20206[[#This Row],[Number of stores]]&gt;$U$7,Копия_20206[[#This Row],[Number of stores]]&lt;$U$6),"outlier","not outlier")</f>
        <v>not outlier</v>
      </c>
    </row>
    <row r="1534" spans="1:13" x14ac:dyDescent="0.25">
      <c r="A1534">
        <v>2022</v>
      </c>
      <c r="B1534">
        <v>7</v>
      </c>
      <c r="C1534" s="1" t="s">
        <v>25</v>
      </c>
      <c r="D1534" s="1" t="s">
        <v>9</v>
      </c>
      <c r="E1534" s="1" t="s">
        <v>10</v>
      </c>
      <c r="F1534" s="5">
        <v>21.645199999999999</v>
      </c>
      <c r="G1534" s="5">
        <v>1619.21498</v>
      </c>
      <c r="H1534" s="5">
        <v>4.5454999999999997</v>
      </c>
      <c r="I1534">
        <v>4711</v>
      </c>
      <c r="J1534" s="4" t="str">
        <f>IF(OR(Копия_20206[[#This Row],[Units (in 1000)]]&gt;$R$7,Копия_20206[[#This Row],[Units (in 1000)]]&lt;$R$6),"outlier","not outlier")</f>
        <v>not outlier</v>
      </c>
      <c r="K1534" s="4" t="str">
        <f>IF(OR(Копия_20206[[#This Row],[Value (in 1000 rub)]]&gt;$S$7,Копия_20206[[#This Row],[Value (in 1000 rub)]]&lt;$S$6),"outlier","not outlier")</f>
        <v>not outlier</v>
      </c>
      <c r="L1534" s="4" t="str">
        <f>IF(OR(Копия_20206[[#This Row],[Volume (in 1000 kg)]]&gt;$T$7,Копия_20206[[#This Row],[Volume (in 1000 kg)]]&lt;$T$6),"outlier","not outlier")</f>
        <v>not outlier</v>
      </c>
      <c r="M1534" s="4" t="str">
        <f>IF(OR(Копия_20206[[#This Row],[Number of stores]]&gt;$U$7,Копия_20206[[#This Row],[Number of stores]]&lt;$U$6),"outlier","not outlier")</f>
        <v>outlier</v>
      </c>
    </row>
    <row r="1535" spans="1:13" x14ac:dyDescent="0.25">
      <c r="A1535">
        <v>2022</v>
      </c>
      <c r="B1535">
        <v>7</v>
      </c>
      <c r="C1535" s="1" t="s">
        <v>25</v>
      </c>
      <c r="D1535" s="1" t="s">
        <v>9</v>
      </c>
      <c r="E1535" s="1" t="s">
        <v>11</v>
      </c>
      <c r="F1535" s="5">
        <v>59.872500000000002</v>
      </c>
      <c r="G1535" s="5">
        <v>6284.66363</v>
      </c>
      <c r="H1535" s="5">
        <v>20.955400000000001</v>
      </c>
      <c r="I1535">
        <v>9650</v>
      </c>
      <c r="J1535" s="4" t="str">
        <f>IF(OR(Копия_20206[[#This Row],[Units (in 1000)]]&gt;$R$7,Копия_20206[[#This Row],[Units (in 1000)]]&lt;$R$6),"outlier","not outlier")</f>
        <v>outlier</v>
      </c>
      <c r="K1535" s="4" t="str">
        <f>IF(OR(Копия_20206[[#This Row],[Value (in 1000 rub)]]&gt;$S$7,Копия_20206[[#This Row],[Value (in 1000 rub)]]&lt;$S$6),"outlier","not outlier")</f>
        <v>outlier</v>
      </c>
      <c r="L1535" s="4" t="str">
        <f>IF(OR(Копия_20206[[#This Row],[Volume (in 1000 kg)]]&gt;$T$7,Копия_20206[[#This Row],[Volume (in 1000 kg)]]&lt;$T$6),"outlier","not outlier")</f>
        <v>outlier</v>
      </c>
      <c r="M1535" s="4" t="str">
        <f>IF(OR(Копия_20206[[#This Row],[Number of stores]]&gt;$U$7,Копия_20206[[#This Row],[Number of stores]]&lt;$U$6),"outlier","not outlier")</f>
        <v>outlier</v>
      </c>
    </row>
    <row r="1536" spans="1:13" x14ac:dyDescent="0.25">
      <c r="A1536">
        <v>2022</v>
      </c>
      <c r="B1536">
        <v>7</v>
      </c>
      <c r="C1536" s="1" t="s">
        <v>25</v>
      </c>
      <c r="D1536" s="1" t="s">
        <v>9</v>
      </c>
      <c r="E1536" s="1" t="s">
        <v>12</v>
      </c>
      <c r="F1536" s="5">
        <v>1.7908999999999999</v>
      </c>
      <c r="G1536" s="5">
        <v>304.38489700000002</v>
      </c>
      <c r="H1536" s="5">
        <v>0.89539999999999997</v>
      </c>
      <c r="I1536">
        <v>432</v>
      </c>
      <c r="J1536" s="4" t="str">
        <f>IF(OR(Копия_20206[[#This Row],[Units (in 1000)]]&gt;$R$7,Копия_20206[[#This Row],[Units (in 1000)]]&lt;$R$6),"outlier","not outlier")</f>
        <v>not outlier</v>
      </c>
      <c r="K1536" s="4" t="str">
        <f>IF(OR(Копия_20206[[#This Row],[Value (in 1000 rub)]]&gt;$S$7,Копия_20206[[#This Row],[Value (in 1000 rub)]]&lt;$S$6),"outlier","not outlier")</f>
        <v>not outlier</v>
      </c>
      <c r="L1536" s="4" t="str">
        <f>IF(OR(Копия_20206[[#This Row],[Volume (in 1000 kg)]]&gt;$T$7,Копия_20206[[#This Row],[Volume (in 1000 kg)]]&lt;$T$6),"outlier","not outlier")</f>
        <v>not outlier</v>
      </c>
      <c r="M1536" s="4" t="str">
        <f>IF(OR(Копия_20206[[#This Row],[Number of stores]]&gt;$U$7,Копия_20206[[#This Row],[Number of stores]]&lt;$U$6),"outlier","not outlier")</f>
        <v>not outlier</v>
      </c>
    </row>
    <row r="1537" spans="1:13" x14ac:dyDescent="0.25">
      <c r="A1537">
        <v>2022</v>
      </c>
      <c r="B1537">
        <v>7</v>
      </c>
      <c r="C1537" s="1" t="s">
        <v>25</v>
      </c>
      <c r="D1537" s="1" t="s">
        <v>9</v>
      </c>
      <c r="E1537" s="1" t="s">
        <v>13</v>
      </c>
      <c r="F1537" s="5">
        <v>0.29330000000000001</v>
      </c>
      <c r="G1537" s="5">
        <v>47.363750000000003</v>
      </c>
      <c r="H1537" s="5">
        <v>0.21990000000000001</v>
      </c>
      <c r="I1537">
        <v>168</v>
      </c>
      <c r="J1537" s="4" t="str">
        <f>IF(OR(Копия_20206[[#This Row],[Units (in 1000)]]&gt;$R$7,Копия_20206[[#This Row],[Units (in 1000)]]&lt;$R$6),"outlier","not outlier")</f>
        <v>not outlier</v>
      </c>
      <c r="K1537" s="4" t="str">
        <f>IF(OR(Копия_20206[[#This Row],[Value (in 1000 rub)]]&gt;$S$7,Копия_20206[[#This Row],[Value (in 1000 rub)]]&lt;$S$6),"outlier","not outlier")</f>
        <v>not outlier</v>
      </c>
      <c r="L1537" s="4" t="str">
        <f>IF(OR(Копия_20206[[#This Row],[Volume (in 1000 kg)]]&gt;$T$7,Копия_20206[[#This Row],[Volume (in 1000 kg)]]&lt;$T$6),"outlier","not outlier")</f>
        <v>not outlier</v>
      </c>
      <c r="M1537" s="4" t="str">
        <f>IF(OR(Копия_20206[[#This Row],[Number of stores]]&gt;$U$7,Копия_20206[[#This Row],[Number of stores]]&lt;$U$6),"outlier","not outlier")</f>
        <v>not outlier</v>
      </c>
    </row>
    <row r="1538" spans="1:13" x14ac:dyDescent="0.25">
      <c r="A1538">
        <v>2022</v>
      </c>
      <c r="B1538">
        <v>7</v>
      </c>
      <c r="C1538" s="1" t="s">
        <v>29</v>
      </c>
      <c r="D1538" s="1" t="s">
        <v>9</v>
      </c>
      <c r="E1538" s="1" t="s">
        <v>10</v>
      </c>
      <c r="F1538" s="5">
        <v>40.090299999999999</v>
      </c>
      <c r="G1538" s="5">
        <v>2873.741751</v>
      </c>
      <c r="H1538" s="5">
        <v>8.4189000000000007</v>
      </c>
      <c r="I1538">
        <v>7904</v>
      </c>
      <c r="J1538" s="4" t="str">
        <f>IF(OR(Копия_20206[[#This Row],[Units (in 1000)]]&gt;$R$7,Копия_20206[[#This Row],[Units (in 1000)]]&lt;$R$6),"outlier","not outlier")</f>
        <v>outlier</v>
      </c>
      <c r="K1538" s="4" t="str">
        <f>IF(OR(Копия_20206[[#This Row],[Value (in 1000 rub)]]&gt;$S$7,Копия_20206[[#This Row],[Value (in 1000 rub)]]&lt;$S$6),"outlier","not outlier")</f>
        <v>outlier</v>
      </c>
      <c r="L1538" s="4" t="str">
        <f>IF(OR(Копия_20206[[#This Row],[Volume (in 1000 kg)]]&gt;$T$7,Копия_20206[[#This Row],[Volume (in 1000 kg)]]&lt;$T$6),"outlier","not outlier")</f>
        <v>outlier</v>
      </c>
      <c r="M1538" s="4" t="str">
        <f>IF(OR(Копия_20206[[#This Row],[Number of stores]]&gt;$U$7,Копия_20206[[#This Row],[Number of stores]]&lt;$U$6),"outlier","not outlier")</f>
        <v>outlier</v>
      </c>
    </row>
    <row r="1539" spans="1:13" x14ac:dyDescent="0.25">
      <c r="A1539">
        <v>2022</v>
      </c>
      <c r="B1539">
        <v>7</v>
      </c>
      <c r="C1539" s="1" t="s">
        <v>29</v>
      </c>
      <c r="D1539" s="1" t="s">
        <v>9</v>
      </c>
      <c r="E1539" s="1" t="s">
        <v>11</v>
      </c>
      <c r="F1539" s="5">
        <v>154.49189999999999</v>
      </c>
      <c r="G1539" s="5">
        <v>15221.22025</v>
      </c>
      <c r="H1539" s="5">
        <v>54.072299999999998</v>
      </c>
      <c r="I1539">
        <v>18868</v>
      </c>
      <c r="J1539" s="4" t="str">
        <f>IF(OR(Копия_20206[[#This Row],[Units (in 1000)]]&gt;$R$7,Копия_20206[[#This Row],[Units (in 1000)]]&lt;$R$6),"outlier","not outlier")</f>
        <v>outlier</v>
      </c>
      <c r="K1539" s="4" t="str">
        <f>IF(OR(Копия_20206[[#This Row],[Value (in 1000 rub)]]&gt;$S$7,Копия_20206[[#This Row],[Value (in 1000 rub)]]&lt;$S$6),"outlier","not outlier")</f>
        <v>outlier</v>
      </c>
      <c r="L1539" s="4" t="str">
        <f>IF(OR(Копия_20206[[#This Row],[Volume (in 1000 kg)]]&gt;$T$7,Копия_20206[[#This Row],[Volume (in 1000 kg)]]&lt;$T$6),"outlier","not outlier")</f>
        <v>outlier</v>
      </c>
      <c r="M1539" s="4" t="str">
        <f>IF(OR(Копия_20206[[#This Row],[Number of stores]]&gt;$U$7,Копия_20206[[#This Row],[Number of stores]]&lt;$U$6),"outlier","not outlier")</f>
        <v>outlier</v>
      </c>
    </row>
    <row r="1540" spans="1:13" x14ac:dyDescent="0.25">
      <c r="A1540">
        <v>2022</v>
      </c>
      <c r="B1540">
        <v>7</v>
      </c>
      <c r="C1540" s="1" t="s">
        <v>29</v>
      </c>
      <c r="D1540" s="1" t="s">
        <v>9</v>
      </c>
      <c r="E1540" s="1" t="s">
        <v>12</v>
      </c>
      <c r="F1540" s="5">
        <v>8.9411000000000005</v>
      </c>
      <c r="G1540" s="5">
        <v>1254.763085</v>
      </c>
      <c r="H1540" s="5">
        <v>4.4703999999999997</v>
      </c>
      <c r="I1540">
        <v>724</v>
      </c>
      <c r="J1540" s="4" t="str">
        <f>IF(OR(Копия_20206[[#This Row],[Units (in 1000)]]&gt;$R$7,Копия_20206[[#This Row],[Units (in 1000)]]&lt;$R$6),"outlier","not outlier")</f>
        <v>not outlier</v>
      </c>
      <c r="K1540" s="4" t="str">
        <f>IF(OR(Копия_20206[[#This Row],[Value (in 1000 rub)]]&gt;$S$7,Копия_20206[[#This Row],[Value (in 1000 rub)]]&lt;$S$6),"outlier","not outlier")</f>
        <v>not outlier</v>
      </c>
      <c r="L1540" s="4" t="str">
        <f>IF(OR(Копия_20206[[#This Row],[Volume (in 1000 kg)]]&gt;$T$7,Копия_20206[[#This Row],[Volume (in 1000 kg)]]&lt;$T$6),"outlier","not outlier")</f>
        <v>not outlier</v>
      </c>
      <c r="M1540" s="4" t="str">
        <f>IF(OR(Копия_20206[[#This Row],[Number of stores]]&gt;$U$7,Копия_20206[[#This Row],[Number of stores]]&lt;$U$6),"outlier","not outlier")</f>
        <v>not outlier</v>
      </c>
    </row>
    <row r="1541" spans="1:13" x14ac:dyDescent="0.25">
      <c r="A1541">
        <v>2022</v>
      </c>
      <c r="B1541">
        <v>7</v>
      </c>
      <c r="C1541" s="1" t="s">
        <v>29</v>
      </c>
      <c r="D1541" s="1" t="s">
        <v>9</v>
      </c>
      <c r="E1541" s="1" t="s">
        <v>13</v>
      </c>
      <c r="F1541" s="5">
        <v>1.7299999999999999E-2</v>
      </c>
      <c r="G1541" s="5">
        <v>3.582185</v>
      </c>
      <c r="H1541" s="5">
        <v>1.2999999999999999E-2</v>
      </c>
      <c r="I1541">
        <v>5</v>
      </c>
      <c r="J1541" s="4" t="str">
        <f>IF(OR(Копия_20206[[#This Row],[Units (in 1000)]]&gt;$R$7,Копия_20206[[#This Row],[Units (in 1000)]]&lt;$R$6),"outlier","not outlier")</f>
        <v>not outlier</v>
      </c>
      <c r="K1541" s="4" t="str">
        <f>IF(OR(Копия_20206[[#This Row],[Value (in 1000 rub)]]&gt;$S$7,Копия_20206[[#This Row],[Value (in 1000 rub)]]&lt;$S$6),"outlier","not outlier")</f>
        <v>not outlier</v>
      </c>
      <c r="L1541" s="4" t="str">
        <f>IF(OR(Копия_20206[[#This Row],[Volume (in 1000 kg)]]&gt;$T$7,Копия_20206[[#This Row],[Volume (in 1000 kg)]]&lt;$T$6),"outlier","not outlier")</f>
        <v>not outlier</v>
      </c>
      <c r="M1541" s="4" t="str">
        <f>IF(OR(Копия_20206[[#This Row],[Number of stores]]&gt;$U$7,Копия_20206[[#This Row],[Number of stores]]&lt;$U$6),"outlier","not outlier")</f>
        <v>not outlier</v>
      </c>
    </row>
    <row r="1542" spans="1:13" x14ac:dyDescent="0.25">
      <c r="A1542">
        <v>2022</v>
      </c>
      <c r="B1542">
        <v>8</v>
      </c>
      <c r="C1542" s="1" t="s">
        <v>8</v>
      </c>
      <c r="D1542" s="1" t="s">
        <v>9</v>
      </c>
      <c r="E1542" s="1" t="s">
        <v>10</v>
      </c>
      <c r="F1542" s="5">
        <v>8.0892999999999997</v>
      </c>
      <c r="G1542" s="5">
        <v>594.58878300000003</v>
      </c>
      <c r="H1542" s="5">
        <v>1.6988000000000001</v>
      </c>
      <c r="I1542">
        <v>408</v>
      </c>
      <c r="J1542" s="4" t="str">
        <f>IF(OR(Копия_20206[[#This Row],[Units (in 1000)]]&gt;$R$7,Копия_20206[[#This Row],[Units (in 1000)]]&lt;$R$6),"outlier","not outlier")</f>
        <v>not outlier</v>
      </c>
      <c r="K1542" s="4" t="str">
        <f>IF(OR(Копия_20206[[#This Row],[Value (in 1000 rub)]]&gt;$S$7,Копия_20206[[#This Row],[Value (in 1000 rub)]]&lt;$S$6),"outlier","not outlier")</f>
        <v>not outlier</v>
      </c>
      <c r="L1542" s="4" t="str">
        <f>IF(OR(Копия_20206[[#This Row],[Volume (in 1000 kg)]]&gt;$T$7,Копия_20206[[#This Row],[Volume (in 1000 kg)]]&lt;$T$6),"outlier","not outlier")</f>
        <v>not outlier</v>
      </c>
      <c r="M1542" s="4" t="str">
        <f>IF(OR(Копия_20206[[#This Row],[Number of stores]]&gt;$U$7,Копия_20206[[#This Row],[Number of stores]]&lt;$U$6),"outlier","not outlier")</f>
        <v>not outlier</v>
      </c>
    </row>
    <row r="1543" spans="1:13" x14ac:dyDescent="0.25">
      <c r="A1543">
        <v>2022</v>
      </c>
      <c r="B1543">
        <v>8</v>
      </c>
      <c r="C1543" s="1" t="s">
        <v>8</v>
      </c>
      <c r="D1543" s="1" t="s">
        <v>9</v>
      </c>
      <c r="E1543" s="1" t="s">
        <v>11</v>
      </c>
      <c r="F1543" s="5">
        <v>30.621600000000001</v>
      </c>
      <c r="G1543" s="5">
        <v>3368.8655979999999</v>
      </c>
      <c r="H1543" s="5">
        <v>10.717599999999999</v>
      </c>
      <c r="I1543">
        <v>636</v>
      </c>
      <c r="J1543" s="4" t="str">
        <f>IF(OR(Копия_20206[[#This Row],[Units (in 1000)]]&gt;$R$7,Копия_20206[[#This Row],[Units (in 1000)]]&lt;$R$6),"outlier","not outlier")</f>
        <v>outlier</v>
      </c>
      <c r="K1543" s="4" t="str">
        <f>IF(OR(Копия_20206[[#This Row],[Value (in 1000 rub)]]&gt;$S$7,Копия_20206[[#This Row],[Value (in 1000 rub)]]&lt;$S$6),"outlier","not outlier")</f>
        <v>outlier</v>
      </c>
      <c r="L1543" s="4" t="str">
        <f>IF(OR(Копия_20206[[#This Row],[Volume (in 1000 kg)]]&gt;$T$7,Копия_20206[[#This Row],[Volume (in 1000 kg)]]&lt;$T$6),"outlier","not outlier")</f>
        <v>outlier</v>
      </c>
      <c r="M1543" s="4" t="str">
        <f>IF(OR(Копия_20206[[#This Row],[Number of stores]]&gt;$U$7,Копия_20206[[#This Row],[Number of stores]]&lt;$U$6),"outlier","not outlier")</f>
        <v>not outlier</v>
      </c>
    </row>
    <row r="1544" spans="1:13" x14ac:dyDescent="0.25">
      <c r="A1544">
        <v>2022</v>
      </c>
      <c r="B1544">
        <v>8</v>
      </c>
      <c r="C1544" s="1" t="s">
        <v>8</v>
      </c>
      <c r="D1544" s="1" t="s">
        <v>9</v>
      </c>
      <c r="E1544" s="1" t="s">
        <v>12</v>
      </c>
      <c r="F1544" s="5">
        <v>26.051400000000001</v>
      </c>
      <c r="G1544" s="5">
        <v>3372.1738730000002</v>
      </c>
      <c r="H1544" s="5">
        <v>13.0236</v>
      </c>
      <c r="I1544">
        <v>490</v>
      </c>
      <c r="J1544" s="4" t="str">
        <f>IF(OR(Копия_20206[[#This Row],[Units (in 1000)]]&gt;$R$7,Копия_20206[[#This Row],[Units (in 1000)]]&lt;$R$6),"outlier","not outlier")</f>
        <v>outlier</v>
      </c>
      <c r="K1544" s="4" t="str">
        <f>IF(OR(Копия_20206[[#This Row],[Value (in 1000 rub)]]&gt;$S$7,Копия_20206[[#This Row],[Value (in 1000 rub)]]&lt;$S$6),"outlier","not outlier")</f>
        <v>outlier</v>
      </c>
      <c r="L1544" s="4" t="str">
        <f>IF(OR(Копия_20206[[#This Row],[Volume (in 1000 kg)]]&gt;$T$7,Копия_20206[[#This Row],[Volume (in 1000 kg)]]&lt;$T$6),"outlier","not outlier")</f>
        <v>outlier</v>
      </c>
      <c r="M1544" s="4" t="str">
        <f>IF(OR(Копия_20206[[#This Row],[Number of stores]]&gt;$U$7,Копия_20206[[#This Row],[Number of stores]]&lt;$U$6),"outlier","not outlier")</f>
        <v>not outlier</v>
      </c>
    </row>
    <row r="1545" spans="1:13" x14ac:dyDescent="0.25">
      <c r="A1545">
        <v>2022</v>
      </c>
      <c r="B1545">
        <v>8</v>
      </c>
      <c r="C1545" s="1" t="s">
        <v>25</v>
      </c>
      <c r="D1545" s="1" t="s">
        <v>9</v>
      </c>
      <c r="E1545" s="1" t="s">
        <v>10</v>
      </c>
      <c r="F1545" s="5">
        <v>17.5685</v>
      </c>
      <c r="G1545" s="5">
        <v>1345.404076</v>
      </c>
      <c r="H1545" s="5">
        <v>3.6894</v>
      </c>
      <c r="I1545">
        <v>3957</v>
      </c>
      <c r="J1545" s="4" t="str">
        <f>IF(OR(Копия_20206[[#This Row],[Units (in 1000)]]&gt;$R$7,Копия_20206[[#This Row],[Units (in 1000)]]&lt;$R$6),"outlier","not outlier")</f>
        <v>not outlier</v>
      </c>
      <c r="K1545" s="4" t="str">
        <f>IF(OR(Копия_20206[[#This Row],[Value (in 1000 rub)]]&gt;$S$7,Копия_20206[[#This Row],[Value (in 1000 rub)]]&lt;$S$6),"outlier","not outlier")</f>
        <v>not outlier</v>
      </c>
      <c r="L1545" s="4" t="str">
        <f>IF(OR(Копия_20206[[#This Row],[Volume (in 1000 kg)]]&gt;$T$7,Копия_20206[[#This Row],[Volume (in 1000 kg)]]&lt;$T$6),"outlier","not outlier")</f>
        <v>not outlier</v>
      </c>
      <c r="M1545" s="4" t="str">
        <f>IF(OR(Копия_20206[[#This Row],[Number of stores]]&gt;$U$7,Копия_20206[[#This Row],[Number of stores]]&lt;$U$6),"outlier","not outlier")</f>
        <v>outlier</v>
      </c>
    </row>
    <row r="1546" spans="1:13" x14ac:dyDescent="0.25">
      <c r="A1546">
        <v>2022</v>
      </c>
      <c r="B1546">
        <v>8</v>
      </c>
      <c r="C1546" s="1" t="s">
        <v>25</v>
      </c>
      <c r="D1546" s="1" t="s">
        <v>9</v>
      </c>
      <c r="E1546" s="1" t="s">
        <v>11</v>
      </c>
      <c r="F1546" s="5">
        <v>58.143999999999998</v>
      </c>
      <c r="G1546" s="5">
        <v>6175.5323969999999</v>
      </c>
      <c r="H1546" s="5">
        <v>20.3505</v>
      </c>
      <c r="I1546">
        <v>9622</v>
      </c>
      <c r="J1546" s="4" t="str">
        <f>IF(OR(Копия_20206[[#This Row],[Units (in 1000)]]&gt;$R$7,Копия_20206[[#This Row],[Units (in 1000)]]&lt;$R$6),"outlier","not outlier")</f>
        <v>outlier</v>
      </c>
      <c r="K1546" s="4" t="str">
        <f>IF(OR(Копия_20206[[#This Row],[Value (in 1000 rub)]]&gt;$S$7,Копия_20206[[#This Row],[Value (in 1000 rub)]]&lt;$S$6),"outlier","not outlier")</f>
        <v>outlier</v>
      </c>
      <c r="L1546" s="4" t="str">
        <f>IF(OR(Копия_20206[[#This Row],[Volume (in 1000 kg)]]&gt;$T$7,Копия_20206[[#This Row],[Volume (in 1000 kg)]]&lt;$T$6),"outlier","not outlier")</f>
        <v>outlier</v>
      </c>
      <c r="M1546" s="4" t="str">
        <f>IF(OR(Копия_20206[[#This Row],[Number of stores]]&gt;$U$7,Копия_20206[[#This Row],[Number of stores]]&lt;$U$6),"outlier","not outlier")</f>
        <v>outlier</v>
      </c>
    </row>
    <row r="1547" spans="1:13" x14ac:dyDescent="0.25">
      <c r="A1547">
        <v>2022</v>
      </c>
      <c r="B1547">
        <v>8</v>
      </c>
      <c r="C1547" s="1" t="s">
        <v>25</v>
      </c>
      <c r="D1547" s="1" t="s">
        <v>9</v>
      </c>
      <c r="E1547" s="1" t="s">
        <v>12</v>
      </c>
      <c r="F1547" s="5">
        <v>2.6274000000000002</v>
      </c>
      <c r="G1547" s="5">
        <v>400.43831899999998</v>
      </c>
      <c r="H1547" s="5">
        <v>1.3064</v>
      </c>
      <c r="I1547">
        <v>873</v>
      </c>
      <c r="J1547" s="4" t="str">
        <f>IF(OR(Копия_20206[[#This Row],[Units (in 1000)]]&gt;$R$7,Копия_20206[[#This Row],[Units (in 1000)]]&lt;$R$6),"outlier","not outlier")</f>
        <v>not outlier</v>
      </c>
      <c r="K1547" s="4" t="str">
        <f>IF(OR(Копия_20206[[#This Row],[Value (in 1000 rub)]]&gt;$S$7,Копия_20206[[#This Row],[Value (in 1000 rub)]]&lt;$S$6),"outlier","not outlier")</f>
        <v>not outlier</v>
      </c>
      <c r="L1547" s="4" t="str">
        <f>IF(OR(Копия_20206[[#This Row],[Volume (in 1000 kg)]]&gt;$T$7,Копия_20206[[#This Row],[Volume (in 1000 kg)]]&lt;$T$6),"outlier","not outlier")</f>
        <v>not outlier</v>
      </c>
      <c r="M1547" s="4" t="str">
        <f>IF(OR(Копия_20206[[#This Row],[Number of stores]]&gt;$U$7,Копия_20206[[#This Row],[Number of stores]]&lt;$U$6),"outlier","not outlier")</f>
        <v>not outlier</v>
      </c>
    </row>
    <row r="1548" spans="1:13" x14ac:dyDescent="0.25">
      <c r="A1548">
        <v>2022</v>
      </c>
      <c r="B1548">
        <v>8</v>
      </c>
      <c r="C1548" s="1" t="s">
        <v>25</v>
      </c>
      <c r="D1548" s="1" t="s">
        <v>9</v>
      </c>
      <c r="E1548" s="1" t="s">
        <v>13</v>
      </c>
      <c r="F1548" s="5">
        <v>0.29330000000000001</v>
      </c>
      <c r="G1548" s="5">
        <v>47.363750000000003</v>
      </c>
      <c r="H1548" s="5">
        <v>0.21990000000000001</v>
      </c>
      <c r="I1548">
        <v>168</v>
      </c>
      <c r="J1548" s="4" t="str">
        <f>IF(OR(Копия_20206[[#This Row],[Units (in 1000)]]&gt;$R$7,Копия_20206[[#This Row],[Units (in 1000)]]&lt;$R$6),"outlier","not outlier")</f>
        <v>not outlier</v>
      </c>
      <c r="K1548" s="4" t="str">
        <f>IF(OR(Копия_20206[[#This Row],[Value (in 1000 rub)]]&gt;$S$7,Копия_20206[[#This Row],[Value (in 1000 rub)]]&lt;$S$6),"outlier","not outlier")</f>
        <v>not outlier</v>
      </c>
      <c r="L1548" s="4" t="str">
        <f>IF(OR(Копия_20206[[#This Row],[Volume (in 1000 kg)]]&gt;$T$7,Копия_20206[[#This Row],[Volume (in 1000 kg)]]&lt;$T$6),"outlier","not outlier")</f>
        <v>not outlier</v>
      </c>
      <c r="M1548" s="4" t="str">
        <f>IF(OR(Копия_20206[[#This Row],[Number of stores]]&gt;$U$7,Копия_20206[[#This Row],[Number of stores]]&lt;$U$6),"outlier","not outlier")</f>
        <v>not outlier</v>
      </c>
    </row>
    <row r="1549" spans="1:13" x14ac:dyDescent="0.25">
      <c r="A1549">
        <v>2022</v>
      </c>
      <c r="B1549">
        <v>8</v>
      </c>
      <c r="C1549" s="1" t="s">
        <v>29</v>
      </c>
      <c r="D1549" s="1" t="s">
        <v>9</v>
      </c>
      <c r="E1549" s="1" t="s">
        <v>10</v>
      </c>
      <c r="F1549" s="5">
        <v>43.929200000000002</v>
      </c>
      <c r="G1549" s="5">
        <v>3039.610091</v>
      </c>
      <c r="H1549" s="5">
        <v>9.2250999999999994</v>
      </c>
      <c r="I1549">
        <v>7021</v>
      </c>
      <c r="J1549" s="4" t="str">
        <f>IF(OR(Копия_20206[[#This Row],[Units (in 1000)]]&gt;$R$7,Копия_20206[[#This Row],[Units (in 1000)]]&lt;$R$6),"outlier","not outlier")</f>
        <v>outlier</v>
      </c>
      <c r="K1549" s="4" t="str">
        <f>IF(OR(Копия_20206[[#This Row],[Value (in 1000 rub)]]&gt;$S$7,Копия_20206[[#This Row],[Value (in 1000 rub)]]&lt;$S$6),"outlier","not outlier")</f>
        <v>outlier</v>
      </c>
      <c r="L1549" s="4" t="str">
        <f>IF(OR(Копия_20206[[#This Row],[Volume (in 1000 kg)]]&gt;$T$7,Копия_20206[[#This Row],[Volume (in 1000 kg)]]&lt;$T$6),"outlier","not outlier")</f>
        <v>outlier</v>
      </c>
      <c r="M1549" s="4" t="str">
        <f>IF(OR(Копия_20206[[#This Row],[Number of stores]]&gt;$U$7,Копия_20206[[#This Row],[Number of stores]]&lt;$U$6),"outlier","not outlier")</f>
        <v>outlier</v>
      </c>
    </row>
    <row r="1550" spans="1:13" x14ac:dyDescent="0.25">
      <c r="A1550">
        <v>2022</v>
      </c>
      <c r="B1550">
        <v>8</v>
      </c>
      <c r="C1550" s="1" t="s">
        <v>29</v>
      </c>
      <c r="D1550" s="1" t="s">
        <v>9</v>
      </c>
      <c r="E1550" s="1" t="s">
        <v>35</v>
      </c>
      <c r="F1550" s="5">
        <v>6.9999999999999999E-4</v>
      </c>
      <c r="G1550" s="5">
        <v>4.6413999999999997E-2</v>
      </c>
      <c r="H1550" s="5">
        <v>2.0000000000000001E-4</v>
      </c>
      <c r="I1550">
        <v>1</v>
      </c>
      <c r="J1550" s="4" t="str">
        <f>IF(OR(Копия_20206[[#This Row],[Units (in 1000)]]&gt;$R$7,Копия_20206[[#This Row],[Units (in 1000)]]&lt;$R$6),"outlier","not outlier")</f>
        <v>not outlier</v>
      </c>
      <c r="K1550" s="4" t="str">
        <f>IF(OR(Копия_20206[[#This Row],[Value (in 1000 rub)]]&gt;$S$7,Копия_20206[[#This Row],[Value (in 1000 rub)]]&lt;$S$6),"outlier","not outlier")</f>
        <v>not outlier</v>
      </c>
      <c r="L1550" s="4" t="str">
        <f>IF(OR(Копия_20206[[#This Row],[Volume (in 1000 kg)]]&gt;$T$7,Копия_20206[[#This Row],[Volume (in 1000 kg)]]&lt;$T$6),"outlier","not outlier")</f>
        <v>not outlier</v>
      </c>
      <c r="M1550" s="4" t="str">
        <f>IF(OR(Копия_20206[[#This Row],[Number of stores]]&gt;$U$7,Копия_20206[[#This Row],[Number of stores]]&lt;$U$6),"outlier","not outlier")</f>
        <v>not outlier</v>
      </c>
    </row>
    <row r="1551" spans="1:13" x14ac:dyDescent="0.25">
      <c r="A1551">
        <v>2022</v>
      </c>
      <c r="B1551">
        <v>8</v>
      </c>
      <c r="C1551" s="1" t="s">
        <v>29</v>
      </c>
      <c r="D1551" s="1" t="s">
        <v>9</v>
      </c>
      <c r="E1551" s="1" t="s">
        <v>11</v>
      </c>
      <c r="F1551" s="5">
        <v>136.4948</v>
      </c>
      <c r="G1551" s="5">
        <v>13934.444727</v>
      </c>
      <c r="H1551" s="5">
        <v>47.773200000000003</v>
      </c>
      <c r="I1551">
        <v>19290</v>
      </c>
      <c r="J1551" s="4" t="str">
        <f>IF(OR(Копия_20206[[#This Row],[Units (in 1000)]]&gt;$R$7,Копия_20206[[#This Row],[Units (in 1000)]]&lt;$R$6),"outlier","not outlier")</f>
        <v>outlier</v>
      </c>
      <c r="K1551" s="4" t="str">
        <f>IF(OR(Копия_20206[[#This Row],[Value (in 1000 rub)]]&gt;$S$7,Копия_20206[[#This Row],[Value (in 1000 rub)]]&lt;$S$6),"outlier","not outlier")</f>
        <v>outlier</v>
      </c>
      <c r="L1551" s="4" t="str">
        <f>IF(OR(Копия_20206[[#This Row],[Volume (in 1000 kg)]]&gt;$T$7,Копия_20206[[#This Row],[Volume (in 1000 kg)]]&lt;$T$6),"outlier","not outlier")</f>
        <v>outlier</v>
      </c>
      <c r="M1551" s="4" t="str">
        <f>IF(OR(Копия_20206[[#This Row],[Number of stores]]&gt;$U$7,Копия_20206[[#This Row],[Number of stores]]&lt;$U$6),"outlier","not outlier")</f>
        <v>outlier</v>
      </c>
    </row>
    <row r="1552" spans="1:13" x14ac:dyDescent="0.25">
      <c r="A1552">
        <v>2022</v>
      </c>
      <c r="B1552">
        <v>8</v>
      </c>
      <c r="C1552" s="1" t="s">
        <v>29</v>
      </c>
      <c r="D1552" s="1" t="s">
        <v>9</v>
      </c>
      <c r="E1552" s="1" t="s">
        <v>12</v>
      </c>
      <c r="F1552" s="5">
        <v>8.7719000000000005</v>
      </c>
      <c r="G1552" s="5">
        <v>1290.3116910000001</v>
      </c>
      <c r="H1552" s="5">
        <v>4.3630000000000004</v>
      </c>
      <c r="I1552">
        <v>2403</v>
      </c>
      <c r="J1552" s="4" t="str">
        <f>IF(OR(Копия_20206[[#This Row],[Units (in 1000)]]&gt;$R$7,Копия_20206[[#This Row],[Units (in 1000)]]&lt;$R$6),"outlier","not outlier")</f>
        <v>not outlier</v>
      </c>
      <c r="K1552" s="4" t="str">
        <f>IF(OR(Копия_20206[[#This Row],[Value (in 1000 rub)]]&gt;$S$7,Копия_20206[[#This Row],[Value (in 1000 rub)]]&lt;$S$6),"outlier","not outlier")</f>
        <v>not outlier</v>
      </c>
      <c r="L1552" s="4" t="str">
        <f>IF(OR(Копия_20206[[#This Row],[Volume (in 1000 kg)]]&gt;$T$7,Копия_20206[[#This Row],[Volume (in 1000 kg)]]&lt;$T$6),"outlier","not outlier")</f>
        <v>not outlier</v>
      </c>
      <c r="M1552" s="4" t="str">
        <f>IF(OR(Копия_20206[[#This Row],[Number of stores]]&gt;$U$7,Копия_20206[[#This Row],[Number of stores]]&lt;$U$6),"outlier","not outlier")</f>
        <v>not outlier</v>
      </c>
    </row>
    <row r="1553" spans="1:13" x14ac:dyDescent="0.25">
      <c r="A1553">
        <v>2022</v>
      </c>
      <c r="B1553">
        <v>8</v>
      </c>
      <c r="C1553" s="1" t="s">
        <v>29</v>
      </c>
      <c r="D1553" s="1" t="s">
        <v>9</v>
      </c>
      <c r="E1553" s="1" t="s">
        <v>13</v>
      </c>
      <c r="F1553" s="5">
        <v>1.7299999999999999E-2</v>
      </c>
      <c r="G1553" s="5">
        <v>3.582185</v>
      </c>
      <c r="H1553" s="5">
        <v>1.2999999999999999E-2</v>
      </c>
      <c r="I1553">
        <v>5</v>
      </c>
      <c r="J1553" s="4" t="str">
        <f>IF(OR(Копия_20206[[#This Row],[Units (in 1000)]]&gt;$R$7,Копия_20206[[#This Row],[Units (in 1000)]]&lt;$R$6),"outlier","not outlier")</f>
        <v>not outlier</v>
      </c>
      <c r="K1553" s="4" t="str">
        <f>IF(OR(Копия_20206[[#This Row],[Value (in 1000 rub)]]&gt;$S$7,Копия_20206[[#This Row],[Value (in 1000 rub)]]&lt;$S$6),"outlier","not outlier")</f>
        <v>not outlier</v>
      </c>
      <c r="L1553" s="4" t="str">
        <f>IF(OR(Копия_20206[[#This Row],[Volume (in 1000 kg)]]&gt;$T$7,Копия_20206[[#This Row],[Volume (in 1000 kg)]]&lt;$T$6),"outlier","not outlier")</f>
        <v>not outlier</v>
      </c>
      <c r="M1553" s="4" t="str">
        <f>IF(OR(Копия_20206[[#This Row],[Number of stores]]&gt;$U$7,Копия_20206[[#This Row],[Number of stores]]&lt;$U$6),"outlier","not outlier")</f>
        <v>not outlier</v>
      </c>
    </row>
    <row r="1554" spans="1:13" x14ac:dyDescent="0.25">
      <c r="A1554">
        <v>2022</v>
      </c>
      <c r="B1554">
        <v>9</v>
      </c>
      <c r="C1554" s="1" t="s">
        <v>8</v>
      </c>
      <c r="D1554" s="1" t="s">
        <v>9</v>
      </c>
      <c r="E1554" s="1" t="s">
        <v>10</v>
      </c>
      <c r="F1554" s="5">
        <v>4.4724000000000004</v>
      </c>
      <c r="G1554" s="5">
        <v>372.44873799999999</v>
      </c>
      <c r="H1554" s="5">
        <v>0.93920000000000003</v>
      </c>
      <c r="I1554">
        <v>337</v>
      </c>
      <c r="J1554" s="4" t="str">
        <f>IF(OR(Копия_20206[[#This Row],[Units (in 1000)]]&gt;$R$7,Копия_20206[[#This Row],[Units (in 1000)]]&lt;$R$6),"outlier","not outlier")</f>
        <v>not outlier</v>
      </c>
      <c r="K1554" s="4" t="str">
        <f>IF(OR(Копия_20206[[#This Row],[Value (in 1000 rub)]]&gt;$S$7,Копия_20206[[#This Row],[Value (in 1000 rub)]]&lt;$S$6),"outlier","not outlier")</f>
        <v>not outlier</v>
      </c>
      <c r="L1554" s="4" t="str">
        <f>IF(OR(Копия_20206[[#This Row],[Volume (in 1000 kg)]]&gt;$T$7,Копия_20206[[#This Row],[Volume (in 1000 kg)]]&lt;$T$6),"outlier","not outlier")</f>
        <v>not outlier</v>
      </c>
      <c r="M1554" s="4" t="str">
        <f>IF(OR(Копия_20206[[#This Row],[Number of stores]]&gt;$U$7,Копия_20206[[#This Row],[Number of stores]]&lt;$U$6),"outlier","not outlier")</f>
        <v>not outlier</v>
      </c>
    </row>
    <row r="1555" spans="1:13" x14ac:dyDescent="0.25">
      <c r="A1555">
        <v>2022</v>
      </c>
      <c r="B1555">
        <v>9</v>
      </c>
      <c r="C1555" s="1" t="s">
        <v>8</v>
      </c>
      <c r="D1555" s="1" t="s">
        <v>9</v>
      </c>
      <c r="E1555" s="1" t="s">
        <v>11</v>
      </c>
      <c r="F1555" s="5">
        <v>36.849400000000003</v>
      </c>
      <c r="G1555" s="5">
        <v>3683.3465890000002</v>
      </c>
      <c r="H1555" s="5">
        <v>12.8973</v>
      </c>
      <c r="I1555">
        <v>561</v>
      </c>
      <c r="J1555" s="4" t="str">
        <f>IF(OR(Копия_20206[[#This Row],[Units (in 1000)]]&gt;$R$7,Копия_20206[[#This Row],[Units (in 1000)]]&lt;$R$6),"outlier","not outlier")</f>
        <v>outlier</v>
      </c>
      <c r="K1555" s="4" t="str">
        <f>IF(OR(Копия_20206[[#This Row],[Value (in 1000 rub)]]&gt;$S$7,Копия_20206[[#This Row],[Value (in 1000 rub)]]&lt;$S$6),"outlier","not outlier")</f>
        <v>outlier</v>
      </c>
      <c r="L1555" s="4" t="str">
        <f>IF(OR(Копия_20206[[#This Row],[Volume (in 1000 kg)]]&gt;$T$7,Копия_20206[[#This Row],[Volume (in 1000 kg)]]&lt;$T$6),"outlier","not outlier")</f>
        <v>outlier</v>
      </c>
      <c r="M1555" s="4" t="str">
        <f>IF(OR(Копия_20206[[#This Row],[Number of stores]]&gt;$U$7,Копия_20206[[#This Row],[Number of stores]]&lt;$U$6),"outlier","not outlier")</f>
        <v>not outlier</v>
      </c>
    </row>
    <row r="1556" spans="1:13" x14ac:dyDescent="0.25">
      <c r="A1556">
        <v>2022</v>
      </c>
      <c r="B1556">
        <v>9</v>
      </c>
      <c r="C1556" s="1" t="s">
        <v>8</v>
      </c>
      <c r="D1556" s="1" t="s">
        <v>9</v>
      </c>
      <c r="E1556" s="1" t="s">
        <v>12</v>
      </c>
      <c r="F1556" s="5">
        <v>20.111599999999999</v>
      </c>
      <c r="G1556" s="5">
        <v>2658.1624259999999</v>
      </c>
      <c r="H1556" s="5">
        <v>10.045500000000001</v>
      </c>
      <c r="I1556">
        <v>459</v>
      </c>
      <c r="J1556" s="4" t="str">
        <f>IF(OR(Копия_20206[[#This Row],[Units (in 1000)]]&gt;$R$7,Копия_20206[[#This Row],[Units (in 1000)]]&lt;$R$6),"outlier","not outlier")</f>
        <v>not outlier</v>
      </c>
      <c r="K1556" s="4" t="str">
        <f>IF(OR(Копия_20206[[#This Row],[Value (in 1000 rub)]]&gt;$S$7,Копия_20206[[#This Row],[Value (in 1000 rub)]]&lt;$S$6),"outlier","not outlier")</f>
        <v>outlier</v>
      </c>
      <c r="L1556" s="4" t="str">
        <f>IF(OR(Копия_20206[[#This Row],[Volume (in 1000 kg)]]&gt;$T$7,Копия_20206[[#This Row],[Volume (in 1000 kg)]]&lt;$T$6),"outlier","not outlier")</f>
        <v>outlier</v>
      </c>
      <c r="M1556" s="4" t="str">
        <f>IF(OR(Копия_20206[[#This Row],[Number of stores]]&gt;$U$7,Копия_20206[[#This Row],[Number of stores]]&lt;$U$6),"outlier","not outlier")</f>
        <v>not outlier</v>
      </c>
    </row>
    <row r="1557" spans="1:13" x14ac:dyDescent="0.25">
      <c r="A1557">
        <v>2022</v>
      </c>
      <c r="B1557">
        <v>9</v>
      </c>
      <c r="C1557" s="1" t="s">
        <v>25</v>
      </c>
      <c r="D1557" s="1" t="s">
        <v>9</v>
      </c>
      <c r="E1557" s="1" t="s">
        <v>10</v>
      </c>
      <c r="F1557" s="5">
        <v>13.612</v>
      </c>
      <c r="G1557" s="5">
        <v>1019.348168</v>
      </c>
      <c r="H1557" s="5">
        <v>2.8586</v>
      </c>
      <c r="I1557">
        <v>3207</v>
      </c>
      <c r="J1557" s="4" t="str">
        <f>IF(OR(Копия_20206[[#This Row],[Units (in 1000)]]&gt;$R$7,Копия_20206[[#This Row],[Units (in 1000)]]&lt;$R$6),"outlier","not outlier")</f>
        <v>not outlier</v>
      </c>
      <c r="K1557" s="4" t="str">
        <f>IF(OR(Копия_20206[[#This Row],[Value (in 1000 rub)]]&gt;$S$7,Копия_20206[[#This Row],[Value (in 1000 rub)]]&lt;$S$6),"outlier","not outlier")</f>
        <v>not outlier</v>
      </c>
      <c r="L1557" s="4" t="str">
        <f>IF(OR(Копия_20206[[#This Row],[Volume (in 1000 kg)]]&gt;$T$7,Копия_20206[[#This Row],[Volume (in 1000 kg)]]&lt;$T$6),"outlier","not outlier")</f>
        <v>not outlier</v>
      </c>
      <c r="M1557" s="4" t="str">
        <f>IF(OR(Копия_20206[[#This Row],[Number of stores]]&gt;$U$7,Копия_20206[[#This Row],[Number of stores]]&lt;$U$6),"outlier","not outlier")</f>
        <v>outlier</v>
      </c>
    </row>
    <row r="1558" spans="1:13" x14ac:dyDescent="0.25">
      <c r="A1558">
        <v>2022</v>
      </c>
      <c r="B1558">
        <v>9</v>
      </c>
      <c r="C1558" s="1" t="s">
        <v>25</v>
      </c>
      <c r="D1558" s="1" t="s">
        <v>9</v>
      </c>
      <c r="E1558" s="1" t="s">
        <v>11</v>
      </c>
      <c r="F1558" s="5">
        <v>53.9114</v>
      </c>
      <c r="G1558" s="5">
        <v>5939.7496799999999</v>
      </c>
      <c r="H1558" s="5">
        <v>18.869</v>
      </c>
      <c r="I1558">
        <v>8071</v>
      </c>
      <c r="J1558" s="4" t="str">
        <f>IF(OR(Копия_20206[[#This Row],[Units (in 1000)]]&gt;$R$7,Копия_20206[[#This Row],[Units (in 1000)]]&lt;$R$6),"outlier","not outlier")</f>
        <v>outlier</v>
      </c>
      <c r="K1558" s="4" t="str">
        <f>IF(OR(Копия_20206[[#This Row],[Value (in 1000 rub)]]&gt;$S$7,Копия_20206[[#This Row],[Value (in 1000 rub)]]&lt;$S$6),"outlier","not outlier")</f>
        <v>outlier</v>
      </c>
      <c r="L1558" s="4" t="str">
        <f>IF(OR(Копия_20206[[#This Row],[Volume (in 1000 kg)]]&gt;$T$7,Копия_20206[[#This Row],[Volume (in 1000 kg)]]&lt;$T$6),"outlier","not outlier")</f>
        <v>outlier</v>
      </c>
      <c r="M1558" s="4" t="str">
        <f>IF(OR(Копия_20206[[#This Row],[Number of stores]]&gt;$U$7,Копия_20206[[#This Row],[Number of stores]]&lt;$U$6),"outlier","not outlier")</f>
        <v>outlier</v>
      </c>
    </row>
    <row r="1559" spans="1:13" x14ac:dyDescent="0.25">
      <c r="A1559">
        <v>2022</v>
      </c>
      <c r="B1559">
        <v>9</v>
      </c>
      <c r="C1559" s="1" t="s">
        <v>25</v>
      </c>
      <c r="D1559" s="1" t="s">
        <v>9</v>
      </c>
      <c r="E1559" s="1" t="s">
        <v>12</v>
      </c>
      <c r="F1559" s="5">
        <v>6.1974999999999998</v>
      </c>
      <c r="G1559" s="5">
        <v>813.65182900000002</v>
      </c>
      <c r="H1559" s="5">
        <v>3.0510999999999999</v>
      </c>
      <c r="I1559">
        <v>1798</v>
      </c>
      <c r="J1559" s="4" t="str">
        <f>IF(OR(Копия_20206[[#This Row],[Units (in 1000)]]&gt;$R$7,Копия_20206[[#This Row],[Units (in 1000)]]&lt;$R$6),"outlier","not outlier")</f>
        <v>not outlier</v>
      </c>
      <c r="K1559" s="4" t="str">
        <f>IF(OR(Копия_20206[[#This Row],[Value (in 1000 rub)]]&gt;$S$7,Копия_20206[[#This Row],[Value (in 1000 rub)]]&lt;$S$6),"outlier","not outlier")</f>
        <v>not outlier</v>
      </c>
      <c r="L1559" s="4" t="str">
        <f>IF(OR(Копия_20206[[#This Row],[Volume (in 1000 kg)]]&gt;$T$7,Копия_20206[[#This Row],[Volume (in 1000 kg)]]&lt;$T$6),"outlier","not outlier")</f>
        <v>not outlier</v>
      </c>
      <c r="M1559" s="4" t="str">
        <f>IF(OR(Копия_20206[[#This Row],[Number of stores]]&gt;$U$7,Копия_20206[[#This Row],[Number of stores]]&lt;$U$6),"outlier","not outlier")</f>
        <v>not outlier</v>
      </c>
    </row>
    <row r="1560" spans="1:13" x14ac:dyDescent="0.25">
      <c r="A1560">
        <v>2022</v>
      </c>
      <c r="B1560">
        <v>9</v>
      </c>
      <c r="C1560" s="1" t="s">
        <v>25</v>
      </c>
      <c r="D1560" s="1" t="s">
        <v>9</v>
      </c>
      <c r="E1560" s="1" t="s">
        <v>13</v>
      </c>
      <c r="F1560" s="5">
        <v>0.2838</v>
      </c>
      <c r="G1560" s="5">
        <v>45.835925000000003</v>
      </c>
      <c r="H1560" s="5">
        <v>0.21279999999999999</v>
      </c>
      <c r="I1560">
        <v>168</v>
      </c>
      <c r="J1560" s="4" t="str">
        <f>IF(OR(Копия_20206[[#This Row],[Units (in 1000)]]&gt;$R$7,Копия_20206[[#This Row],[Units (in 1000)]]&lt;$R$6),"outlier","not outlier")</f>
        <v>not outlier</v>
      </c>
      <c r="K1560" s="4" t="str">
        <f>IF(OR(Копия_20206[[#This Row],[Value (in 1000 rub)]]&gt;$S$7,Копия_20206[[#This Row],[Value (in 1000 rub)]]&lt;$S$6),"outlier","not outlier")</f>
        <v>not outlier</v>
      </c>
      <c r="L1560" s="4" t="str">
        <f>IF(OR(Копия_20206[[#This Row],[Volume (in 1000 kg)]]&gt;$T$7,Копия_20206[[#This Row],[Volume (in 1000 kg)]]&lt;$T$6),"outlier","not outlier")</f>
        <v>not outlier</v>
      </c>
      <c r="M1560" s="4" t="str">
        <f>IF(OR(Копия_20206[[#This Row],[Number of stores]]&gt;$U$7,Копия_20206[[#This Row],[Number of stores]]&lt;$U$6),"outlier","not outlier")</f>
        <v>not outlier</v>
      </c>
    </row>
    <row r="1561" spans="1:13" x14ac:dyDescent="0.25">
      <c r="A1561">
        <v>2022</v>
      </c>
      <c r="B1561">
        <v>9</v>
      </c>
      <c r="C1561" s="1" t="s">
        <v>29</v>
      </c>
      <c r="D1561" s="1" t="s">
        <v>9</v>
      </c>
      <c r="E1561" s="1" t="s">
        <v>10</v>
      </c>
      <c r="F1561" s="5">
        <v>33.580800000000004</v>
      </c>
      <c r="G1561" s="5">
        <v>2550.8101190000002</v>
      </c>
      <c r="H1561" s="5">
        <v>7.0519999999999996</v>
      </c>
      <c r="I1561">
        <v>5417</v>
      </c>
      <c r="J1561" s="4" t="str">
        <f>IF(OR(Копия_20206[[#This Row],[Units (in 1000)]]&gt;$R$7,Копия_20206[[#This Row],[Units (in 1000)]]&lt;$R$6),"outlier","not outlier")</f>
        <v>outlier</v>
      </c>
      <c r="K1561" s="4" t="str">
        <f>IF(OR(Копия_20206[[#This Row],[Value (in 1000 rub)]]&gt;$S$7,Копия_20206[[#This Row],[Value (in 1000 rub)]]&lt;$S$6),"outlier","not outlier")</f>
        <v>outlier</v>
      </c>
      <c r="L1561" s="4" t="str">
        <f>IF(OR(Копия_20206[[#This Row],[Volume (in 1000 kg)]]&gt;$T$7,Копия_20206[[#This Row],[Volume (in 1000 kg)]]&lt;$T$6),"outlier","not outlier")</f>
        <v>not outlier</v>
      </c>
      <c r="M1561" s="4" t="str">
        <f>IF(OR(Копия_20206[[#This Row],[Number of stores]]&gt;$U$7,Копия_20206[[#This Row],[Number of stores]]&lt;$U$6),"outlier","not outlier")</f>
        <v>outlier</v>
      </c>
    </row>
    <row r="1562" spans="1:13" x14ac:dyDescent="0.25">
      <c r="A1562">
        <v>2022</v>
      </c>
      <c r="B1562">
        <v>9</v>
      </c>
      <c r="C1562" s="1" t="s">
        <v>29</v>
      </c>
      <c r="D1562" s="1" t="s">
        <v>9</v>
      </c>
      <c r="E1562" s="1" t="s">
        <v>11</v>
      </c>
      <c r="F1562" s="5">
        <v>101.4127</v>
      </c>
      <c r="G1562" s="5">
        <v>12097.787420000001</v>
      </c>
      <c r="H1562" s="5">
        <v>35.494399999999999</v>
      </c>
      <c r="I1562">
        <v>16888</v>
      </c>
      <c r="J1562" s="4" t="str">
        <f>IF(OR(Копия_20206[[#This Row],[Units (in 1000)]]&gt;$R$7,Копия_20206[[#This Row],[Units (in 1000)]]&lt;$R$6),"outlier","not outlier")</f>
        <v>outlier</v>
      </c>
      <c r="K1562" s="4" t="str">
        <f>IF(OR(Копия_20206[[#This Row],[Value (in 1000 rub)]]&gt;$S$7,Копия_20206[[#This Row],[Value (in 1000 rub)]]&lt;$S$6),"outlier","not outlier")</f>
        <v>outlier</v>
      </c>
      <c r="L1562" s="4" t="str">
        <f>IF(OR(Копия_20206[[#This Row],[Volume (in 1000 kg)]]&gt;$T$7,Копия_20206[[#This Row],[Volume (in 1000 kg)]]&lt;$T$6),"outlier","not outlier")</f>
        <v>outlier</v>
      </c>
      <c r="M1562" s="4" t="str">
        <f>IF(OR(Копия_20206[[#This Row],[Number of stores]]&gt;$U$7,Копия_20206[[#This Row],[Number of stores]]&lt;$U$6),"outlier","not outlier")</f>
        <v>outlier</v>
      </c>
    </row>
    <row r="1563" spans="1:13" x14ac:dyDescent="0.25">
      <c r="A1563">
        <v>2022</v>
      </c>
      <c r="B1563">
        <v>9</v>
      </c>
      <c r="C1563" s="1" t="s">
        <v>29</v>
      </c>
      <c r="D1563" s="1" t="s">
        <v>9</v>
      </c>
      <c r="E1563" s="1" t="s">
        <v>12</v>
      </c>
      <c r="F1563" s="5">
        <v>20.623999999999999</v>
      </c>
      <c r="G1563" s="5">
        <v>2737.0403230000002</v>
      </c>
      <c r="H1563" s="5">
        <v>10.1936</v>
      </c>
      <c r="I1563">
        <v>4012</v>
      </c>
      <c r="J1563" s="4" t="str">
        <f>IF(OR(Копия_20206[[#This Row],[Units (in 1000)]]&gt;$R$7,Копия_20206[[#This Row],[Units (in 1000)]]&lt;$R$6),"outlier","not outlier")</f>
        <v>not outlier</v>
      </c>
      <c r="K1563" s="4" t="str">
        <f>IF(OR(Копия_20206[[#This Row],[Value (in 1000 rub)]]&gt;$S$7,Копия_20206[[#This Row],[Value (in 1000 rub)]]&lt;$S$6),"outlier","not outlier")</f>
        <v>outlier</v>
      </c>
      <c r="L1563" s="4" t="str">
        <f>IF(OR(Копия_20206[[#This Row],[Volume (in 1000 kg)]]&gt;$T$7,Копия_20206[[#This Row],[Volume (in 1000 kg)]]&lt;$T$6),"outlier","not outlier")</f>
        <v>outlier</v>
      </c>
      <c r="M1563" s="4" t="str">
        <f>IF(OR(Копия_20206[[#This Row],[Number of stores]]&gt;$U$7,Копия_20206[[#This Row],[Number of stores]]&lt;$U$6),"outlier","not outlier")</f>
        <v>outlier</v>
      </c>
    </row>
    <row r="1564" spans="1:13" x14ac:dyDescent="0.25">
      <c r="A1564">
        <v>2022</v>
      </c>
      <c r="B1564">
        <v>9</v>
      </c>
      <c r="C1564" s="1" t="s">
        <v>29</v>
      </c>
      <c r="D1564" s="1" t="s">
        <v>9</v>
      </c>
      <c r="E1564" s="1" t="s">
        <v>13</v>
      </c>
      <c r="F1564" s="5">
        <v>1.6799999999999999E-2</v>
      </c>
      <c r="G1564" s="5">
        <v>3.4666800000000002</v>
      </c>
      <c r="H1564" s="5">
        <v>1.26E-2</v>
      </c>
      <c r="I1564">
        <v>5</v>
      </c>
      <c r="J1564" s="4" t="str">
        <f>IF(OR(Копия_20206[[#This Row],[Units (in 1000)]]&gt;$R$7,Копия_20206[[#This Row],[Units (in 1000)]]&lt;$R$6),"outlier","not outlier")</f>
        <v>not outlier</v>
      </c>
      <c r="K1564" s="4" t="str">
        <f>IF(OR(Копия_20206[[#This Row],[Value (in 1000 rub)]]&gt;$S$7,Копия_20206[[#This Row],[Value (in 1000 rub)]]&lt;$S$6),"outlier","not outlier")</f>
        <v>not outlier</v>
      </c>
      <c r="L1564" s="4" t="str">
        <f>IF(OR(Копия_20206[[#This Row],[Volume (in 1000 kg)]]&gt;$T$7,Копия_20206[[#This Row],[Volume (in 1000 kg)]]&lt;$T$6),"outlier","not outlier")</f>
        <v>not outlier</v>
      </c>
      <c r="M1564" s="4" t="str">
        <f>IF(OR(Копия_20206[[#This Row],[Number of stores]]&gt;$U$7,Копия_20206[[#This Row],[Number of stores]]&lt;$U$6),"outlier","not outlier")</f>
        <v>not outlier</v>
      </c>
    </row>
    <row r="1565" spans="1:13" x14ac:dyDescent="0.25">
      <c r="A1565">
        <v>2022</v>
      </c>
      <c r="B1565">
        <v>10</v>
      </c>
      <c r="C1565" s="1" t="s">
        <v>8</v>
      </c>
      <c r="D1565" s="1" t="s">
        <v>9</v>
      </c>
      <c r="E1565" s="1" t="s">
        <v>10</v>
      </c>
      <c r="F1565" s="5">
        <v>8.1066000000000003</v>
      </c>
      <c r="G1565" s="5">
        <v>618.48177699999997</v>
      </c>
      <c r="H1565" s="5">
        <v>1.7023999999999999</v>
      </c>
      <c r="I1565">
        <v>392</v>
      </c>
      <c r="J1565" s="4" t="str">
        <f>IF(OR(Копия_20206[[#This Row],[Units (in 1000)]]&gt;$R$7,Копия_20206[[#This Row],[Units (in 1000)]]&lt;$R$6),"outlier","not outlier")</f>
        <v>not outlier</v>
      </c>
      <c r="K1565" s="4" t="str">
        <f>IF(OR(Копия_20206[[#This Row],[Value (in 1000 rub)]]&gt;$S$7,Копия_20206[[#This Row],[Value (in 1000 rub)]]&lt;$S$6),"outlier","not outlier")</f>
        <v>not outlier</v>
      </c>
      <c r="L1565" s="4" t="str">
        <f>IF(OR(Копия_20206[[#This Row],[Volume (in 1000 kg)]]&gt;$T$7,Копия_20206[[#This Row],[Volume (in 1000 kg)]]&lt;$T$6),"outlier","not outlier")</f>
        <v>not outlier</v>
      </c>
      <c r="M1565" s="4" t="str">
        <f>IF(OR(Копия_20206[[#This Row],[Number of stores]]&gt;$U$7,Копия_20206[[#This Row],[Number of stores]]&lt;$U$6),"outlier","not outlier")</f>
        <v>not outlier</v>
      </c>
    </row>
    <row r="1566" spans="1:13" x14ac:dyDescent="0.25">
      <c r="A1566">
        <v>2022</v>
      </c>
      <c r="B1566">
        <v>10</v>
      </c>
      <c r="C1566" s="1" t="s">
        <v>8</v>
      </c>
      <c r="D1566" s="1" t="s">
        <v>9</v>
      </c>
      <c r="E1566" s="1" t="s">
        <v>11</v>
      </c>
      <c r="F1566" s="5">
        <v>65.06</v>
      </c>
      <c r="G1566" s="5">
        <v>5995.7105419999998</v>
      </c>
      <c r="H1566" s="5">
        <v>22.771000000000001</v>
      </c>
      <c r="I1566">
        <v>624</v>
      </c>
      <c r="J1566" s="4" t="str">
        <f>IF(OR(Копия_20206[[#This Row],[Units (in 1000)]]&gt;$R$7,Копия_20206[[#This Row],[Units (in 1000)]]&lt;$R$6),"outlier","not outlier")</f>
        <v>outlier</v>
      </c>
      <c r="K1566" s="4" t="str">
        <f>IF(OR(Копия_20206[[#This Row],[Value (in 1000 rub)]]&gt;$S$7,Копия_20206[[#This Row],[Value (in 1000 rub)]]&lt;$S$6),"outlier","not outlier")</f>
        <v>outlier</v>
      </c>
      <c r="L1566" s="4" t="str">
        <f>IF(OR(Копия_20206[[#This Row],[Volume (in 1000 kg)]]&gt;$T$7,Копия_20206[[#This Row],[Volume (in 1000 kg)]]&lt;$T$6),"outlier","not outlier")</f>
        <v>outlier</v>
      </c>
      <c r="M1566" s="4" t="str">
        <f>IF(OR(Копия_20206[[#This Row],[Number of stores]]&gt;$U$7,Копия_20206[[#This Row],[Number of stores]]&lt;$U$6),"outlier","not outlier")</f>
        <v>not outlier</v>
      </c>
    </row>
    <row r="1567" spans="1:13" x14ac:dyDescent="0.25">
      <c r="A1567">
        <v>2022</v>
      </c>
      <c r="B1567">
        <v>10</v>
      </c>
      <c r="C1567" s="1" t="s">
        <v>8</v>
      </c>
      <c r="D1567" s="1" t="s">
        <v>9</v>
      </c>
      <c r="E1567" s="1" t="s">
        <v>12</v>
      </c>
      <c r="F1567" s="5">
        <v>34.969799999999999</v>
      </c>
      <c r="G1567" s="5">
        <v>4346.8723309999996</v>
      </c>
      <c r="H1567" s="5">
        <v>17.473700000000001</v>
      </c>
      <c r="I1567">
        <v>522</v>
      </c>
      <c r="J1567" s="4" t="str">
        <f>IF(OR(Копия_20206[[#This Row],[Units (in 1000)]]&gt;$R$7,Копия_20206[[#This Row],[Units (in 1000)]]&lt;$R$6),"outlier","not outlier")</f>
        <v>outlier</v>
      </c>
      <c r="K1567" s="4" t="str">
        <f>IF(OR(Копия_20206[[#This Row],[Value (in 1000 rub)]]&gt;$S$7,Копия_20206[[#This Row],[Value (in 1000 rub)]]&lt;$S$6),"outlier","not outlier")</f>
        <v>outlier</v>
      </c>
      <c r="L1567" s="4" t="str">
        <f>IF(OR(Копия_20206[[#This Row],[Volume (in 1000 kg)]]&gt;$T$7,Копия_20206[[#This Row],[Volume (in 1000 kg)]]&lt;$T$6),"outlier","not outlier")</f>
        <v>outlier</v>
      </c>
      <c r="M1567" s="4" t="str">
        <f>IF(OR(Копия_20206[[#This Row],[Number of stores]]&gt;$U$7,Копия_20206[[#This Row],[Number of stores]]&lt;$U$6),"outlier","not outlier")</f>
        <v>not outlier</v>
      </c>
    </row>
    <row r="1568" spans="1:13" x14ac:dyDescent="0.25">
      <c r="A1568">
        <v>2022</v>
      </c>
      <c r="B1568">
        <v>10</v>
      </c>
      <c r="C1568" s="1" t="s">
        <v>25</v>
      </c>
      <c r="D1568" s="1" t="s">
        <v>9</v>
      </c>
      <c r="E1568" s="1" t="s">
        <v>10</v>
      </c>
      <c r="F1568" s="5">
        <v>14.072900000000001</v>
      </c>
      <c r="G1568" s="5">
        <v>1104.7091399999999</v>
      </c>
      <c r="H1568" s="5">
        <v>2.9552999999999998</v>
      </c>
      <c r="I1568">
        <v>2918</v>
      </c>
      <c r="J1568" s="4" t="str">
        <f>IF(OR(Копия_20206[[#This Row],[Units (in 1000)]]&gt;$R$7,Копия_20206[[#This Row],[Units (in 1000)]]&lt;$R$6),"outlier","not outlier")</f>
        <v>not outlier</v>
      </c>
      <c r="K1568" s="4" t="str">
        <f>IF(OR(Копия_20206[[#This Row],[Value (in 1000 rub)]]&gt;$S$7,Копия_20206[[#This Row],[Value (in 1000 rub)]]&lt;$S$6),"outlier","not outlier")</f>
        <v>not outlier</v>
      </c>
      <c r="L1568" s="4" t="str">
        <f>IF(OR(Копия_20206[[#This Row],[Volume (in 1000 kg)]]&gt;$T$7,Копия_20206[[#This Row],[Volume (in 1000 kg)]]&lt;$T$6),"outlier","not outlier")</f>
        <v>not outlier</v>
      </c>
      <c r="M1568" s="4" t="str">
        <f>IF(OR(Копия_20206[[#This Row],[Number of stores]]&gt;$U$7,Копия_20206[[#This Row],[Number of stores]]&lt;$U$6),"outlier","not outlier")</f>
        <v>outlier</v>
      </c>
    </row>
    <row r="1569" spans="1:13" x14ac:dyDescent="0.25">
      <c r="A1569">
        <v>2022</v>
      </c>
      <c r="B1569">
        <v>10</v>
      </c>
      <c r="C1569" s="1" t="s">
        <v>25</v>
      </c>
      <c r="D1569" s="1" t="s">
        <v>9</v>
      </c>
      <c r="E1569" s="1" t="s">
        <v>11</v>
      </c>
      <c r="F1569" s="5">
        <v>53.130099999999999</v>
      </c>
      <c r="G1569" s="5">
        <v>5945.9333839999999</v>
      </c>
      <c r="H1569" s="5">
        <v>18.595500000000001</v>
      </c>
      <c r="I1569">
        <v>8665</v>
      </c>
      <c r="J1569" s="4" t="str">
        <f>IF(OR(Копия_20206[[#This Row],[Units (in 1000)]]&gt;$R$7,Копия_20206[[#This Row],[Units (in 1000)]]&lt;$R$6),"outlier","not outlier")</f>
        <v>outlier</v>
      </c>
      <c r="K1569" s="4" t="str">
        <f>IF(OR(Копия_20206[[#This Row],[Value (in 1000 rub)]]&gt;$S$7,Копия_20206[[#This Row],[Value (in 1000 rub)]]&lt;$S$6),"outlier","not outlier")</f>
        <v>outlier</v>
      </c>
      <c r="L1569" s="4" t="str">
        <f>IF(OR(Копия_20206[[#This Row],[Volume (in 1000 kg)]]&gt;$T$7,Копия_20206[[#This Row],[Volume (in 1000 kg)]]&lt;$T$6),"outlier","not outlier")</f>
        <v>outlier</v>
      </c>
      <c r="M1569" s="4" t="str">
        <f>IF(OR(Копия_20206[[#This Row],[Number of stores]]&gt;$U$7,Копия_20206[[#This Row],[Number of stores]]&lt;$U$6),"outlier","not outlier")</f>
        <v>outlier</v>
      </c>
    </row>
    <row r="1570" spans="1:13" x14ac:dyDescent="0.25">
      <c r="A1570">
        <v>2022</v>
      </c>
      <c r="B1570">
        <v>10</v>
      </c>
      <c r="C1570" s="1" t="s">
        <v>25</v>
      </c>
      <c r="D1570" s="1" t="s">
        <v>9</v>
      </c>
      <c r="E1570" s="1" t="s">
        <v>12</v>
      </c>
      <c r="F1570" s="5">
        <v>8.8827999999999996</v>
      </c>
      <c r="G1570" s="5">
        <v>1161.74794</v>
      </c>
      <c r="H1570" s="5">
        <v>4.3691000000000004</v>
      </c>
      <c r="I1570">
        <v>2423</v>
      </c>
      <c r="J1570" s="4" t="str">
        <f>IF(OR(Копия_20206[[#This Row],[Units (in 1000)]]&gt;$R$7,Копия_20206[[#This Row],[Units (in 1000)]]&lt;$R$6),"outlier","not outlier")</f>
        <v>not outlier</v>
      </c>
      <c r="K1570" s="4" t="str">
        <f>IF(OR(Копия_20206[[#This Row],[Value (in 1000 rub)]]&gt;$S$7,Копия_20206[[#This Row],[Value (in 1000 rub)]]&lt;$S$6),"outlier","not outlier")</f>
        <v>not outlier</v>
      </c>
      <c r="L1570" s="4" t="str">
        <f>IF(OR(Копия_20206[[#This Row],[Volume (in 1000 kg)]]&gt;$T$7,Копия_20206[[#This Row],[Volume (in 1000 kg)]]&lt;$T$6),"outlier","not outlier")</f>
        <v>not outlier</v>
      </c>
      <c r="M1570" s="4" t="str">
        <f>IF(OR(Копия_20206[[#This Row],[Number of stores]]&gt;$U$7,Копия_20206[[#This Row],[Number of stores]]&lt;$U$6),"outlier","not outlier")</f>
        <v>not outlier</v>
      </c>
    </row>
    <row r="1571" spans="1:13" x14ac:dyDescent="0.25">
      <c r="A1571">
        <v>2022</v>
      </c>
      <c r="B1571">
        <v>10</v>
      </c>
      <c r="C1571" s="1" t="s">
        <v>25</v>
      </c>
      <c r="D1571" s="1" t="s">
        <v>9</v>
      </c>
      <c r="E1571" s="1" t="s">
        <v>13</v>
      </c>
      <c r="F1571" s="5">
        <v>0.29680000000000001</v>
      </c>
      <c r="G1571" s="5">
        <v>47.929870999999999</v>
      </c>
      <c r="H1571" s="5">
        <v>0.22259999999999999</v>
      </c>
      <c r="I1571">
        <v>170</v>
      </c>
      <c r="J1571" s="4" t="str">
        <f>IF(OR(Копия_20206[[#This Row],[Units (in 1000)]]&gt;$R$7,Копия_20206[[#This Row],[Units (in 1000)]]&lt;$R$6),"outlier","not outlier")</f>
        <v>not outlier</v>
      </c>
      <c r="K1571" s="4" t="str">
        <f>IF(OR(Копия_20206[[#This Row],[Value (in 1000 rub)]]&gt;$S$7,Копия_20206[[#This Row],[Value (in 1000 rub)]]&lt;$S$6),"outlier","not outlier")</f>
        <v>not outlier</v>
      </c>
      <c r="L1571" s="4" t="str">
        <f>IF(OR(Копия_20206[[#This Row],[Volume (in 1000 kg)]]&gt;$T$7,Копия_20206[[#This Row],[Volume (in 1000 kg)]]&lt;$T$6),"outlier","not outlier")</f>
        <v>not outlier</v>
      </c>
      <c r="M1571" s="4" t="str">
        <f>IF(OR(Копия_20206[[#This Row],[Number of stores]]&gt;$U$7,Копия_20206[[#This Row],[Number of stores]]&lt;$U$6),"outlier","not outlier")</f>
        <v>not outlier</v>
      </c>
    </row>
    <row r="1572" spans="1:13" x14ac:dyDescent="0.25">
      <c r="A1572">
        <v>2022</v>
      </c>
      <c r="B1572">
        <v>10</v>
      </c>
      <c r="C1572" s="1" t="s">
        <v>29</v>
      </c>
      <c r="D1572" s="1" t="s">
        <v>9</v>
      </c>
      <c r="E1572" s="1" t="s">
        <v>10</v>
      </c>
      <c r="F1572" s="5">
        <v>41.805799999999998</v>
      </c>
      <c r="G1572" s="5">
        <v>2955.4400420000002</v>
      </c>
      <c r="H1572" s="5">
        <v>8.7791999999999994</v>
      </c>
      <c r="I1572">
        <v>4562</v>
      </c>
      <c r="J1572" s="4" t="str">
        <f>IF(OR(Копия_20206[[#This Row],[Units (in 1000)]]&gt;$R$7,Копия_20206[[#This Row],[Units (in 1000)]]&lt;$R$6),"outlier","not outlier")</f>
        <v>outlier</v>
      </c>
      <c r="K1572" s="4" t="str">
        <f>IF(OR(Копия_20206[[#This Row],[Value (in 1000 rub)]]&gt;$S$7,Копия_20206[[#This Row],[Value (in 1000 rub)]]&lt;$S$6),"outlier","not outlier")</f>
        <v>outlier</v>
      </c>
      <c r="L1572" s="4" t="str">
        <f>IF(OR(Копия_20206[[#This Row],[Volume (in 1000 kg)]]&gt;$T$7,Копия_20206[[#This Row],[Volume (in 1000 kg)]]&lt;$T$6),"outlier","not outlier")</f>
        <v>outlier</v>
      </c>
      <c r="M1572" s="4" t="str">
        <f>IF(OR(Копия_20206[[#This Row],[Number of stores]]&gt;$U$7,Копия_20206[[#This Row],[Number of stores]]&lt;$U$6),"outlier","not outlier")</f>
        <v>outlier</v>
      </c>
    </row>
    <row r="1573" spans="1:13" x14ac:dyDescent="0.25">
      <c r="A1573">
        <v>2022</v>
      </c>
      <c r="B1573">
        <v>10</v>
      </c>
      <c r="C1573" s="1" t="s">
        <v>29</v>
      </c>
      <c r="D1573" s="1" t="s">
        <v>9</v>
      </c>
      <c r="E1573" s="1" t="s">
        <v>11</v>
      </c>
      <c r="F1573" s="5">
        <v>195.5282</v>
      </c>
      <c r="G1573" s="5">
        <v>18673.789433000002</v>
      </c>
      <c r="H1573" s="5">
        <v>68.435000000000002</v>
      </c>
      <c r="I1573">
        <v>18126</v>
      </c>
      <c r="J1573" s="4" t="str">
        <f>IF(OR(Копия_20206[[#This Row],[Units (in 1000)]]&gt;$R$7,Копия_20206[[#This Row],[Units (in 1000)]]&lt;$R$6),"outlier","not outlier")</f>
        <v>outlier</v>
      </c>
      <c r="K1573" s="4" t="str">
        <f>IF(OR(Копия_20206[[#This Row],[Value (in 1000 rub)]]&gt;$S$7,Копия_20206[[#This Row],[Value (in 1000 rub)]]&lt;$S$6),"outlier","not outlier")</f>
        <v>outlier</v>
      </c>
      <c r="L1573" s="4" t="str">
        <f>IF(OR(Копия_20206[[#This Row],[Volume (in 1000 kg)]]&gt;$T$7,Копия_20206[[#This Row],[Volume (in 1000 kg)]]&lt;$T$6),"outlier","not outlier")</f>
        <v>outlier</v>
      </c>
      <c r="M1573" s="4" t="str">
        <f>IF(OR(Копия_20206[[#This Row],[Number of stores]]&gt;$U$7,Копия_20206[[#This Row],[Number of stores]]&lt;$U$6),"outlier","not outlier")</f>
        <v>outlier</v>
      </c>
    </row>
    <row r="1574" spans="1:13" x14ac:dyDescent="0.25">
      <c r="A1574">
        <v>2022</v>
      </c>
      <c r="B1574">
        <v>10</v>
      </c>
      <c r="C1574" s="1" t="s">
        <v>29</v>
      </c>
      <c r="D1574" s="1" t="s">
        <v>9</v>
      </c>
      <c r="E1574" s="1" t="s">
        <v>12</v>
      </c>
      <c r="F1574" s="5">
        <v>23.982099999999999</v>
      </c>
      <c r="G1574" s="5">
        <v>3245.0298010000001</v>
      </c>
      <c r="H1574" s="5">
        <v>11.837400000000001</v>
      </c>
      <c r="I1574">
        <v>4735</v>
      </c>
      <c r="J1574" s="4" t="str">
        <f>IF(OR(Копия_20206[[#This Row],[Units (in 1000)]]&gt;$R$7,Копия_20206[[#This Row],[Units (in 1000)]]&lt;$R$6),"outlier","not outlier")</f>
        <v>outlier</v>
      </c>
      <c r="K1574" s="4" t="str">
        <f>IF(OR(Копия_20206[[#This Row],[Value (in 1000 rub)]]&gt;$S$7,Копия_20206[[#This Row],[Value (in 1000 rub)]]&lt;$S$6),"outlier","not outlier")</f>
        <v>outlier</v>
      </c>
      <c r="L1574" s="4" t="str">
        <f>IF(OR(Копия_20206[[#This Row],[Volume (in 1000 kg)]]&gt;$T$7,Копия_20206[[#This Row],[Volume (in 1000 kg)]]&lt;$T$6),"outlier","not outlier")</f>
        <v>outlier</v>
      </c>
      <c r="M1574" s="4" t="str">
        <f>IF(OR(Копия_20206[[#This Row],[Number of stores]]&gt;$U$7,Копия_20206[[#This Row],[Number of stores]]&lt;$U$6),"outlier","not outlier")</f>
        <v>outlier</v>
      </c>
    </row>
    <row r="1575" spans="1:13" x14ac:dyDescent="0.25">
      <c r="A1575">
        <v>2022</v>
      </c>
      <c r="B1575">
        <v>10</v>
      </c>
      <c r="C1575" s="1" t="s">
        <v>29</v>
      </c>
      <c r="D1575" s="1" t="s">
        <v>9</v>
      </c>
      <c r="E1575" s="1" t="s">
        <v>13</v>
      </c>
      <c r="F1575" s="5">
        <v>2.4899999999999999E-2</v>
      </c>
      <c r="G1575" s="5">
        <v>5.1493950000000002</v>
      </c>
      <c r="H1575" s="5">
        <v>1.8700000000000001E-2</v>
      </c>
      <c r="I1575">
        <v>6</v>
      </c>
      <c r="J1575" s="4" t="str">
        <f>IF(OR(Копия_20206[[#This Row],[Units (in 1000)]]&gt;$R$7,Копия_20206[[#This Row],[Units (in 1000)]]&lt;$R$6),"outlier","not outlier")</f>
        <v>not outlier</v>
      </c>
      <c r="K1575" s="4" t="str">
        <f>IF(OR(Копия_20206[[#This Row],[Value (in 1000 rub)]]&gt;$S$7,Копия_20206[[#This Row],[Value (in 1000 rub)]]&lt;$S$6),"outlier","not outlier")</f>
        <v>not outlier</v>
      </c>
      <c r="L1575" s="4" t="str">
        <f>IF(OR(Копия_20206[[#This Row],[Volume (in 1000 kg)]]&gt;$T$7,Копия_20206[[#This Row],[Volume (in 1000 kg)]]&lt;$T$6),"outlier","not outlier")</f>
        <v>not outlier</v>
      </c>
      <c r="M1575" s="4" t="str">
        <f>IF(OR(Копия_20206[[#This Row],[Number of stores]]&gt;$U$7,Копия_20206[[#This Row],[Number of stores]]&lt;$U$6),"outlier","not outlier")</f>
        <v>not outlier</v>
      </c>
    </row>
    <row r="1576" spans="1:13" x14ac:dyDescent="0.25">
      <c r="A1576">
        <v>2022</v>
      </c>
      <c r="B1576">
        <v>11</v>
      </c>
      <c r="C1576" s="1" t="s">
        <v>8</v>
      </c>
      <c r="D1576" s="1" t="s">
        <v>9</v>
      </c>
      <c r="E1576" s="1" t="s">
        <v>10</v>
      </c>
      <c r="F1576" s="5">
        <v>6.0646000000000004</v>
      </c>
      <c r="G1576" s="5">
        <v>496.74595900000003</v>
      </c>
      <c r="H1576" s="5">
        <v>1.2735000000000001</v>
      </c>
      <c r="I1576">
        <v>408</v>
      </c>
      <c r="J1576" s="4" t="str">
        <f>IF(OR(Копия_20206[[#This Row],[Units (in 1000)]]&gt;$R$7,Копия_20206[[#This Row],[Units (in 1000)]]&lt;$R$6),"outlier","not outlier")</f>
        <v>not outlier</v>
      </c>
      <c r="K1576" s="4" t="str">
        <f>IF(OR(Копия_20206[[#This Row],[Value (in 1000 rub)]]&gt;$S$7,Копия_20206[[#This Row],[Value (in 1000 rub)]]&lt;$S$6),"outlier","not outlier")</f>
        <v>not outlier</v>
      </c>
      <c r="L1576" s="4" t="str">
        <f>IF(OR(Копия_20206[[#This Row],[Volume (in 1000 kg)]]&gt;$T$7,Копия_20206[[#This Row],[Volume (in 1000 kg)]]&lt;$T$6),"outlier","not outlier")</f>
        <v>not outlier</v>
      </c>
      <c r="M1576" s="4" t="str">
        <f>IF(OR(Копия_20206[[#This Row],[Number of stores]]&gt;$U$7,Копия_20206[[#This Row],[Number of stores]]&lt;$U$6),"outlier","not outlier")</f>
        <v>not outlier</v>
      </c>
    </row>
    <row r="1577" spans="1:13" x14ac:dyDescent="0.25">
      <c r="A1577">
        <v>2022</v>
      </c>
      <c r="B1577">
        <v>11</v>
      </c>
      <c r="C1577" s="1" t="s">
        <v>8</v>
      </c>
      <c r="D1577" s="1" t="s">
        <v>9</v>
      </c>
      <c r="E1577" s="1" t="s">
        <v>11</v>
      </c>
      <c r="F1577" s="5">
        <v>49.632199999999997</v>
      </c>
      <c r="G1577" s="5">
        <v>4540.5662780000002</v>
      </c>
      <c r="H1577" s="5">
        <v>17.371300000000002</v>
      </c>
      <c r="I1577">
        <v>623</v>
      </c>
      <c r="J1577" s="4" t="str">
        <f>IF(OR(Копия_20206[[#This Row],[Units (in 1000)]]&gt;$R$7,Копия_20206[[#This Row],[Units (in 1000)]]&lt;$R$6),"outlier","not outlier")</f>
        <v>outlier</v>
      </c>
      <c r="K1577" s="4" t="str">
        <f>IF(OR(Копия_20206[[#This Row],[Value (in 1000 rub)]]&gt;$S$7,Копия_20206[[#This Row],[Value (in 1000 rub)]]&lt;$S$6),"outlier","not outlier")</f>
        <v>outlier</v>
      </c>
      <c r="L1577" s="4" t="str">
        <f>IF(OR(Копия_20206[[#This Row],[Volume (in 1000 kg)]]&gt;$T$7,Копия_20206[[#This Row],[Volume (in 1000 kg)]]&lt;$T$6),"outlier","not outlier")</f>
        <v>outlier</v>
      </c>
      <c r="M1577" s="4" t="str">
        <f>IF(OR(Копия_20206[[#This Row],[Number of stores]]&gt;$U$7,Копия_20206[[#This Row],[Number of stores]]&lt;$U$6),"outlier","not outlier")</f>
        <v>not outlier</v>
      </c>
    </row>
    <row r="1578" spans="1:13" x14ac:dyDescent="0.25">
      <c r="A1578">
        <v>2022</v>
      </c>
      <c r="B1578">
        <v>11</v>
      </c>
      <c r="C1578" s="1" t="s">
        <v>8</v>
      </c>
      <c r="D1578" s="1" t="s">
        <v>9</v>
      </c>
      <c r="E1578" s="1" t="s">
        <v>12</v>
      </c>
      <c r="F1578" s="5">
        <v>27.436599999999999</v>
      </c>
      <c r="G1578" s="5">
        <v>3393.6358869999999</v>
      </c>
      <c r="H1578" s="5">
        <v>13.708600000000001</v>
      </c>
      <c r="I1578">
        <v>530</v>
      </c>
      <c r="J1578" s="4" t="str">
        <f>IF(OR(Копия_20206[[#This Row],[Units (in 1000)]]&gt;$R$7,Копия_20206[[#This Row],[Units (in 1000)]]&lt;$R$6),"outlier","not outlier")</f>
        <v>outlier</v>
      </c>
      <c r="K1578" s="4" t="str">
        <f>IF(OR(Копия_20206[[#This Row],[Value (in 1000 rub)]]&gt;$S$7,Копия_20206[[#This Row],[Value (in 1000 rub)]]&lt;$S$6),"outlier","not outlier")</f>
        <v>outlier</v>
      </c>
      <c r="L1578" s="4" t="str">
        <f>IF(OR(Копия_20206[[#This Row],[Volume (in 1000 kg)]]&gt;$T$7,Копия_20206[[#This Row],[Volume (in 1000 kg)]]&lt;$T$6),"outlier","not outlier")</f>
        <v>outlier</v>
      </c>
      <c r="M1578" s="4" t="str">
        <f>IF(OR(Копия_20206[[#This Row],[Number of stores]]&gt;$U$7,Копия_20206[[#This Row],[Number of stores]]&lt;$U$6),"outlier","not outlier")</f>
        <v>not outlier</v>
      </c>
    </row>
    <row r="1579" spans="1:13" x14ac:dyDescent="0.25">
      <c r="A1579">
        <v>2022</v>
      </c>
      <c r="B1579">
        <v>11</v>
      </c>
      <c r="C1579" s="1" t="s">
        <v>25</v>
      </c>
      <c r="D1579" s="1" t="s">
        <v>9</v>
      </c>
      <c r="E1579" s="1" t="s">
        <v>10</v>
      </c>
      <c r="F1579" s="5">
        <v>15.3058</v>
      </c>
      <c r="G1579" s="5">
        <v>1228.08464</v>
      </c>
      <c r="H1579" s="5">
        <v>3.2141999999999999</v>
      </c>
      <c r="I1579">
        <v>2865</v>
      </c>
      <c r="J1579" s="4" t="str">
        <f>IF(OR(Копия_20206[[#This Row],[Units (in 1000)]]&gt;$R$7,Копия_20206[[#This Row],[Units (in 1000)]]&lt;$R$6),"outlier","not outlier")</f>
        <v>not outlier</v>
      </c>
      <c r="K1579" s="4" t="str">
        <f>IF(OR(Копия_20206[[#This Row],[Value (in 1000 rub)]]&gt;$S$7,Копия_20206[[#This Row],[Value (in 1000 rub)]]&lt;$S$6),"outlier","not outlier")</f>
        <v>not outlier</v>
      </c>
      <c r="L1579" s="4" t="str">
        <f>IF(OR(Копия_20206[[#This Row],[Volume (in 1000 kg)]]&gt;$T$7,Копия_20206[[#This Row],[Volume (in 1000 kg)]]&lt;$T$6),"outlier","not outlier")</f>
        <v>not outlier</v>
      </c>
      <c r="M1579" s="4" t="str">
        <f>IF(OR(Копия_20206[[#This Row],[Number of stores]]&gt;$U$7,Копия_20206[[#This Row],[Number of stores]]&lt;$U$6),"outlier","not outlier")</f>
        <v>outlier</v>
      </c>
    </row>
    <row r="1580" spans="1:13" x14ac:dyDescent="0.25">
      <c r="A1580">
        <v>2022</v>
      </c>
      <c r="B1580">
        <v>11</v>
      </c>
      <c r="C1580" s="1" t="s">
        <v>25</v>
      </c>
      <c r="D1580" s="1" t="s">
        <v>9</v>
      </c>
      <c r="E1580" s="1" t="s">
        <v>11</v>
      </c>
      <c r="F1580" s="5">
        <v>33.4998</v>
      </c>
      <c r="G1580" s="5">
        <v>4286.6524319999999</v>
      </c>
      <c r="H1580" s="5">
        <v>11.7249</v>
      </c>
      <c r="I1580">
        <v>8472</v>
      </c>
      <c r="J1580" s="4" t="str">
        <f>IF(OR(Копия_20206[[#This Row],[Units (in 1000)]]&gt;$R$7,Копия_20206[[#This Row],[Units (in 1000)]]&lt;$R$6),"outlier","not outlier")</f>
        <v>outlier</v>
      </c>
      <c r="K1580" s="4" t="str">
        <f>IF(OR(Копия_20206[[#This Row],[Value (in 1000 rub)]]&gt;$S$7,Копия_20206[[#This Row],[Value (in 1000 rub)]]&lt;$S$6),"outlier","not outlier")</f>
        <v>outlier</v>
      </c>
      <c r="L1580" s="4" t="str">
        <f>IF(OR(Копия_20206[[#This Row],[Volume (in 1000 kg)]]&gt;$T$7,Копия_20206[[#This Row],[Volume (in 1000 kg)]]&lt;$T$6),"outlier","not outlier")</f>
        <v>outlier</v>
      </c>
      <c r="M1580" s="4" t="str">
        <f>IF(OR(Копия_20206[[#This Row],[Number of stores]]&gt;$U$7,Копия_20206[[#This Row],[Number of stores]]&lt;$U$6),"outlier","not outlier")</f>
        <v>outlier</v>
      </c>
    </row>
    <row r="1581" spans="1:13" x14ac:dyDescent="0.25">
      <c r="A1581">
        <v>2022</v>
      </c>
      <c r="B1581">
        <v>11</v>
      </c>
      <c r="C1581" s="1" t="s">
        <v>25</v>
      </c>
      <c r="D1581" s="1" t="s">
        <v>9</v>
      </c>
      <c r="E1581" s="1" t="s">
        <v>12</v>
      </c>
      <c r="F1581" s="5">
        <v>8</v>
      </c>
      <c r="G1581" s="5">
        <v>1120.3620129999999</v>
      </c>
      <c r="H1581" s="5">
        <v>3.94</v>
      </c>
      <c r="I1581">
        <v>3215</v>
      </c>
      <c r="J1581" s="4" t="str">
        <f>IF(OR(Копия_20206[[#This Row],[Units (in 1000)]]&gt;$R$7,Копия_20206[[#This Row],[Units (in 1000)]]&lt;$R$6),"outlier","not outlier")</f>
        <v>not outlier</v>
      </c>
      <c r="K1581" s="4" t="str">
        <f>IF(OR(Копия_20206[[#This Row],[Value (in 1000 rub)]]&gt;$S$7,Копия_20206[[#This Row],[Value (in 1000 rub)]]&lt;$S$6),"outlier","not outlier")</f>
        <v>not outlier</v>
      </c>
      <c r="L1581" s="4" t="str">
        <f>IF(OR(Копия_20206[[#This Row],[Volume (in 1000 kg)]]&gt;$T$7,Копия_20206[[#This Row],[Volume (in 1000 kg)]]&lt;$T$6),"outlier","not outlier")</f>
        <v>not outlier</v>
      </c>
      <c r="M1581" s="4" t="str">
        <f>IF(OR(Копия_20206[[#This Row],[Number of stores]]&gt;$U$7,Копия_20206[[#This Row],[Number of stores]]&lt;$U$6),"outlier","not outlier")</f>
        <v>outlier</v>
      </c>
    </row>
    <row r="1582" spans="1:13" x14ac:dyDescent="0.25">
      <c r="A1582">
        <v>2022</v>
      </c>
      <c r="B1582">
        <v>11</v>
      </c>
      <c r="C1582" s="1" t="s">
        <v>29</v>
      </c>
      <c r="D1582" s="1" t="s">
        <v>9</v>
      </c>
      <c r="E1582" s="1" t="s">
        <v>10</v>
      </c>
      <c r="F1582" s="5">
        <v>32.9255</v>
      </c>
      <c r="G1582" s="5">
        <v>2573.4751900000001</v>
      </c>
      <c r="H1582" s="5">
        <v>6.9143999999999997</v>
      </c>
      <c r="I1582">
        <v>4883</v>
      </c>
      <c r="J1582" s="4" t="str">
        <f>IF(OR(Копия_20206[[#This Row],[Units (in 1000)]]&gt;$R$7,Копия_20206[[#This Row],[Units (in 1000)]]&lt;$R$6),"outlier","not outlier")</f>
        <v>outlier</v>
      </c>
      <c r="K1582" s="4" t="str">
        <f>IF(OR(Копия_20206[[#This Row],[Value (in 1000 rub)]]&gt;$S$7,Копия_20206[[#This Row],[Value (in 1000 rub)]]&lt;$S$6),"outlier","not outlier")</f>
        <v>outlier</v>
      </c>
      <c r="L1582" s="4" t="str">
        <f>IF(OR(Копия_20206[[#This Row],[Volume (in 1000 kg)]]&gt;$T$7,Копия_20206[[#This Row],[Volume (in 1000 kg)]]&lt;$T$6),"outlier","not outlier")</f>
        <v>not outlier</v>
      </c>
      <c r="M1582" s="4" t="str">
        <f>IF(OR(Копия_20206[[#This Row],[Number of stores]]&gt;$U$7,Копия_20206[[#This Row],[Number of stores]]&lt;$U$6),"outlier","not outlier")</f>
        <v>outlier</v>
      </c>
    </row>
    <row r="1583" spans="1:13" x14ac:dyDescent="0.25">
      <c r="A1583">
        <v>2022</v>
      </c>
      <c r="B1583">
        <v>11</v>
      </c>
      <c r="C1583" s="1" t="s">
        <v>29</v>
      </c>
      <c r="D1583" s="1" t="s">
        <v>9</v>
      </c>
      <c r="E1583" s="1" t="s">
        <v>11</v>
      </c>
      <c r="F1583" s="5">
        <v>109.5556</v>
      </c>
      <c r="G1583" s="5">
        <v>12847.27447</v>
      </c>
      <c r="H1583" s="5">
        <v>38.344499999999996</v>
      </c>
      <c r="I1583">
        <v>17478</v>
      </c>
      <c r="J1583" s="4" t="str">
        <f>IF(OR(Копия_20206[[#This Row],[Units (in 1000)]]&gt;$R$7,Копия_20206[[#This Row],[Units (in 1000)]]&lt;$R$6),"outlier","not outlier")</f>
        <v>outlier</v>
      </c>
      <c r="K1583" s="4" t="str">
        <f>IF(OR(Копия_20206[[#This Row],[Value (in 1000 rub)]]&gt;$S$7,Копия_20206[[#This Row],[Value (in 1000 rub)]]&lt;$S$6),"outlier","not outlier")</f>
        <v>outlier</v>
      </c>
      <c r="L1583" s="4" t="str">
        <f>IF(OR(Копия_20206[[#This Row],[Volume (in 1000 kg)]]&gt;$T$7,Копия_20206[[#This Row],[Volume (in 1000 kg)]]&lt;$T$6),"outlier","not outlier")</f>
        <v>outlier</v>
      </c>
      <c r="M1583" s="4" t="str">
        <f>IF(OR(Копия_20206[[#This Row],[Number of stores]]&gt;$U$7,Копия_20206[[#This Row],[Number of stores]]&lt;$U$6),"outlier","not outlier")</f>
        <v>outlier</v>
      </c>
    </row>
    <row r="1584" spans="1:13" x14ac:dyDescent="0.25">
      <c r="A1584">
        <v>2022</v>
      </c>
      <c r="B1584">
        <v>11</v>
      </c>
      <c r="C1584" s="1" t="s">
        <v>29</v>
      </c>
      <c r="D1584" s="1" t="s">
        <v>9</v>
      </c>
      <c r="E1584" s="1" t="s">
        <v>12</v>
      </c>
      <c r="F1584" s="5">
        <v>25.076799999999999</v>
      </c>
      <c r="G1584" s="5">
        <v>3373.0182810000001</v>
      </c>
      <c r="H1584" s="5">
        <v>12.3856</v>
      </c>
      <c r="I1584">
        <v>5795</v>
      </c>
      <c r="J1584" s="4" t="str">
        <f>IF(OR(Копия_20206[[#This Row],[Units (in 1000)]]&gt;$R$7,Копия_20206[[#This Row],[Units (in 1000)]]&lt;$R$6),"outlier","not outlier")</f>
        <v>outlier</v>
      </c>
      <c r="K1584" s="4" t="str">
        <f>IF(OR(Копия_20206[[#This Row],[Value (in 1000 rub)]]&gt;$S$7,Копия_20206[[#This Row],[Value (in 1000 rub)]]&lt;$S$6),"outlier","not outlier")</f>
        <v>outlier</v>
      </c>
      <c r="L1584" s="4" t="str">
        <f>IF(OR(Копия_20206[[#This Row],[Volume (in 1000 kg)]]&gt;$T$7,Копия_20206[[#This Row],[Volume (in 1000 kg)]]&lt;$T$6),"outlier","not outlier")</f>
        <v>outlier</v>
      </c>
      <c r="M1584" s="4" t="str">
        <f>IF(OR(Копия_20206[[#This Row],[Number of stores]]&gt;$U$7,Копия_20206[[#This Row],[Number of stores]]&lt;$U$6),"outlier","not outlier")</f>
        <v>outlier</v>
      </c>
    </row>
    <row r="1585" spans="1:13" x14ac:dyDescent="0.25">
      <c r="A1585">
        <v>2022</v>
      </c>
      <c r="B1585">
        <v>11</v>
      </c>
      <c r="C1585" s="1" t="s">
        <v>29</v>
      </c>
      <c r="D1585" s="1" t="s">
        <v>9</v>
      </c>
      <c r="E1585" s="1" t="s">
        <v>13</v>
      </c>
      <c r="F1585" s="5">
        <v>2.41E-2</v>
      </c>
      <c r="G1585" s="5">
        <v>4.9832989999999997</v>
      </c>
      <c r="H1585" s="5">
        <v>1.7999999999999999E-2</v>
      </c>
      <c r="I1585">
        <v>6</v>
      </c>
      <c r="J1585" s="4" t="str">
        <f>IF(OR(Копия_20206[[#This Row],[Units (in 1000)]]&gt;$R$7,Копия_20206[[#This Row],[Units (in 1000)]]&lt;$R$6),"outlier","not outlier")</f>
        <v>not outlier</v>
      </c>
      <c r="K1585" s="4" t="str">
        <f>IF(OR(Копия_20206[[#This Row],[Value (in 1000 rub)]]&gt;$S$7,Копия_20206[[#This Row],[Value (in 1000 rub)]]&lt;$S$6),"outlier","not outlier")</f>
        <v>not outlier</v>
      </c>
      <c r="L1585" s="4" t="str">
        <f>IF(OR(Копия_20206[[#This Row],[Volume (in 1000 kg)]]&gt;$T$7,Копия_20206[[#This Row],[Volume (in 1000 kg)]]&lt;$T$6),"outlier","not outlier")</f>
        <v>not outlier</v>
      </c>
      <c r="M1585" s="4" t="str">
        <f>IF(OR(Копия_20206[[#This Row],[Number of stores]]&gt;$U$7,Копия_20206[[#This Row],[Number of stores]]&lt;$U$6),"outlier","not outlier")</f>
        <v>not outlier</v>
      </c>
    </row>
    <row r="1586" spans="1:13" x14ac:dyDescent="0.25">
      <c r="A1586">
        <v>2022</v>
      </c>
      <c r="B1586">
        <v>12</v>
      </c>
      <c r="C1586" s="1" t="s">
        <v>8</v>
      </c>
      <c r="D1586" s="1" t="s">
        <v>9</v>
      </c>
      <c r="E1586" s="1" t="s">
        <v>10</v>
      </c>
      <c r="F1586" s="5">
        <v>5.7782999999999998</v>
      </c>
      <c r="G1586" s="5">
        <v>479.59158500000001</v>
      </c>
      <c r="H1586" s="5">
        <v>1.2135</v>
      </c>
      <c r="I1586">
        <v>389</v>
      </c>
      <c r="J1586" s="4" t="str">
        <f>IF(OR(Копия_20206[[#This Row],[Units (in 1000)]]&gt;$R$7,Копия_20206[[#This Row],[Units (in 1000)]]&lt;$R$6),"outlier","not outlier")</f>
        <v>not outlier</v>
      </c>
      <c r="K1586" s="4" t="str">
        <f>IF(OR(Копия_20206[[#This Row],[Value (in 1000 rub)]]&gt;$S$7,Копия_20206[[#This Row],[Value (in 1000 rub)]]&lt;$S$6),"outlier","not outlier")</f>
        <v>not outlier</v>
      </c>
      <c r="L1586" s="4" t="str">
        <f>IF(OR(Копия_20206[[#This Row],[Volume (in 1000 kg)]]&gt;$T$7,Копия_20206[[#This Row],[Volume (in 1000 kg)]]&lt;$T$6),"outlier","not outlier")</f>
        <v>not outlier</v>
      </c>
      <c r="M1586" s="4" t="str">
        <f>IF(OR(Копия_20206[[#This Row],[Number of stores]]&gt;$U$7,Копия_20206[[#This Row],[Number of stores]]&lt;$U$6),"outlier","not outlier")</f>
        <v>not outlier</v>
      </c>
    </row>
    <row r="1587" spans="1:13" x14ac:dyDescent="0.25">
      <c r="A1587">
        <v>2022</v>
      </c>
      <c r="B1587">
        <v>12</v>
      </c>
      <c r="C1587" s="1" t="s">
        <v>8</v>
      </c>
      <c r="D1587" s="1" t="s">
        <v>9</v>
      </c>
      <c r="E1587" s="1" t="s">
        <v>11</v>
      </c>
      <c r="F1587" s="5">
        <v>26.398</v>
      </c>
      <c r="G1587" s="5">
        <v>3098.2747159999999</v>
      </c>
      <c r="H1587" s="5">
        <v>9.2393000000000001</v>
      </c>
      <c r="I1587">
        <v>596</v>
      </c>
      <c r="J1587" s="4" t="str">
        <f>IF(OR(Копия_20206[[#This Row],[Units (in 1000)]]&gt;$R$7,Копия_20206[[#This Row],[Units (in 1000)]]&lt;$R$6),"outlier","not outlier")</f>
        <v>outlier</v>
      </c>
      <c r="K1587" s="4" t="str">
        <f>IF(OR(Копия_20206[[#This Row],[Value (in 1000 rub)]]&gt;$S$7,Копия_20206[[#This Row],[Value (in 1000 rub)]]&lt;$S$6),"outlier","not outlier")</f>
        <v>outlier</v>
      </c>
      <c r="L1587" s="4" t="str">
        <f>IF(OR(Копия_20206[[#This Row],[Volume (in 1000 kg)]]&gt;$T$7,Копия_20206[[#This Row],[Volume (in 1000 kg)]]&lt;$T$6),"outlier","not outlier")</f>
        <v>outlier</v>
      </c>
      <c r="M1587" s="4" t="str">
        <f>IF(OR(Копия_20206[[#This Row],[Number of stores]]&gt;$U$7,Копия_20206[[#This Row],[Number of stores]]&lt;$U$6),"outlier","not outlier")</f>
        <v>not outlier</v>
      </c>
    </row>
    <row r="1588" spans="1:13" x14ac:dyDescent="0.25">
      <c r="A1588">
        <v>2022</v>
      </c>
      <c r="B1588">
        <v>12</v>
      </c>
      <c r="C1588" s="1" t="s">
        <v>8</v>
      </c>
      <c r="D1588" s="1" t="s">
        <v>9</v>
      </c>
      <c r="E1588" s="1" t="s">
        <v>12</v>
      </c>
      <c r="F1588" s="5">
        <v>30.0701</v>
      </c>
      <c r="G1588" s="5">
        <v>3720.114364</v>
      </c>
      <c r="H1588" s="5">
        <v>15.0265</v>
      </c>
      <c r="I1588">
        <v>501</v>
      </c>
      <c r="J1588" s="4" t="str">
        <f>IF(OR(Копия_20206[[#This Row],[Units (in 1000)]]&gt;$R$7,Копия_20206[[#This Row],[Units (in 1000)]]&lt;$R$6),"outlier","not outlier")</f>
        <v>outlier</v>
      </c>
      <c r="K1588" s="4" t="str">
        <f>IF(OR(Копия_20206[[#This Row],[Value (in 1000 rub)]]&gt;$S$7,Копия_20206[[#This Row],[Value (in 1000 rub)]]&lt;$S$6),"outlier","not outlier")</f>
        <v>outlier</v>
      </c>
      <c r="L1588" s="4" t="str">
        <f>IF(OR(Копия_20206[[#This Row],[Volume (in 1000 kg)]]&gt;$T$7,Копия_20206[[#This Row],[Volume (in 1000 kg)]]&lt;$T$6),"outlier","not outlier")</f>
        <v>outlier</v>
      </c>
      <c r="M1588" s="4" t="str">
        <f>IF(OR(Копия_20206[[#This Row],[Number of stores]]&gt;$U$7,Копия_20206[[#This Row],[Number of stores]]&lt;$U$6),"outlier","not outlier")</f>
        <v>not outlier</v>
      </c>
    </row>
    <row r="1589" spans="1:13" x14ac:dyDescent="0.25">
      <c r="A1589">
        <v>2022</v>
      </c>
      <c r="B1589">
        <v>12</v>
      </c>
      <c r="C1589" s="1" t="s">
        <v>25</v>
      </c>
      <c r="D1589" s="1" t="s">
        <v>9</v>
      </c>
      <c r="E1589" s="1" t="s">
        <v>10</v>
      </c>
      <c r="F1589" s="5">
        <v>14.025399999999999</v>
      </c>
      <c r="G1589" s="5">
        <v>1104.6946849999999</v>
      </c>
      <c r="H1589" s="5">
        <v>2.9453</v>
      </c>
      <c r="I1589">
        <v>2688</v>
      </c>
      <c r="J1589" s="4" t="str">
        <f>IF(OR(Копия_20206[[#This Row],[Units (in 1000)]]&gt;$R$7,Копия_20206[[#This Row],[Units (in 1000)]]&lt;$R$6),"outlier","not outlier")</f>
        <v>not outlier</v>
      </c>
      <c r="K1589" s="4" t="str">
        <f>IF(OR(Копия_20206[[#This Row],[Value (in 1000 rub)]]&gt;$S$7,Копия_20206[[#This Row],[Value (in 1000 rub)]]&lt;$S$6),"outlier","not outlier")</f>
        <v>not outlier</v>
      </c>
      <c r="L1589" s="4" t="str">
        <f>IF(OR(Копия_20206[[#This Row],[Volume (in 1000 kg)]]&gt;$T$7,Копия_20206[[#This Row],[Volume (in 1000 kg)]]&lt;$T$6),"outlier","not outlier")</f>
        <v>not outlier</v>
      </c>
      <c r="M1589" s="4" t="str">
        <f>IF(OR(Копия_20206[[#This Row],[Number of stores]]&gt;$U$7,Копия_20206[[#This Row],[Number of stores]]&lt;$U$6),"outlier","not outlier")</f>
        <v>not outlier</v>
      </c>
    </row>
    <row r="1590" spans="1:13" x14ac:dyDescent="0.25">
      <c r="A1590">
        <v>2022</v>
      </c>
      <c r="B1590">
        <v>12</v>
      </c>
      <c r="C1590" s="1" t="s">
        <v>25</v>
      </c>
      <c r="D1590" s="1" t="s">
        <v>9</v>
      </c>
      <c r="E1590" s="1" t="s">
        <v>11</v>
      </c>
      <c r="F1590" s="5">
        <v>41.937199999999997</v>
      </c>
      <c r="G1590" s="5">
        <v>5315.2365040000004</v>
      </c>
      <c r="H1590" s="5">
        <v>14.678000000000001</v>
      </c>
      <c r="I1590">
        <v>7912</v>
      </c>
      <c r="J1590" s="4" t="str">
        <f>IF(OR(Копия_20206[[#This Row],[Units (in 1000)]]&gt;$R$7,Копия_20206[[#This Row],[Units (in 1000)]]&lt;$R$6),"outlier","not outlier")</f>
        <v>outlier</v>
      </c>
      <c r="K1590" s="4" t="str">
        <f>IF(OR(Копия_20206[[#This Row],[Value (in 1000 rub)]]&gt;$S$7,Копия_20206[[#This Row],[Value (in 1000 rub)]]&lt;$S$6),"outlier","not outlier")</f>
        <v>outlier</v>
      </c>
      <c r="L1590" s="4" t="str">
        <f>IF(OR(Копия_20206[[#This Row],[Volume (in 1000 kg)]]&gt;$T$7,Копия_20206[[#This Row],[Volume (in 1000 kg)]]&lt;$T$6),"outlier","not outlier")</f>
        <v>outlier</v>
      </c>
      <c r="M1590" s="4" t="str">
        <f>IF(OR(Копия_20206[[#This Row],[Number of stores]]&gt;$U$7,Копия_20206[[#This Row],[Number of stores]]&lt;$U$6),"outlier","not outlier")</f>
        <v>outlier</v>
      </c>
    </row>
    <row r="1591" spans="1:13" x14ac:dyDescent="0.25">
      <c r="A1591">
        <v>2022</v>
      </c>
      <c r="B1591">
        <v>12</v>
      </c>
      <c r="C1591" s="1" t="s">
        <v>25</v>
      </c>
      <c r="D1591" s="1" t="s">
        <v>9</v>
      </c>
      <c r="E1591" s="1" t="s">
        <v>12</v>
      </c>
      <c r="F1591" s="5">
        <v>8.8173999999999992</v>
      </c>
      <c r="G1591" s="5">
        <v>1180.5506829999999</v>
      </c>
      <c r="H1591" s="5">
        <v>4.3360000000000003</v>
      </c>
      <c r="I1591">
        <v>3076</v>
      </c>
      <c r="J1591" s="4" t="str">
        <f>IF(OR(Копия_20206[[#This Row],[Units (in 1000)]]&gt;$R$7,Копия_20206[[#This Row],[Units (in 1000)]]&lt;$R$6),"outlier","not outlier")</f>
        <v>not outlier</v>
      </c>
      <c r="K1591" s="4" t="str">
        <f>IF(OR(Копия_20206[[#This Row],[Value (in 1000 rub)]]&gt;$S$7,Копия_20206[[#This Row],[Value (in 1000 rub)]]&lt;$S$6),"outlier","not outlier")</f>
        <v>not outlier</v>
      </c>
      <c r="L1591" s="4" t="str">
        <f>IF(OR(Копия_20206[[#This Row],[Volume (in 1000 kg)]]&gt;$T$7,Копия_20206[[#This Row],[Volume (in 1000 kg)]]&lt;$T$6),"outlier","not outlier")</f>
        <v>not outlier</v>
      </c>
      <c r="M1591" s="4" t="str">
        <f>IF(OR(Копия_20206[[#This Row],[Number of stores]]&gt;$U$7,Копия_20206[[#This Row],[Number of stores]]&lt;$U$6),"outlier","not outlier")</f>
        <v>outlier</v>
      </c>
    </row>
    <row r="1592" spans="1:13" x14ac:dyDescent="0.25">
      <c r="A1592">
        <v>2022</v>
      </c>
      <c r="B1592">
        <v>12</v>
      </c>
      <c r="C1592" s="1" t="s">
        <v>29</v>
      </c>
      <c r="D1592" s="1" t="s">
        <v>9</v>
      </c>
      <c r="E1592" s="1" t="s">
        <v>10</v>
      </c>
      <c r="F1592" s="5">
        <v>27.536799999999999</v>
      </c>
      <c r="G1592" s="5">
        <v>2257.7323289999999</v>
      </c>
      <c r="H1592" s="5">
        <v>5.7827999999999999</v>
      </c>
      <c r="I1592">
        <v>4364</v>
      </c>
      <c r="J1592" s="4" t="str">
        <f>IF(OR(Копия_20206[[#This Row],[Units (in 1000)]]&gt;$R$7,Копия_20206[[#This Row],[Units (in 1000)]]&lt;$R$6),"outlier","not outlier")</f>
        <v>outlier</v>
      </c>
      <c r="K1592" s="4" t="str">
        <f>IF(OR(Копия_20206[[#This Row],[Value (in 1000 rub)]]&gt;$S$7,Копия_20206[[#This Row],[Value (in 1000 rub)]]&lt;$S$6),"outlier","not outlier")</f>
        <v>outlier</v>
      </c>
      <c r="L1592" s="4" t="str">
        <f>IF(OR(Копия_20206[[#This Row],[Volume (in 1000 kg)]]&gt;$T$7,Копия_20206[[#This Row],[Volume (in 1000 kg)]]&lt;$T$6),"outlier","not outlier")</f>
        <v>not outlier</v>
      </c>
      <c r="M1592" s="4" t="str">
        <f>IF(OR(Копия_20206[[#This Row],[Number of stores]]&gt;$U$7,Копия_20206[[#This Row],[Number of stores]]&lt;$U$6),"outlier","not outlier")</f>
        <v>outlier</v>
      </c>
    </row>
    <row r="1593" spans="1:13" x14ac:dyDescent="0.25">
      <c r="A1593">
        <v>2022</v>
      </c>
      <c r="B1593">
        <v>12</v>
      </c>
      <c r="C1593" s="1" t="s">
        <v>29</v>
      </c>
      <c r="D1593" s="1" t="s">
        <v>9</v>
      </c>
      <c r="E1593" s="1" t="s">
        <v>11</v>
      </c>
      <c r="F1593" s="5">
        <v>124.5474</v>
      </c>
      <c r="G1593" s="5">
        <v>14747.014971000001</v>
      </c>
      <c r="H1593" s="5">
        <v>43.5916</v>
      </c>
      <c r="I1593">
        <v>16029</v>
      </c>
      <c r="J1593" s="4" t="str">
        <f>IF(OR(Копия_20206[[#This Row],[Units (in 1000)]]&gt;$R$7,Копия_20206[[#This Row],[Units (in 1000)]]&lt;$R$6),"outlier","not outlier")</f>
        <v>outlier</v>
      </c>
      <c r="K1593" s="4" t="str">
        <f>IF(OR(Копия_20206[[#This Row],[Value (in 1000 rub)]]&gt;$S$7,Копия_20206[[#This Row],[Value (in 1000 rub)]]&lt;$S$6),"outlier","not outlier")</f>
        <v>outlier</v>
      </c>
      <c r="L1593" s="4" t="str">
        <f>IF(OR(Копия_20206[[#This Row],[Volume (in 1000 kg)]]&gt;$T$7,Копия_20206[[#This Row],[Volume (in 1000 kg)]]&lt;$T$6),"outlier","not outlier")</f>
        <v>outlier</v>
      </c>
      <c r="M1593" s="4" t="str">
        <f>IF(OR(Копия_20206[[#This Row],[Number of stores]]&gt;$U$7,Копия_20206[[#This Row],[Number of stores]]&lt;$U$6),"outlier","not outlier")</f>
        <v>outlier</v>
      </c>
    </row>
    <row r="1594" spans="1:13" x14ac:dyDescent="0.25">
      <c r="A1594">
        <v>2022</v>
      </c>
      <c r="B1594">
        <v>12</v>
      </c>
      <c r="C1594" s="1" t="s">
        <v>29</v>
      </c>
      <c r="D1594" s="1" t="s">
        <v>9</v>
      </c>
      <c r="E1594" s="1" t="s">
        <v>12</v>
      </c>
      <c r="F1594" s="5">
        <v>22.1265</v>
      </c>
      <c r="G1594" s="5">
        <v>2942.5828320000001</v>
      </c>
      <c r="H1594" s="5">
        <v>10.9131</v>
      </c>
      <c r="I1594">
        <v>6072</v>
      </c>
      <c r="J1594" s="4" t="str">
        <f>IF(OR(Копия_20206[[#This Row],[Units (in 1000)]]&gt;$R$7,Копия_20206[[#This Row],[Units (in 1000)]]&lt;$R$6),"outlier","not outlier")</f>
        <v>not outlier</v>
      </c>
      <c r="K1594" s="4" t="str">
        <f>IF(OR(Копия_20206[[#This Row],[Value (in 1000 rub)]]&gt;$S$7,Копия_20206[[#This Row],[Value (in 1000 rub)]]&lt;$S$6),"outlier","not outlier")</f>
        <v>outlier</v>
      </c>
      <c r="L1594" s="4" t="str">
        <f>IF(OR(Копия_20206[[#This Row],[Volume (in 1000 kg)]]&gt;$T$7,Копия_20206[[#This Row],[Volume (in 1000 kg)]]&lt;$T$6),"outlier","not outlier")</f>
        <v>outlier</v>
      </c>
      <c r="M1594" s="4" t="str">
        <f>IF(OR(Копия_20206[[#This Row],[Number of stores]]&gt;$U$7,Копия_20206[[#This Row],[Number of stores]]&lt;$U$6),"outlier","not outlier")</f>
        <v>outlier</v>
      </c>
    </row>
    <row r="1595" spans="1:13" x14ac:dyDescent="0.25">
      <c r="A1595">
        <v>2022</v>
      </c>
      <c r="B1595">
        <v>12</v>
      </c>
      <c r="C1595" s="1" t="s">
        <v>29</v>
      </c>
      <c r="D1595" s="1" t="s">
        <v>9</v>
      </c>
      <c r="E1595" s="1" t="s">
        <v>13</v>
      </c>
      <c r="F1595" s="5">
        <v>2.4899999999999999E-2</v>
      </c>
      <c r="G1595" s="5">
        <v>5.1493950000000002</v>
      </c>
      <c r="H1595" s="5">
        <v>1.8700000000000001E-2</v>
      </c>
      <c r="I1595">
        <v>6</v>
      </c>
      <c r="J1595" s="4" t="str">
        <f>IF(OR(Копия_20206[[#This Row],[Units (in 1000)]]&gt;$R$7,Копия_20206[[#This Row],[Units (in 1000)]]&lt;$R$6),"outlier","not outlier")</f>
        <v>not outlier</v>
      </c>
      <c r="K1595" s="4" t="str">
        <f>IF(OR(Копия_20206[[#This Row],[Value (in 1000 rub)]]&gt;$S$7,Копия_20206[[#This Row],[Value (in 1000 rub)]]&lt;$S$6),"outlier","not outlier")</f>
        <v>not outlier</v>
      </c>
      <c r="L1595" s="4" t="str">
        <f>IF(OR(Копия_20206[[#This Row],[Volume (in 1000 kg)]]&gt;$T$7,Копия_20206[[#This Row],[Volume (in 1000 kg)]]&lt;$T$6),"outlier","not outlier")</f>
        <v>not outlier</v>
      </c>
      <c r="M1595" s="4" t="str">
        <f>IF(OR(Копия_20206[[#This Row],[Number of stores]]&gt;$U$7,Копия_20206[[#This Row],[Number of stores]]&lt;$U$6),"outlier","not outlier")</f>
        <v>not outlier</v>
      </c>
    </row>
    <row r="1596" spans="1:13" x14ac:dyDescent="0.25">
      <c r="A1596">
        <v>2022</v>
      </c>
      <c r="B1596">
        <v>1</v>
      </c>
      <c r="C1596" s="1" t="s">
        <v>8</v>
      </c>
      <c r="D1596" s="1" t="s">
        <v>9</v>
      </c>
      <c r="E1596" s="1" t="s">
        <v>18</v>
      </c>
      <c r="F1596" s="5">
        <v>10.053699999999999</v>
      </c>
      <c r="G1596" s="5">
        <v>732.97979999999995</v>
      </c>
      <c r="H1596" s="5">
        <v>2.0106999999999999</v>
      </c>
      <c r="I1596">
        <v>411</v>
      </c>
      <c r="J1596" s="4" t="str">
        <f>IF(OR(Копия_20206[[#This Row],[Units (in 1000)]]&gt;$R$7,Копия_20206[[#This Row],[Units (in 1000)]]&lt;$R$6),"outlier","not outlier")</f>
        <v>not outlier</v>
      </c>
      <c r="K1596" s="4" t="str">
        <f>IF(OR(Копия_20206[[#This Row],[Value (in 1000 rub)]]&gt;$S$7,Копия_20206[[#This Row],[Value (in 1000 rub)]]&lt;$S$6),"outlier","not outlier")</f>
        <v>not outlier</v>
      </c>
      <c r="L1596" s="4" t="str">
        <f>IF(OR(Копия_20206[[#This Row],[Volume (in 1000 kg)]]&gt;$T$7,Копия_20206[[#This Row],[Volume (in 1000 kg)]]&lt;$T$6),"outlier","not outlier")</f>
        <v>not outlier</v>
      </c>
      <c r="M1596" s="4" t="str">
        <f>IF(OR(Копия_20206[[#This Row],[Number of stores]]&gt;$U$7,Копия_20206[[#This Row],[Number of stores]]&lt;$U$6),"outlier","not outlier")</f>
        <v>not outlier</v>
      </c>
    </row>
    <row r="1597" spans="1:13" x14ac:dyDescent="0.25">
      <c r="A1597">
        <v>2022</v>
      </c>
      <c r="B1597">
        <v>1</v>
      </c>
      <c r="C1597" s="1" t="s">
        <v>25</v>
      </c>
      <c r="D1597" s="1" t="s">
        <v>9</v>
      </c>
      <c r="E1597" s="1" t="s">
        <v>18</v>
      </c>
      <c r="F1597" s="5">
        <v>6.1787999999999998</v>
      </c>
      <c r="G1597" s="5">
        <v>460.20650000000001</v>
      </c>
      <c r="H1597" s="5">
        <v>1.2358</v>
      </c>
      <c r="I1597">
        <v>1101</v>
      </c>
      <c r="J1597" s="4" t="str">
        <f>IF(OR(Копия_20206[[#This Row],[Units (in 1000)]]&gt;$R$7,Копия_20206[[#This Row],[Units (in 1000)]]&lt;$R$6),"outlier","not outlier")</f>
        <v>not outlier</v>
      </c>
      <c r="K1597" s="4" t="str">
        <f>IF(OR(Копия_20206[[#This Row],[Value (in 1000 rub)]]&gt;$S$7,Копия_20206[[#This Row],[Value (in 1000 rub)]]&lt;$S$6),"outlier","not outlier")</f>
        <v>not outlier</v>
      </c>
      <c r="L1597" s="4" t="str">
        <f>IF(OR(Копия_20206[[#This Row],[Volume (in 1000 kg)]]&gt;$T$7,Копия_20206[[#This Row],[Volume (in 1000 kg)]]&lt;$T$6),"outlier","not outlier")</f>
        <v>not outlier</v>
      </c>
      <c r="M1597" s="4" t="str">
        <f>IF(OR(Копия_20206[[#This Row],[Number of stores]]&gt;$U$7,Копия_20206[[#This Row],[Number of stores]]&lt;$U$6),"outlier","not outlier")</f>
        <v>not outlier</v>
      </c>
    </row>
    <row r="1598" spans="1:13" x14ac:dyDescent="0.25">
      <c r="A1598">
        <v>2022</v>
      </c>
      <c r="B1598">
        <v>1</v>
      </c>
      <c r="C1598" s="1" t="s">
        <v>29</v>
      </c>
      <c r="D1598" s="1" t="s">
        <v>9</v>
      </c>
      <c r="E1598" s="1" t="s">
        <v>18</v>
      </c>
      <c r="F1598" s="5">
        <v>17.2088</v>
      </c>
      <c r="G1598" s="5">
        <v>1310.1595</v>
      </c>
      <c r="H1598" s="5">
        <v>3.4417</v>
      </c>
      <c r="I1598">
        <v>1929</v>
      </c>
      <c r="J1598" s="4" t="str">
        <f>IF(OR(Копия_20206[[#This Row],[Units (in 1000)]]&gt;$R$7,Копия_20206[[#This Row],[Units (in 1000)]]&lt;$R$6),"outlier","not outlier")</f>
        <v>not outlier</v>
      </c>
      <c r="K1598" s="4" t="str">
        <f>IF(OR(Копия_20206[[#This Row],[Value (in 1000 rub)]]&gt;$S$7,Копия_20206[[#This Row],[Value (in 1000 rub)]]&lt;$S$6),"outlier","not outlier")</f>
        <v>not outlier</v>
      </c>
      <c r="L1598" s="4" t="str">
        <f>IF(OR(Копия_20206[[#This Row],[Volume (in 1000 kg)]]&gt;$T$7,Копия_20206[[#This Row],[Volume (in 1000 kg)]]&lt;$T$6),"outlier","not outlier")</f>
        <v>not outlier</v>
      </c>
      <c r="M1598" s="4" t="str">
        <f>IF(OR(Копия_20206[[#This Row],[Number of stores]]&gt;$U$7,Копия_20206[[#This Row],[Number of stores]]&lt;$U$6),"outlier","not outlier")</f>
        <v>not outlier</v>
      </c>
    </row>
    <row r="1599" spans="1:13" x14ac:dyDescent="0.25">
      <c r="A1599">
        <v>2022</v>
      </c>
      <c r="B1599">
        <v>2</v>
      </c>
      <c r="C1599" s="1" t="s">
        <v>8</v>
      </c>
      <c r="D1599" s="1" t="s">
        <v>9</v>
      </c>
      <c r="E1599" s="1" t="s">
        <v>18</v>
      </c>
      <c r="F1599" s="5">
        <v>9.7912999999999997</v>
      </c>
      <c r="G1599" s="5">
        <v>666.1454</v>
      </c>
      <c r="H1599" s="5">
        <v>1.9583999999999999</v>
      </c>
      <c r="I1599">
        <v>392</v>
      </c>
      <c r="J1599" s="4" t="str">
        <f>IF(OR(Копия_20206[[#This Row],[Units (in 1000)]]&gt;$R$7,Копия_20206[[#This Row],[Units (in 1000)]]&lt;$R$6),"outlier","not outlier")</f>
        <v>not outlier</v>
      </c>
      <c r="K1599" s="4" t="str">
        <f>IF(OR(Копия_20206[[#This Row],[Value (in 1000 rub)]]&gt;$S$7,Копия_20206[[#This Row],[Value (in 1000 rub)]]&lt;$S$6),"outlier","not outlier")</f>
        <v>not outlier</v>
      </c>
      <c r="L1599" s="4" t="str">
        <f>IF(OR(Копия_20206[[#This Row],[Volume (in 1000 kg)]]&gt;$T$7,Копия_20206[[#This Row],[Volume (in 1000 kg)]]&lt;$T$6),"outlier","not outlier")</f>
        <v>not outlier</v>
      </c>
      <c r="M1599" s="4" t="str">
        <f>IF(OR(Копия_20206[[#This Row],[Number of stores]]&gt;$U$7,Копия_20206[[#This Row],[Number of stores]]&lt;$U$6),"outlier","not outlier")</f>
        <v>not outlier</v>
      </c>
    </row>
    <row r="1600" spans="1:13" x14ac:dyDescent="0.25">
      <c r="A1600">
        <v>2022</v>
      </c>
      <c r="B1600">
        <v>2</v>
      </c>
      <c r="C1600" s="1" t="s">
        <v>25</v>
      </c>
      <c r="D1600" s="1" t="s">
        <v>9</v>
      </c>
      <c r="E1600" s="1" t="s">
        <v>18</v>
      </c>
      <c r="F1600" s="5">
        <v>4.6616</v>
      </c>
      <c r="G1600" s="5">
        <v>367.68819999999999</v>
      </c>
      <c r="H1600" s="5">
        <v>0.93240000000000001</v>
      </c>
      <c r="I1600">
        <v>843</v>
      </c>
      <c r="J1600" s="4" t="str">
        <f>IF(OR(Копия_20206[[#This Row],[Units (in 1000)]]&gt;$R$7,Копия_20206[[#This Row],[Units (in 1000)]]&lt;$R$6),"outlier","not outlier")</f>
        <v>not outlier</v>
      </c>
      <c r="K1600" s="4" t="str">
        <f>IF(OR(Копия_20206[[#This Row],[Value (in 1000 rub)]]&gt;$S$7,Копия_20206[[#This Row],[Value (in 1000 rub)]]&lt;$S$6),"outlier","not outlier")</f>
        <v>not outlier</v>
      </c>
      <c r="L1600" s="4" t="str">
        <f>IF(OR(Копия_20206[[#This Row],[Volume (in 1000 kg)]]&gt;$T$7,Копия_20206[[#This Row],[Volume (in 1000 kg)]]&lt;$T$6),"outlier","not outlier")</f>
        <v>not outlier</v>
      </c>
      <c r="M1600" s="4" t="str">
        <f>IF(OR(Копия_20206[[#This Row],[Number of stores]]&gt;$U$7,Копия_20206[[#This Row],[Number of stores]]&lt;$U$6),"outlier","not outlier")</f>
        <v>not outlier</v>
      </c>
    </row>
    <row r="1601" spans="1:13" x14ac:dyDescent="0.25">
      <c r="A1601">
        <v>2022</v>
      </c>
      <c r="B1601">
        <v>2</v>
      </c>
      <c r="C1601" s="1" t="s">
        <v>29</v>
      </c>
      <c r="D1601" s="1" t="s">
        <v>9</v>
      </c>
      <c r="E1601" s="1" t="s">
        <v>18</v>
      </c>
      <c r="F1601" s="5">
        <v>12.1234</v>
      </c>
      <c r="G1601" s="5">
        <v>992.17550000000006</v>
      </c>
      <c r="H1601" s="5">
        <v>2.4245999999999999</v>
      </c>
      <c r="I1601">
        <v>1624</v>
      </c>
      <c r="J1601" s="4" t="str">
        <f>IF(OR(Копия_20206[[#This Row],[Units (in 1000)]]&gt;$R$7,Копия_20206[[#This Row],[Units (in 1000)]]&lt;$R$6),"outlier","not outlier")</f>
        <v>not outlier</v>
      </c>
      <c r="K1601" s="4" t="str">
        <f>IF(OR(Копия_20206[[#This Row],[Value (in 1000 rub)]]&gt;$S$7,Копия_20206[[#This Row],[Value (in 1000 rub)]]&lt;$S$6),"outlier","not outlier")</f>
        <v>not outlier</v>
      </c>
      <c r="L1601" s="4" t="str">
        <f>IF(OR(Копия_20206[[#This Row],[Volume (in 1000 kg)]]&gt;$T$7,Копия_20206[[#This Row],[Volume (in 1000 kg)]]&lt;$T$6),"outlier","not outlier")</f>
        <v>not outlier</v>
      </c>
      <c r="M1601" s="4" t="str">
        <f>IF(OR(Копия_20206[[#This Row],[Number of stores]]&gt;$U$7,Копия_20206[[#This Row],[Number of stores]]&lt;$U$6),"outlier","not outlier")</f>
        <v>not outlier</v>
      </c>
    </row>
    <row r="1602" spans="1:13" x14ac:dyDescent="0.25">
      <c r="A1602">
        <v>2022</v>
      </c>
      <c r="B1602">
        <v>3</v>
      </c>
      <c r="C1602" s="1" t="s">
        <v>8</v>
      </c>
      <c r="D1602" s="1" t="s">
        <v>9</v>
      </c>
      <c r="E1602" s="1" t="s">
        <v>18</v>
      </c>
      <c r="F1602" s="5">
        <v>16.243300000000001</v>
      </c>
      <c r="G1602" s="5">
        <v>1111.4856</v>
      </c>
      <c r="H1602" s="5">
        <v>3.2486000000000002</v>
      </c>
      <c r="I1602">
        <v>339</v>
      </c>
      <c r="J1602" s="4" t="str">
        <f>IF(OR(Копия_20206[[#This Row],[Units (in 1000)]]&gt;$R$7,Копия_20206[[#This Row],[Units (in 1000)]]&lt;$R$6),"outlier","not outlier")</f>
        <v>not outlier</v>
      </c>
      <c r="K1602" s="4" t="str">
        <f>IF(OR(Копия_20206[[#This Row],[Value (in 1000 rub)]]&gt;$S$7,Копия_20206[[#This Row],[Value (in 1000 rub)]]&lt;$S$6),"outlier","not outlier")</f>
        <v>not outlier</v>
      </c>
      <c r="L1602" s="4" t="str">
        <f>IF(OR(Копия_20206[[#This Row],[Volume (in 1000 kg)]]&gt;$T$7,Копия_20206[[#This Row],[Volume (in 1000 kg)]]&lt;$T$6),"outlier","not outlier")</f>
        <v>not outlier</v>
      </c>
      <c r="M1602" s="4" t="str">
        <f>IF(OR(Копия_20206[[#This Row],[Number of stores]]&gt;$U$7,Копия_20206[[#This Row],[Number of stores]]&lt;$U$6),"outlier","not outlier")</f>
        <v>not outlier</v>
      </c>
    </row>
    <row r="1603" spans="1:13" x14ac:dyDescent="0.25">
      <c r="A1603">
        <v>2022</v>
      </c>
      <c r="B1603">
        <v>3</v>
      </c>
      <c r="C1603" s="1" t="s">
        <v>25</v>
      </c>
      <c r="D1603" s="1" t="s">
        <v>9</v>
      </c>
      <c r="E1603" s="1" t="s">
        <v>18</v>
      </c>
      <c r="F1603" s="5">
        <v>3.9952000000000001</v>
      </c>
      <c r="G1603" s="5">
        <v>333.67649999999998</v>
      </c>
      <c r="H1603" s="5">
        <v>0.79890000000000005</v>
      </c>
      <c r="I1603">
        <v>791</v>
      </c>
      <c r="J1603" s="4" t="str">
        <f>IF(OR(Копия_20206[[#This Row],[Units (in 1000)]]&gt;$R$7,Копия_20206[[#This Row],[Units (in 1000)]]&lt;$R$6),"outlier","not outlier")</f>
        <v>not outlier</v>
      </c>
      <c r="K1603" s="4" t="str">
        <f>IF(OR(Копия_20206[[#This Row],[Value (in 1000 rub)]]&gt;$S$7,Копия_20206[[#This Row],[Value (in 1000 rub)]]&lt;$S$6),"outlier","not outlier")</f>
        <v>not outlier</v>
      </c>
      <c r="L1603" s="4" t="str">
        <f>IF(OR(Копия_20206[[#This Row],[Volume (in 1000 kg)]]&gt;$T$7,Копия_20206[[#This Row],[Volume (in 1000 kg)]]&lt;$T$6),"outlier","not outlier")</f>
        <v>not outlier</v>
      </c>
      <c r="M1603" s="4" t="str">
        <f>IF(OR(Копия_20206[[#This Row],[Number of stores]]&gt;$U$7,Копия_20206[[#This Row],[Number of stores]]&lt;$U$6),"outlier","not outlier")</f>
        <v>not outlier</v>
      </c>
    </row>
    <row r="1604" spans="1:13" x14ac:dyDescent="0.25">
      <c r="A1604">
        <v>2022</v>
      </c>
      <c r="B1604">
        <v>3</v>
      </c>
      <c r="C1604" s="1" t="s">
        <v>29</v>
      </c>
      <c r="D1604" s="1" t="s">
        <v>9</v>
      </c>
      <c r="E1604" s="1" t="s">
        <v>18</v>
      </c>
      <c r="F1604" s="5">
        <v>18.528300000000002</v>
      </c>
      <c r="G1604" s="5">
        <v>1307.2</v>
      </c>
      <c r="H1604" s="5">
        <v>3.7056</v>
      </c>
      <c r="I1604">
        <v>1466</v>
      </c>
      <c r="J1604" s="4" t="str">
        <f>IF(OR(Копия_20206[[#This Row],[Units (in 1000)]]&gt;$R$7,Копия_20206[[#This Row],[Units (in 1000)]]&lt;$R$6),"outlier","not outlier")</f>
        <v>not outlier</v>
      </c>
      <c r="K1604" s="4" t="str">
        <f>IF(OR(Копия_20206[[#This Row],[Value (in 1000 rub)]]&gt;$S$7,Копия_20206[[#This Row],[Value (in 1000 rub)]]&lt;$S$6),"outlier","not outlier")</f>
        <v>not outlier</v>
      </c>
      <c r="L1604" s="4" t="str">
        <f>IF(OR(Копия_20206[[#This Row],[Volume (in 1000 kg)]]&gt;$T$7,Копия_20206[[#This Row],[Volume (in 1000 kg)]]&lt;$T$6),"outlier","not outlier")</f>
        <v>not outlier</v>
      </c>
      <c r="M1604" s="4" t="str">
        <f>IF(OR(Копия_20206[[#This Row],[Number of stores]]&gt;$U$7,Копия_20206[[#This Row],[Number of stores]]&lt;$U$6),"outlier","not outlier")</f>
        <v>not outlier</v>
      </c>
    </row>
    <row r="1605" spans="1:13" x14ac:dyDescent="0.25">
      <c r="A1605">
        <v>2022</v>
      </c>
      <c r="B1605">
        <v>4</v>
      </c>
      <c r="C1605" s="1" t="s">
        <v>8</v>
      </c>
      <c r="D1605" s="1" t="s">
        <v>9</v>
      </c>
      <c r="E1605" s="1" t="s">
        <v>18</v>
      </c>
      <c r="F1605" s="5">
        <v>7.3804999999999996</v>
      </c>
      <c r="G1605" s="5">
        <v>577.65989999999999</v>
      </c>
      <c r="H1605" s="5">
        <v>1.4761</v>
      </c>
      <c r="I1605">
        <v>310</v>
      </c>
      <c r="J1605" s="4" t="str">
        <f>IF(OR(Копия_20206[[#This Row],[Units (in 1000)]]&gt;$R$7,Копия_20206[[#This Row],[Units (in 1000)]]&lt;$R$6),"outlier","not outlier")</f>
        <v>not outlier</v>
      </c>
      <c r="K1605" s="4" t="str">
        <f>IF(OR(Копия_20206[[#This Row],[Value (in 1000 rub)]]&gt;$S$7,Копия_20206[[#This Row],[Value (in 1000 rub)]]&lt;$S$6),"outlier","not outlier")</f>
        <v>not outlier</v>
      </c>
      <c r="L1605" s="4" t="str">
        <f>IF(OR(Копия_20206[[#This Row],[Volume (in 1000 kg)]]&gt;$T$7,Копия_20206[[#This Row],[Volume (in 1000 kg)]]&lt;$T$6),"outlier","not outlier")</f>
        <v>not outlier</v>
      </c>
      <c r="M1605" s="4" t="str">
        <f>IF(OR(Копия_20206[[#This Row],[Number of stores]]&gt;$U$7,Копия_20206[[#This Row],[Number of stores]]&lt;$U$6),"outlier","not outlier")</f>
        <v>not outlier</v>
      </c>
    </row>
    <row r="1606" spans="1:13" x14ac:dyDescent="0.25">
      <c r="A1606">
        <v>2022</v>
      </c>
      <c r="B1606">
        <v>4</v>
      </c>
      <c r="C1606" s="1" t="s">
        <v>25</v>
      </c>
      <c r="D1606" s="1" t="s">
        <v>9</v>
      </c>
      <c r="E1606" s="1" t="s">
        <v>18</v>
      </c>
      <c r="F1606" s="5">
        <v>4.2591000000000001</v>
      </c>
      <c r="G1606" s="5">
        <v>348.50400000000002</v>
      </c>
      <c r="H1606" s="5">
        <v>0.85189999999999999</v>
      </c>
      <c r="I1606">
        <v>778</v>
      </c>
      <c r="J1606" s="4" t="str">
        <f>IF(OR(Копия_20206[[#This Row],[Units (in 1000)]]&gt;$R$7,Копия_20206[[#This Row],[Units (in 1000)]]&lt;$R$6),"outlier","not outlier")</f>
        <v>not outlier</v>
      </c>
      <c r="K1606" s="4" t="str">
        <f>IF(OR(Копия_20206[[#This Row],[Value (in 1000 rub)]]&gt;$S$7,Копия_20206[[#This Row],[Value (in 1000 rub)]]&lt;$S$6),"outlier","not outlier")</f>
        <v>not outlier</v>
      </c>
      <c r="L1606" s="4" t="str">
        <f>IF(OR(Копия_20206[[#This Row],[Volume (in 1000 kg)]]&gt;$T$7,Копия_20206[[#This Row],[Volume (in 1000 kg)]]&lt;$T$6),"outlier","not outlier")</f>
        <v>not outlier</v>
      </c>
      <c r="M1606" s="4" t="str">
        <f>IF(OR(Копия_20206[[#This Row],[Number of stores]]&gt;$U$7,Копия_20206[[#This Row],[Number of stores]]&lt;$U$6),"outlier","not outlier")</f>
        <v>not outlier</v>
      </c>
    </row>
    <row r="1607" spans="1:13" x14ac:dyDescent="0.25">
      <c r="A1607">
        <v>2022</v>
      </c>
      <c r="B1607">
        <v>4</v>
      </c>
      <c r="C1607" s="1" t="s">
        <v>29</v>
      </c>
      <c r="D1607" s="1" t="s">
        <v>9</v>
      </c>
      <c r="E1607" s="1" t="s">
        <v>18</v>
      </c>
      <c r="F1607" s="5">
        <v>28.006599999999999</v>
      </c>
      <c r="G1607" s="5">
        <v>1561.4301</v>
      </c>
      <c r="H1607" s="5">
        <v>5.6012000000000004</v>
      </c>
      <c r="I1607">
        <v>1607</v>
      </c>
      <c r="J1607" s="4" t="str">
        <f>IF(OR(Копия_20206[[#This Row],[Units (in 1000)]]&gt;$R$7,Копия_20206[[#This Row],[Units (in 1000)]]&lt;$R$6),"outlier","not outlier")</f>
        <v>outlier</v>
      </c>
      <c r="K1607" s="4" t="str">
        <f>IF(OR(Копия_20206[[#This Row],[Value (in 1000 rub)]]&gt;$S$7,Копия_20206[[#This Row],[Value (in 1000 rub)]]&lt;$S$6),"outlier","not outlier")</f>
        <v>not outlier</v>
      </c>
      <c r="L1607" s="4" t="str">
        <f>IF(OR(Копия_20206[[#This Row],[Volume (in 1000 kg)]]&gt;$T$7,Копия_20206[[#This Row],[Volume (in 1000 kg)]]&lt;$T$6),"outlier","not outlier")</f>
        <v>not outlier</v>
      </c>
      <c r="M1607" s="4" t="str">
        <f>IF(OR(Копия_20206[[#This Row],[Number of stores]]&gt;$U$7,Копия_20206[[#This Row],[Number of stores]]&lt;$U$6),"outlier","not outlier")</f>
        <v>not outlier</v>
      </c>
    </row>
    <row r="1608" spans="1:13" x14ac:dyDescent="0.25">
      <c r="A1608">
        <v>2022</v>
      </c>
      <c r="B1608">
        <v>5</v>
      </c>
      <c r="C1608" s="1" t="s">
        <v>8</v>
      </c>
      <c r="D1608" s="1" t="s">
        <v>9</v>
      </c>
      <c r="E1608" s="1" t="s">
        <v>18</v>
      </c>
      <c r="F1608" s="5">
        <v>6.8372999999999999</v>
      </c>
      <c r="G1608" s="5">
        <v>551.19290000000001</v>
      </c>
      <c r="H1608" s="5">
        <v>1.3674999999999999</v>
      </c>
      <c r="I1608">
        <v>312</v>
      </c>
      <c r="J1608" s="4" t="str">
        <f>IF(OR(Копия_20206[[#This Row],[Units (in 1000)]]&gt;$R$7,Копия_20206[[#This Row],[Units (in 1000)]]&lt;$R$6),"outlier","not outlier")</f>
        <v>not outlier</v>
      </c>
      <c r="K1608" s="4" t="str">
        <f>IF(OR(Копия_20206[[#This Row],[Value (in 1000 rub)]]&gt;$S$7,Копия_20206[[#This Row],[Value (in 1000 rub)]]&lt;$S$6),"outlier","not outlier")</f>
        <v>not outlier</v>
      </c>
      <c r="L1608" s="4" t="str">
        <f>IF(OR(Копия_20206[[#This Row],[Volume (in 1000 kg)]]&gt;$T$7,Копия_20206[[#This Row],[Volume (in 1000 kg)]]&lt;$T$6),"outlier","not outlier")</f>
        <v>not outlier</v>
      </c>
      <c r="M1608" s="4" t="str">
        <f>IF(OR(Копия_20206[[#This Row],[Number of stores]]&gt;$U$7,Копия_20206[[#This Row],[Number of stores]]&lt;$U$6),"outlier","not outlier")</f>
        <v>not outlier</v>
      </c>
    </row>
    <row r="1609" spans="1:13" x14ac:dyDescent="0.25">
      <c r="A1609">
        <v>2022</v>
      </c>
      <c r="B1609">
        <v>5</v>
      </c>
      <c r="C1609" s="1" t="s">
        <v>25</v>
      </c>
      <c r="D1609" s="1" t="s">
        <v>9</v>
      </c>
      <c r="E1609" s="1" t="s">
        <v>18</v>
      </c>
      <c r="F1609" s="5">
        <v>5.7554999999999996</v>
      </c>
      <c r="G1609" s="5">
        <v>467.64339999999999</v>
      </c>
      <c r="H1609" s="5">
        <v>1.151</v>
      </c>
      <c r="I1609">
        <v>820</v>
      </c>
      <c r="J1609" s="4" t="str">
        <f>IF(OR(Копия_20206[[#This Row],[Units (in 1000)]]&gt;$R$7,Копия_20206[[#This Row],[Units (in 1000)]]&lt;$R$6),"outlier","not outlier")</f>
        <v>not outlier</v>
      </c>
      <c r="K1609" s="4" t="str">
        <f>IF(OR(Копия_20206[[#This Row],[Value (in 1000 rub)]]&gt;$S$7,Копия_20206[[#This Row],[Value (in 1000 rub)]]&lt;$S$6),"outlier","not outlier")</f>
        <v>not outlier</v>
      </c>
      <c r="L1609" s="4" t="str">
        <f>IF(OR(Копия_20206[[#This Row],[Volume (in 1000 kg)]]&gt;$T$7,Копия_20206[[#This Row],[Volume (in 1000 kg)]]&lt;$T$6),"outlier","not outlier")</f>
        <v>not outlier</v>
      </c>
      <c r="M1609" s="4" t="str">
        <f>IF(OR(Копия_20206[[#This Row],[Number of stores]]&gt;$U$7,Копия_20206[[#This Row],[Number of stores]]&lt;$U$6),"outlier","not outlier")</f>
        <v>not outlier</v>
      </c>
    </row>
    <row r="1610" spans="1:13" x14ac:dyDescent="0.25">
      <c r="A1610">
        <v>2022</v>
      </c>
      <c r="B1610">
        <v>5</v>
      </c>
      <c r="C1610" s="1" t="s">
        <v>29</v>
      </c>
      <c r="D1610" s="1" t="s">
        <v>9</v>
      </c>
      <c r="E1610" s="1" t="s">
        <v>18</v>
      </c>
      <c r="F1610" s="5">
        <v>14.3789</v>
      </c>
      <c r="G1610" s="5">
        <v>1050.2044000000001</v>
      </c>
      <c r="H1610" s="5">
        <v>2.8757999999999999</v>
      </c>
      <c r="I1610">
        <v>1236</v>
      </c>
      <c r="J1610" s="4" t="str">
        <f>IF(OR(Копия_20206[[#This Row],[Units (in 1000)]]&gt;$R$7,Копия_20206[[#This Row],[Units (in 1000)]]&lt;$R$6),"outlier","not outlier")</f>
        <v>not outlier</v>
      </c>
      <c r="K1610" s="4" t="str">
        <f>IF(OR(Копия_20206[[#This Row],[Value (in 1000 rub)]]&gt;$S$7,Копия_20206[[#This Row],[Value (in 1000 rub)]]&lt;$S$6),"outlier","not outlier")</f>
        <v>not outlier</v>
      </c>
      <c r="L1610" s="4" t="str">
        <f>IF(OR(Копия_20206[[#This Row],[Volume (in 1000 kg)]]&gt;$T$7,Копия_20206[[#This Row],[Volume (in 1000 kg)]]&lt;$T$6),"outlier","not outlier")</f>
        <v>not outlier</v>
      </c>
      <c r="M1610" s="4" t="str">
        <f>IF(OR(Копия_20206[[#This Row],[Number of stores]]&gt;$U$7,Копия_20206[[#This Row],[Number of stores]]&lt;$U$6),"outlier","not outlier")</f>
        <v>not outlier</v>
      </c>
    </row>
    <row r="1611" spans="1:13" x14ac:dyDescent="0.25">
      <c r="A1611">
        <v>2022</v>
      </c>
      <c r="B1611">
        <v>6</v>
      </c>
      <c r="C1611" s="1" t="s">
        <v>8</v>
      </c>
      <c r="D1611" s="1" t="s">
        <v>9</v>
      </c>
      <c r="E1611" s="1" t="s">
        <v>18</v>
      </c>
      <c r="F1611" s="5">
        <v>5.7480000000000002</v>
      </c>
      <c r="G1611" s="5">
        <v>460.81889999999999</v>
      </c>
      <c r="H1611" s="5">
        <v>1.1496</v>
      </c>
      <c r="I1611">
        <v>315</v>
      </c>
      <c r="J1611" s="4" t="str">
        <f>IF(OR(Копия_20206[[#This Row],[Units (in 1000)]]&gt;$R$7,Копия_20206[[#This Row],[Units (in 1000)]]&lt;$R$6),"outlier","not outlier")</f>
        <v>not outlier</v>
      </c>
      <c r="K1611" s="4" t="str">
        <f>IF(OR(Копия_20206[[#This Row],[Value (in 1000 rub)]]&gt;$S$7,Копия_20206[[#This Row],[Value (in 1000 rub)]]&lt;$S$6),"outlier","not outlier")</f>
        <v>not outlier</v>
      </c>
      <c r="L1611" s="4" t="str">
        <f>IF(OR(Копия_20206[[#This Row],[Volume (in 1000 kg)]]&gt;$T$7,Копия_20206[[#This Row],[Volume (in 1000 kg)]]&lt;$T$6),"outlier","not outlier")</f>
        <v>not outlier</v>
      </c>
      <c r="M1611" s="4" t="str">
        <f>IF(OR(Копия_20206[[#This Row],[Number of stores]]&gt;$U$7,Копия_20206[[#This Row],[Number of stores]]&lt;$U$6),"outlier","not outlier")</f>
        <v>not outlier</v>
      </c>
    </row>
    <row r="1612" spans="1:13" x14ac:dyDescent="0.25">
      <c r="A1612">
        <v>2022</v>
      </c>
      <c r="B1612">
        <v>6</v>
      </c>
      <c r="C1612" s="1" t="s">
        <v>25</v>
      </c>
      <c r="D1612" s="1" t="s">
        <v>9</v>
      </c>
      <c r="E1612" s="1" t="s">
        <v>18</v>
      </c>
      <c r="F1612" s="5">
        <v>5.8023999999999996</v>
      </c>
      <c r="G1612" s="5">
        <v>436.7045</v>
      </c>
      <c r="H1612" s="5">
        <v>1.1605000000000001</v>
      </c>
      <c r="I1612">
        <v>846</v>
      </c>
      <c r="J1612" s="4" t="str">
        <f>IF(OR(Копия_20206[[#This Row],[Units (in 1000)]]&gt;$R$7,Копия_20206[[#This Row],[Units (in 1000)]]&lt;$R$6),"outlier","not outlier")</f>
        <v>not outlier</v>
      </c>
      <c r="K1612" s="4" t="str">
        <f>IF(OR(Копия_20206[[#This Row],[Value (in 1000 rub)]]&gt;$S$7,Копия_20206[[#This Row],[Value (in 1000 rub)]]&lt;$S$6),"outlier","not outlier")</f>
        <v>not outlier</v>
      </c>
      <c r="L1612" s="4" t="str">
        <f>IF(OR(Копия_20206[[#This Row],[Volume (in 1000 kg)]]&gt;$T$7,Копия_20206[[#This Row],[Volume (in 1000 kg)]]&lt;$T$6),"outlier","not outlier")</f>
        <v>not outlier</v>
      </c>
      <c r="M1612" s="4" t="str">
        <f>IF(OR(Копия_20206[[#This Row],[Number of stores]]&gt;$U$7,Копия_20206[[#This Row],[Number of stores]]&lt;$U$6),"outlier","not outlier")</f>
        <v>not outlier</v>
      </c>
    </row>
    <row r="1613" spans="1:13" x14ac:dyDescent="0.25">
      <c r="A1613">
        <v>2022</v>
      </c>
      <c r="B1613">
        <v>6</v>
      </c>
      <c r="C1613" s="1" t="s">
        <v>29</v>
      </c>
      <c r="D1613" s="1" t="s">
        <v>9</v>
      </c>
      <c r="E1613" s="1" t="s">
        <v>18</v>
      </c>
      <c r="F1613" s="5">
        <v>13.5144</v>
      </c>
      <c r="G1613" s="5">
        <v>1010.165</v>
      </c>
      <c r="H1613" s="5">
        <v>2.7029000000000001</v>
      </c>
      <c r="I1613">
        <v>1255</v>
      </c>
      <c r="J1613" s="4" t="str">
        <f>IF(OR(Копия_20206[[#This Row],[Units (in 1000)]]&gt;$R$7,Копия_20206[[#This Row],[Units (in 1000)]]&lt;$R$6),"outlier","not outlier")</f>
        <v>not outlier</v>
      </c>
      <c r="K1613" s="4" t="str">
        <f>IF(OR(Копия_20206[[#This Row],[Value (in 1000 rub)]]&gt;$S$7,Копия_20206[[#This Row],[Value (in 1000 rub)]]&lt;$S$6),"outlier","not outlier")</f>
        <v>not outlier</v>
      </c>
      <c r="L1613" s="4" t="str">
        <f>IF(OR(Копия_20206[[#This Row],[Volume (in 1000 kg)]]&gt;$T$7,Копия_20206[[#This Row],[Volume (in 1000 kg)]]&lt;$T$6),"outlier","not outlier")</f>
        <v>not outlier</v>
      </c>
      <c r="M1613" s="4" t="str">
        <f>IF(OR(Копия_20206[[#This Row],[Number of stores]]&gt;$U$7,Копия_20206[[#This Row],[Number of stores]]&lt;$U$6),"outlier","not outlier")</f>
        <v>not outlier</v>
      </c>
    </row>
    <row r="1614" spans="1:13" x14ac:dyDescent="0.25">
      <c r="A1614">
        <v>2022</v>
      </c>
      <c r="B1614">
        <v>7</v>
      </c>
      <c r="C1614" s="1" t="s">
        <v>8</v>
      </c>
      <c r="D1614" s="1" t="s">
        <v>9</v>
      </c>
      <c r="E1614" s="1" t="s">
        <v>18</v>
      </c>
      <c r="F1614" s="5">
        <v>5.6314000000000002</v>
      </c>
      <c r="G1614" s="5">
        <v>432.37329999999997</v>
      </c>
      <c r="H1614" s="5">
        <v>1.1262000000000001</v>
      </c>
      <c r="I1614">
        <v>301</v>
      </c>
      <c r="J1614" s="4" t="str">
        <f>IF(OR(Копия_20206[[#This Row],[Units (in 1000)]]&gt;$R$7,Копия_20206[[#This Row],[Units (in 1000)]]&lt;$R$6),"outlier","not outlier")</f>
        <v>not outlier</v>
      </c>
      <c r="K1614" s="4" t="str">
        <f>IF(OR(Копия_20206[[#This Row],[Value (in 1000 rub)]]&gt;$S$7,Копия_20206[[#This Row],[Value (in 1000 rub)]]&lt;$S$6),"outlier","not outlier")</f>
        <v>not outlier</v>
      </c>
      <c r="L1614" s="4" t="str">
        <f>IF(OR(Копия_20206[[#This Row],[Volume (in 1000 kg)]]&gt;$T$7,Копия_20206[[#This Row],[Volume (in 1000 kg)]]&lt;$T$6),"outlier","not outlier")</f>
        <v>not outlier</v>
      </c>
      <c r="M1614" s="4" t="str">
        <f>IF(OR(Копия_20206[[#This Row],[Number of stores]]&gt;$U$7,Копия_20206[[#This Row],[Number of stores]]&lt;$U$6),"outlier","not outlier")</f>
        <v>not outlier</v>
      </c>
    </row>
    <row r="1615" spans="1:13" x14ac:dyDescent="0.25">
      <c r="A1615">
        <v>2022</v>
      </c>
      <c r="B1615">
        <v>7</v>
      </c>
      <c r="C1615" s="1" t="s">
        <v>25</v>
      </c>
      <c r="D1615" s="1" t="s">
        <v>9</v>
      </c>
      <c r="E1615" s="1" t="s">
        <v>18</v>
      </c>
      <c r="F1615" s="5">
        <v>3.7073999999999998</v>
      </c>
      <c r="G1615" s="5">
        <v>311.91520000000003</v>
      </c>
      <c r="H1615" s="5">
        <v>0.74139999999999995</v>
      </c>
      <c r="I1615">
        <v>589</v>
      </c>
      <c r="J1615" s="4" t="str">
        <f>IF(OR(Копия_20206[[#This Row],[Units (in 1000)]]&gt;$R$7,Копия_20206[[#This Row],[Units (in 1000)]]&lt;$R$6),"outlier","not outlier")</f>
        <v>not outlier</v>
      </c>
      <c r="K1615" s="4" t="str">
        <f>IF(OR(Копия_20206[[#This Row],[Value (in 1000 rub)]]&gt;$S$7,Копия_20206[[#This Row],[Value (in 1000 rub)]]&lt;$S$6),"outlier","not outlier")</f>
        <v>not outlier</v>
      </c>
      <c r="L1615" s="4" t="str">
        <f>IF(OR(Копия_20206[[#This Row],[Volume (in 1000 kg)]]&gt;$T$7,Копия_20206[[#This Row],[Volume (in 1000 kg)]]&lt;$T$6),"outlier","not outlier")</f>
        <v>not outlier</v>
      </c>
      <c r="M1615" s="4" t="str">
        <f>IF(OR(Копия_20206[[#This Row],[Number of stores]]&gt;$U$7,Копия_20206[[#This Row],[Number of stores]]&lt;$U$6),"outlier","not outlier")</f>
        <v>not outlier</v>
      </c>
    </row>
    <row r="1616" spans="1:13" x14ac:dyDescent="0.25">
      <c r="A1616">
        <v>2022</v>
      </c>
      <c r="B1616">
        <v>7</v>
      </c>
      <c r="C1616" s="1" t="s">
        <v>29</v>
      </c>
      <c r="D1616" s="1" t="s">
        <v>9</v>
      </c>
      <c r="E1616" s="1" t="s">
        <v>18</v>
      </c>
      <c r="F1616" s="5">
        <v>11.843500000000001</v>
      </c>
      <c r="G1616" s="5">
        <v>894.30610000000001</v>
      </c>
      <c r="H1616" s="5">
        <v>2.3685999999999998</v>
      </c>
      <c r="I1616">
        <v>1201</v>
      </c>
      <c r="J1616" s="4" t="str">
        <f>IF(OR(Копия_20206[[#This Row],[Units (in 1000)]]&gt;$R$7,Копия_20206[[#This Row],[Units (in 1000)]]&lt;$R$6),"outlier","not outlier")</f>
        <v>not outlier</v>
      </c>
      <c r="K1616" s="4" t="str">
        <f>IF(OR(Копия_20206[[#This Row],[Value (in 1000 rub)]]&gt;$S$7,Копия_20206[[#This Row],[Value (in 1000 rub)]]&lt;$S$6),"outlier","not outlier")</f>
        <v>not outlier</v>
      </c>
      <c r="L1616" s="4" t="str">
        <f>IF(OR(Копия_20206[[#This Row],[Volume (in 1000 kg)]]&gt;$T$7,Копия_20206[[#This Row],[Volume (in 1000 kg)]]&lt;$T$6),"outlier","not outlier")</f>
        <v>not outlier</v>
      </c>
      <c r="M1616" s="4" t="str">
        <f>IF(OR(Копия_20206[[#This Row],[Number of stores]]&gt;$U$7,Копия_20206[[#This Row],[Number of stores]]&lt;$U$6),"outlier","not outlier")</f>
        <v>not outlier</v>
      </c>
    </row>
    <row r="1617" spans="1:13" x14ac:dyDescent="0.25">
      <c r="A1617">
        <v>2022</v>
      </c>
      <c r="B1617">
        <v>8</v>
      </c>
      <c r="C1617" s="1" t="s">
        <v>8</v>
      </c>
      <c r="D1617" s="1" t="s">
        <v>9</v>
      </c>
      <c r="E1617" s="1" t="s">
        <v>18</v>
      </c>
      <c r="F1617" s="5">
        <v>4.9946999999999999</v>
      </c>
      <c r="G1617" s="5">
        <v>350.64789999999999</v>
      </c>
      <c r="H1617" s="5">
        <v>0.99890000000000001</v>
      </c>
      <c r="I1617">
        <v>295</v>
      </c>
      <c r="J1617" s="4" t="str">
        <f>IF(OR(Копия_20206[[#This Row],[Units (in 1000)]]&gt;$R$7,Копия_20206[[#This Row],[Units (in 1000)]]&lt;$R$6),"outlier","not outlier")</f>
        <v>not outlier</v>
      </c>
      <c r="K1617" s="4" t="str">
        <f>IF(OR(Копия_20206[[#This Row],[Value (in 1000 rub)]]&gt;$S$7,Копия_20206[[#This Row],[Value (in 1000 rub)]]&lt;$S$6),"outlier","not outlier")</f>
        <v>not outlier</v>
      </c>
      <c r="L1617" s="4" t="str">
        <f>IF(OR(Копия_20206[[#This Row],[Volume (in 1000 kg)]]&gt;$T$7,Копия_20206[[#This Row],[Volume (in 1000 kg)]]&lt;$T$6),"outlier","not outlier")</f>
        <v>not outlier</v>
      </c>
      <c r="M1617" s="4" t="str">
        <f>IF(OR(Копия_20206[[#This Row],[Number of stores]]&gt;$U$7,Копия_20206[[#This Row],[Number of stores]]&lt;$U$6),"outlier","not outlier")</f>
        <v>not outlier</v>
      </c>
    </row>
    <row r="1618" spans="1:13" x14ac:dyDescent="0.25">
      <c r="A1618">
        <v>2022</v>
      </c>
      <c r="B1618">
        <v>8</v>
      </c>
      <c r="C1618" s="1" t="s">
        <v>25</v>
      </c>
      <c r="D1618" s="1" t="s">
        <v>9</v>
      </c>
      <c r="E1618" s="1" t="s">
        <v>18</v>
      </c>
      <c r="F1618" s="5">
        <v>3.7602000000000002</v>
      </c>
      <c r="G1618" s="5">
        <v>312.31299999999999</v>
      </c>
      <c r="H1618" s="5">
        <v>0.75190000000000001</v>
      </c>
      <c r="I1618">
        <v>813</v>
      </c>
      <c r="J1618" s="4" t="str">
        <f>IF(OR(Копия_20206[[#This Row],[Units (in 1000)]]&gt;$R$7,Копия_20206[[#This Row],[Units (in 1000)]]&lt;$R$6),"outlier","not outlier")</f>
        <v>not outlier</v>
      </c>
      <c r="K1618" s="4" t="str">
        <f>IF(OR(Копия_20206[[#This Row],[Value (in 1000 rub)]]&gt;$S$7,Копия_20206[[#This Row],[Value (in 1000 rub)]]&lt;$S$6),"outlier","not outlier")</f>
        <v>not outlier</v>
      </c>
      <c r="L1618" s="4" t="str">
        <f>IF(OR(Копия_20206[[#This Row],[Volume (in 1000 kg)]]&gt;$T$7,Копия_20206[[#This Row],[Volume (in 1000 kg)]]&lt;$T$6),"outlier","not outlier")</f>
        <v>not outlier</v>
      </c>
      <c r="M1618" s="4" t="str">
        <f>IF(OR(Копия_20206[[#This Row],[Number of stores]]&gt;$U$7,Копия_20206[[#This Row],[Number of stores]]&lt;$U$6),"outlier","not outlier")</f>
        <v>not outlier</v>
      </c>
    </row>
    <row r="1619" spans="1:13" x14ac:dyDescent="0.25">
      <c r="A1619">
        <v>2022</v>
      </c>
      <c r="B1619">
        <v>8</v>
      </c>
      <c r="C1619" s="1" t="s">
        <v>29</v>
      </c>
      <c r="D1619" s="1" t="s">
        <v>9</v>
      </c>
      <c r="E1619" s="1" t="s">
        <v>18</v>
      </c>
      <c r="F1619" s="5">
        <v>9.8409999999999993</v>
      </c>
      <c r="G1619" s="5">
        <v>794.33199999999999</v>
      </c>
      <c r="H1619" s="5">
        <v>1.9681999999999999</v>
      </c>
      <c r="I1619">
        <v>1201</v>
      </c>
      <c r="J1619" s="4" t="str">
        <f>IF(OR(Копия_20206[[#This Row],[Units (in 1000)]]&gt;$R$7,Копия_20206[[#This Row],[Units (in 1000)]]&lt;$R$6),"outlier","not outlier")</f>
        <v>not outlier</v>
      </c>
      <c r="K1619" s="4" t="str">
        <f>IF(OR(Копия_20206[[#This Row],[Value (in 1000 rub)]]&gt;$S$7,Копия_20206[[#This Row],[Value (in 1000 rub)]]&lt;$S$6),"outlier","not outlier")</f>
        <v>not outlier</v>
      </c>
      <c r="L1619" s="4" t="str">
        <f>IF(OR(Копия_20206[[#This Row],[Volume (in 1000 kg)]]&gt;$T$7,Копия_20206[[#This Row],[Volume (in 1000 kg)]]&lt;$T$6),"outlier","not outlier")</f>
        <v>not outlier</v>
      </c>
      <c r="M1619" s="4" t="str">
        <f>IF(OR(Копия_20206[[#This Row],[Number of stores]]&gt;$U$7,Копия_20206[[#This Row],[Number of stores]]&lt;$U$6),"outlier","not outlier")</f>
        <v>not outlier</v>
      </c>
    </row>
    <row r="1620" spans="1:13" x14ac:dyDescent="0.25">
      <c r="A1620">
        <v>2022</v>
      </c>
      <c r="B1620">
        <v>9</v>
      </c>
      <c r="C1620" s="1" t="s">
        <v>8</v>
      </c>
      <c r="D1620" s="1" t="s">
        <v>9</v>
      </c>
      <c r="E1620" s="1" t="s">
        <v>18</v>
      </c>
      <c r="F1620" s="5">
        <v>2.8003999999999998</v>
      </c>
      <c r="G1620" s="5">
        <v>175.3501</v>
      </c>
      <c r="H1620" s="5">
        <v>0.56010000000000004</v>
      </c>
      <c r="I1620">
        <v>154</v>
      </c>
      <c r="J1620" s="4" t="str">
        <f>IF(OR(Копия_20206[[#This Row],[Units (in 1000)]]&gt;$R$7,Копия_20206[[#This Row],[Units (in 1000)]]&lt;$R$6),"outlier","not outlier")</f>
        <v>not outlier</v>
      </c>
      <c r="K1620" s="4" t="str">
        <f>IF(OR(Копия_20206[[#This Row],[Value (in 1000 rub)]]&gt;$S$7,Копия_20206[[#This Row],[Value (in 1000 rub)]]&lt;$S$6),"outlier","not outlier")</f>
        <v>not outlier</v>
      </c>
      <c r="L1620" s="4" t="str">
        <f>IF(OR(Копия_20206[[#This Row],[Volume (in 1000 kg)]]&gt;$T$7,Копия_20206[[#This Row],[Volume (in 1000 kg)]]&lt;$T$6),"outlier","not outlier")</f>
        <v>not outlier</v>
      </c>
      <c r="M1620" s="4" t="str">
        <f>IF(OR(Копия_20206[[#This Row],[Number of stores]]&gt;$U$7,Копия_20206[[#This Row],[Number of stores]]&lt;$U$6),"outlier","not outlier")</f>
        <v>not outlier</v>
      </c>
    </row>
    <row r="1621" spans="1:13" x14ac:dyDescent="0.25">
      <c r="A1621">
        <v>2022</v>
      </c>
      <c r="B1621">
        <v>9</v>
      </c>
      <c r="C1621" s="1" t="s">
        <v>25</v>
      </c>
      <c r="D1621" s="1" t="s">
        <v>9</v>
      </c>
      <c r="E1621" s="1" t="s">
        <v>18</v>
      </c>
      <c r="F1621" s="5">
        <v>1.9584999999999999</v>
      </c>
      <c r="G1621" s="5">
        <v>150.93379999999999</v>
      </c>
      <c r="H1621" s="5">
        <v>0.39169999999999999</v>
      </c>
      <c r="I1621">
        <v>311</v>
      </c>
      <c r="J1621" s="4" t="str">
        <f>IF(OR(Копия_20206[[#This Row],[Units (in 1000)]]&gt;$R$7,Копия_20206[[#This Row],[Units (in 1000)]]&lt;$R$6),"outlier","not outlier")</f>
        <v>not outlier</v>
      </c>
      <c r="K1621" s="4" t="str">
        <f>IF(OR(Копия_20206[[#This Row],[Value (in 1000 rub)]]&gt;$S$7,Копия_20206[[#This Row],[Value (in 1000 rub)]]&lt;$S$6),"outlier","not outlier")</f>
        <v>not outlier</v>
      </c>
      <c r="L1621" s="4" t="str">
        <f>IF(OR(Копия_20206[[#This Row],[Volume (in 1000 kg)]]&gt;$T$7,Копия_20206[[#This Row],[Volume (in 1000 kg)]]&lt;$T$6),"outlier","not outlier")</f>
        <v>not outlier</v>
      </c>
      <c r="M1621" s="4" t="str">
        <f>IF(OR(Копия_20206[[#This Row],[Number of stores]]&gt;$U$7,Копия_20206[[#This Row],[Number of stores]]&lt;$U$6),"outlier","not outlier")</f>
        <v>not outlier</v>
      </c>
    </row>
    <row r="1622" spans="1:13" x14ac:dyDescent="0.25">
      <c r="A1622">
        <v>2022</v>
      </c>
      <c r="B1622">
        <v>9</v>
      </c>
      <c r="C1622" s="1" t="s">
        <v>29</v>
      </c>
      <c r="D1622" s="1" t="s">
        <v>9</v>
      </c>
      <c r="E1622" s="1" t="s">
        <v>18</v>
      </c>
      <c r="F1622" s="5">
        <v>7.5782999999999996</v>
      </c>
      <c r="G1622" s="5">
        <v>633.95069999999998</v>
      </c>
      <c r="H1622" s="5">
        <v>1.5157</v>
      </c>
      <c r="I1622">
        <v>1050</v>
      </c>
      <c r="J1622" s="4" t="str">
        <f>IF(OR(Копия_20206[[#This Row],[Units (in 1000)]]&gt;$R$7,Копия_20206[[#This Row],[Units (in 1000)]]&lt;$R$6),"outlier","not outlier")</f>
        <v>not outlier</v>
      </c>
      <c r="K1622" s="4" t="str">
        <f>IF(OR(Копия_20206[[#This Row],[Value (in 1000 rub)]]&gt;$S$7,Копия_20206[[#This Row],[Value (in 1000 rub)]]&lt;$S$6),"outlier","not outlier")</f>
        <v>not outlier</v>
      </c>
      <c r="L1622" s="4" t="str">
        <f>IF(OR(Копия_20206[[#This Row],[Volume (in 1000 kg)]]&gt;$T$7,Копия_20206[[#This Row],[Volume (in 1000 kg)]]&lt;$T$6),"outlier","not outlier")</f>
        <v>not outlier</v>
      </c>
      <c r="M1622" s="4" t="str">
        <f>IF(OR(Копия_20206[[#This Row],[Number of stores]]&gt;$U$7,Копия_20206[[#This Row],[Number of stores]]&lt;$U$6),"outlier","not outlier")</f>
        <v>not outlier</v>
      </c>
    </row>
    <row r="1623" spans="1:13" x14ac:dyDescent="0.25">
      <c r="A1623">
        <v>2022</v>
      </c>
      <c r="B1623">
        <v>10</v>
      </c>
      <c r="C1623" s="1" t="s">
        <v>8</v>
      </c>
      <c r="D1623" s="1" t="s">
        <v>9</v>
      </c>
      <c r="E1623" s="1" t="s">
        <v>18</v>
      </c>
      <c r="F1623" s="5">
        <v>0.5806</v>
      </c>
      <c r="G1623" s="5">
        <v>42.938899999999997</v>
      </c>
      <c r="H1623" s="5">
        <v>0.11609999999999999</v>
      </c>
      <c r="I1623">
        <v>46</v>
      </c>
      <c r="J1623" s="4" t="str">
        <f>IF(OR(Копия_20206[[#This Row],[Units (in 1000)]]&gt;$R$7,Копия_20206[[#This Row],[Units (in 1000)]]&lt;$R$6),"outlier","not outlier")</f>
        <v>not outlier</v>
      </c>
      <c r="K1623" s="4" t="str">
        <f>IF(OR(Копия_20206[[#This Row],[Value (in 1000 rub)]]&gt;$S$7,Копия_20206[[#This Row],[Value (in 1000 rub)]]&lt;$S$6),"outlier","not outlier")</f>
        <v>not outlier</v>
      </c>
      <c r="L1623" s="4" t="str">
        <f>IF(OR(Копия_20206[[#This Row],[Volume (in 1000 kg)]]&gt;$T$7,Копия_20206[[#This Row],[Volume (in 1000 kg)]]&lt;$T$6),"outlier","not outlier")</f>
        <v>not outlier</v>
      </c>
      <c r="M1623" s="4" t="str">
        <f>IF(OR(Копия_20206[[#This Row],[Number of stores]]&gt;$U$7,Копия_20206[[#This Row],[Number of stores]]&lt;$U$6),"outlier","not outlier")</f>
        <v>not outlier</v>
      </c>
    </row>
    <row r="1624" spans="1:13" x14ac:dyDescent="0.25">
      <c r="A1624">
        <v>2022</v>
      </c>
      <c r="B1624">
        <v>10</v>
      </c>
      <c r="C1624" s="1" t="s">
        <v>25</v>
      </c>
      <c r="D1624" s="1" t="s">
        <v>9</v>
      </c>
      <c r="E1624" s="1" t="s">
        <v>18</v>
      </c>
      <c r="F1624" s="5">
        <v>1.4260999999999999</v>
      </c>
      <c r="G1624" s="5">
        <v>96.634600000000006</v>
      </c>
      <c r="H1624" s="5">
        <v>0.28520000000000001</v>
      </c>
      <c r="I1624">
        <v>404</v>
      </c>
      <c r="J1624" s="4" t="str">
        <f>IF(OR(Копия_20206[[#This Row],[Units (in 1000)]]&gt;$R$7,Копия_20206[[#This Row],[Units (in 1000)]]&lt;$R$6),"outlier","not outlier")</f>
        <v>not outlier</v>
      </c>
      <c r="K1624" s="4" t="str">
        <f>IF(OR(Копия_20206[[#This Row],[Value (in 1000 rub)]]&gt;$S$7,Копия_20206[[#This Row],[Value (in 1000 rub)]]&lt;$S$6),"outlier","not outlier")</f>
        <v>not outlier</v>
      </c>
      <c r="L1624" s="4" t="str">
        <f>IF(OR(Копия_20206[[#This Row],[Volume (in 1000 kg)]]&gt;$T$7,Копия_20206[[#This Row],[Volume (in 1000 kg)]]&lt;$T$6),"outlier","not outlier")</f>
        <v>not outlier</v>
      </c>
      <c r="M1624" s="4" t="str">
        <f>IF(OR(Копия_20206[[#This Row],[Number of stores]]&gt;$U$7,Копия_20206[[#This Row],[Number of stores]]&lt;$U$6),"outlier","not outlier")</f>
        <v>not outlier</v>
      </c>
    </row>
    <row r="1625" spans="1:13" x14ac:dyDescent="0.25">
      <c r="A1625">
        <v>2022</v>
      </c>
      <c r="B1625">
        <v>10</v>
      </c>
      <c r="C1625" s="1" t="s">
        <v>29</v>
      </c>
      <c r="D1625" s="1" t="s">
        <v>9</v>
      </c>
      <c r="E1625" s="1" t="s">
        <v>18</v>
      </c>
      <c r="F1625" s="5">
        <v>5.1253000000000002</v>
      </c>
      <c r="G1625" s="5">
        <v>461.78949999999998</v>
      </c>
      <c r="H1625" s="5">
        <v>1.0251999999999999</v>
      </c>
      <c r="I1625">
        <v>858</v>
      </c>
      <c r="J1625" s="4" t="str">
        <f>IF(OR(Копия_20206[[#This Row],[Units (in 1000)]]&gt;$R$7,Копия_20206[[#This Row],[Units (in 1000)]]&lt;$R$6),"outlier","not outlier")</f>
        <v>not outlier</v>
      </c>
      <c r="K1625" s="4" t="str">
        <f>IF(OR(Копия_20206[[#This Row],[Value (in 1000 rub)]]&gt;$S$7,Копия_20206[[#This Row],[Value (in 1000 rub)]]&lt;$S$6),"outlier","not outlier")</f>
        <v>not outlier</v>
      </c>
      <c r="L1625" s="4" t="str">
        <f>IF(OR(Копия_20206[[#This Row],[Volume (in 1000 kg)]]&gt;$T$7,Копия_20206[[#This Row],[Volume (in 1000 kg)]]&lt;$T$6),"outlier","not outlier")</f>
        <v>not outlier</v>
      </c>
      <c r="M1625" s="4" t="str">
        <f>IF(OR(Копия_20206[[#This Row],[Number of stores]]&gt;$U$7,Копия_20206[[#This Row],[Number of stores]]&lt;$U$6),"outlier","not outlier")</f>
        <v>not outlier</v>
      </c>
    </row>
    <row r="1626" spans="1:13" x14ac:dyDescent="0.25">
      <c r="A1626">
        <v>2022</v>
      </c>
      <c r="B1626">
        <v>11</v>
      </c>
      <c r="C1626" s="1" t="s">
        <v>8</v>
      </c>
      <c r="D1626" s="1" t="s">
        <v>9</v>
      </c>
      <c r="E1626" s="1" t="s">
        <v>18</v>
      </c>
      <c r="F1626" s="5">
        <v>0.52729999999999999</v>
      </c>
      <c r="G1626" s="5">
        <v>37.752800000000001</v>
      </c>
      <c r="H1626" s="5">
        <v>0.10539999999999999</v>
      </c>
      <c r="I1626">
        <v>36</v>
      </c>
      <c r="J1626" s="4" t="str">
        <f>IF(OR(Копия_20206[[#This Row],[Units (in 1000)]]&gt;$R$7,Копия_20206[[#This Row],[Units (in 1000)]]&lt;$R$6),"outlier","not outlier")</f>
        <v>not outlier</v>
      </c>
      <c r="K1626" s="4" t="str">
        <f>IF(OR(Копия_20206[[#This Row],[Value (in 1000 rub)]]&gt;$S$7,Копия_20206[[#This Row],[Value (in 1000 rub)]]&lt;$S$6),"outlier","not outlier")</f>
        <v>not outlier</v>
      </c>
      <c r="L1626" s="4" t="str">
        <f>IF(OR(Копия_20206[[#This Row],[Volume (in 1000 kg)]]&gt;$T$7,Копия_20206[[#This Row],[Volume (in 1000 kg)]]&lt;$T$6),"outlier","not outlier")</f>
        <v>not outlier</v>
      </c>
      <c r="M1626" s="4" t="str">
        <f>IF(OR(Копия_20206[[#This Row],[Number of stores]]&gt;$U$7,Копия_20206[[#This Row],[Number of stores]]&lt;$U$6),"outlier","not outlier")</f>
        <v>not outlier</v>
      </c>
    </row>
    <row r="1627" spans="1:13" x14ac:dyDescent="0.25">
      <c r="A1627">
        <v>2022</v>
      </c>
      <c r="B1627">
        <v>11</v>
      </c>
      <c r="C1627" s="1" t="s">
        <v>25</v>
      </c>
      <c r="D1627" s="1" t="s">
        <v>9</v>
      </c>
      <c r="E1627" s="1" t="s">
        <v>18</v>
      </c>
      <c r="F1627" s="5">
        <v>1.1739999999999999</v>
      </c>
      <c r="G1627" s="5">
        <v>97.2256</v>
      </c>
      <c r="H1627" s="5">
        <v>0.23480000000000001</v>
      </c>
      <c r="I1627">
        <v>187</v>
      </c>
      <c r="J1627" s="4" t="str">
        <f>IF(OR(Копия_20206[[#This Row],[Units (in 1000)]]&gt;$R$7,Копия_20206[[#This Row],[Units (in 1000)]]&lt;$R$6),"outlier","not outlier")</f>
        <v>not outlier</v>
      </c>
      <c r="K1627" s="4" t="str">
        <f>IF(OR(Копия_20206[[#This Row],[Value (in 1000 rub)]]&gt;$S$7,Копия_20206[[#This Row],[Value (in 1000 rub)]]&lt;$S$6),"outlier","not outlier")</f>
        <v>not outlier</v>
      </c>
      <c r="L1627" s="4" t="str">
        <f>IF(OR(Копия_20206[[#This Row],[Volume (in 1000 kg)]]&gt;$T$7,Копия_20206[[#This Row],[Volume (in 1000 kg)]]&lt;$T$6),"outlier","not outlier")</f>
        <v>not outlier</v>
      </c>
      <c r="M1627" s="4" t="str">
        <f>IF(OR(Копия_20206[[#This Row],[Number of stores]]&gt;$U$7,Копия_20206[[#This Row],[Number of stores]]&lt;$U$6),"outlier","not outlier")</f>
        <v>not outlier</v>
      </c>
    </row>
    <row r="1628" spans="1:13" x14ac:dyDescent="0.25">
      <c r="A1628">
        <v>2022</v>
      </c>
      <c r="B1628">
        <v>11</v>
      </c>
      <c r="C1628" s="1" t="s">
        <v>29</v>
      </c>
      <c r="D1628" s="1" t="s">
        <v>9</v>
      </c>
      <c r="E1628" s="1" t="s">
        <v>18</v>
      </c>
      <c r="F1628" s="5">
        <v>4.2365000000000004</v>
      </c>
      <c r="G1628" s="5">
        <v>353.291</v>
      </c>
      <c r="H1628" s="5">
        <v>0.84730000000000005</v>
      </c>
      <c r="I1628">
        <v>778</v>
      </c>
      <c r="J1628" s="4" t="str">
        <f>IF(OR(Копия_20206[[#This Row],[Units (in 1000)]]&gt;$R$7,Копия_20206[[#This Row],[Units (in 1000)]]&lt;$R$6),"outlier","not outlier")</f>
        <v>not outlier</v>
      </c>
      <c r="K1628" s="4" t="str">
        <f>IF(OR(Копия_20206[[#This Row],[Value (in 1000 rub)]]&gt;$S$7,Копия_20206[[#This Row],[Value (in 1000 rub)]]&lt;$S$6),"outlier","not outlier")</f>
        <v>not outlier</v>
      </c>
      <c r="L1628" s="4" t="str">
        <f>IF(OR(Копия_20206[[#This Row],[Volume (in 1000 kg)]]&gt;$T$7,Копия_20206[[#This Row],[Volume (in 1000 kg)]]&lt;$T$6),"outlier","not outlier")</f>
        <v>not outlier</v>
      </c>
      <c r="M1628" s="4" t="str">
        <f>IF(OR(Копия_20206[[#This Row],[Number of stores]]&gt;$U$7,Копия_20206[[#This Row],[Number of stores]]&lt;$U$6),"outlier","not outlier")</f>
        <v>not outlier</v>
      </c>
    </row>
    <row r="1629" spans="1:13" x14ac:dyDescent="0.25">
      <c r="A1629">
        <v>2022</v>
      </c>
      <c r="B1629">
        <v>12</v>
      </c>
      <c r="C1629" s="1" t="s">
        <v>8</v>
      </c>
      <c r="D1629" s="1" t="s">
        <v>9</v>
      </c>
      <c r="E1629" s="1" t="s">
        <v>18</v>
      </c>
      <c r="F1629" s="5">
        <v>0.1749</v>
      </c>
      <c r="G1629" s="5">
        <v>14.3406</v>
      </c>
      <c r="H1629" s="5">
        <v>3.5000000000000003E-2</v>
      </c>
      <c r="I1629">
        <v>22</v>
      </c>
      <c r="J1629" s="4" t="str">
        <f>IF(OR(Копия_20206[[#This Row],[Units (in 1000)]]&gt;$R$7,Копия_20206[[#This Row],[Units (in 1000)]]&lt;$R$6),"outlier","not outlier")</f>
        <v>not outlier</v>
      </c>
      <c r="K1629" s="4" t="str">
        <f>IF(OR(Копия_20206[[#This Row],[Value (in 1000 rub)]]&gt;$S$7,Копия_20206[[#This Row],[Value (in 1000 rub)]]&lt;$S$6),"outlier","not outlier")</f>
        <v>not outlier</v>
      </c>
      <c r="L1629" s="4" t="str">
        <f>IF(OR(Копия_20206[[#This Row],[Volume (in 1000 kg)]]&gt;$T$7,Копия_20206[[#This Row],[Volume (in 1000 kg)]]&lt;$T$6),"outlier","not outlier")</f>
        <v>not outlier</v>
      </c>
      <c r="M1629" s="4" t="str">
        <f>IF(OR(Копия_20206[[#This Row],[Number of stores]]&gt;$U$7,Копия_20206[[#This Row],[Number of stores]]&lt;$U$6),"outlier","not outlier")</f>
        <v>not outlier</v>
      </c>
    </row>
    <row r="1630" spans="1:13" x14ac:dyDescent="0.25">
      <c r="A1630">
        <v>2022</v>
      </c>
      <c r="B1630">
        <v>12</v>
      </c>
      <c r="C1630" s="1" t="s">
        <v>25</v>
      </c>
      <c r="D1630" s="1" t="s">
        <v>9</v>
      </c>
      <c r="E1630" s="1" t="s">
        <v>18</v>
      </c>
      <c r="F1630" s="5">
        <v>2.0994999999999999</v>
      </c>
      <c r="G1630" s="5">
        <v>123.60080000000001</v>
      </c>
      <c r="H1630" s="5">
        <v>0.42</v>
      </c>
      <c r="I1630">
        <v>200</v>
      </c>
      <c r="J1630" s="4" t="str">
        <f>IF(OR(Копия_20206[[#This Row],[Units (in 1000)]]&gt;$R$7,Копия_20206[[#This Row],[Units (in 1000)]]&lt;$R$6),"outlier","not outlier")</f>
        <v>not outlier</v>
      </c>
      <c r="K1630" s="4" t="str">
        <f>IF(OR(Копия_20206[[#This Row],[Value (in 1000 rub)]]&gt;$S$7,Копия_20206[[#This Row],[Value (in 1000 rub)]]&lt;$S$6),"outlier","not outlier")</f>
        <v>not outlier</v>
      </c>
      <c r="L1630" s="4" t="str">
        <f>IF(OR(Копия_20206[[#This Row],[Volume (in 1000 kg)]]&gt;$T$7,Копия_20206[[#This Row],[Volume (in 1000 kg)]]&lt;$T$6),"outlier","not outlier")</f>
        <v>not outlier</v>
      </c>
      <c r="M1630" s="4" t="str">
        <f>IF(OR(Копия_20206[[#This Row],[Number of stores]]&gt;$U$7,Копия_20206[[#This Row],[Number of stores]]&lt;$U$6),"outlier","not outlier")</f>
        <v>not outlier</v>
      </c>
    </row>
    <row r="1631" spans="1:13" x14ac:dyDescent="0.25">
      <c r="A1631">
        <v>2022</v>
      </c>
      <c r="B1631">
        <v>12</v>
      </c>
      <c r="C1631" s="1" t="s">
        <v>29</v>
      </c>
      <c r="D1631" s="1" t="s">
        <v>9</v>
      </c>
      <c r="E1631" s="1" t="s">
        <v>18</v>
      </c>
      <c r="F1631" s="5">
        <v>2.5091999999999999</v>
      </c>
      <c r="G1631" s="5">
        <v>223.1901</v>
      </c>
      <c r="H1631" s="5">
        <v>0.50180000000000002</v>
      </c>
      <c r="I1631">
        <v>514</v>
      </c>
      <c r="J1631" s="4" t="str">
        <f>IF(OR(Копия_20206[[#This Row],[Units (in 1000)]]&gt;$R$7,Копия_20206[[#This Row],[Units (in 1000)]]&lt;$R$6),"outlier","not outlier")</f>
        <v>not outlier</v>
      </c>
      <c r="K1631" s="4" t="str">
        <f>IF(OR(Копия_20206[[#This Row],[Value (in 1000 rub)]]&gt;$S$7,Копия_20206[[#This Row],[Value (in 1000 rub)]]&lt;$S$6),"outlier","not outlier")</f>
        <v>not outlier</v>
      </c>
      <c r="L1631" s="4" t="str">
        <f>IF(OR(Копия_20206[[#This Row],[Volume (in 1000 kg)]]&gt;$T$7,Копия_20206[[#This Row],[Volume (in 1000 kg)]]&lt;$T$6),"outlier","not outlier")</f>
        <v>not outlier</v>
      </c>
      <c r="M1631" s="4" t="str">
        <f>IF(OR(Копия_20206[[#This Row],[Number of stores]]&gt;$U$7,Копия_20206[[#This Row],[Number of stores]]&lt;$U$6),"outlier","not outlier")</f>
        <v>not outlier</v>
      </c>
    </row>
    <row r="1632" spans="1:13" x14ac:dyDescent="0.25">
      <c r="A1632">
        <v>2022</v>
      </c>
      <c r="B1632">
        <v>1</v>
      </c>
      <c r="C1632" s="1" t="s">
        <v>25</v>
      </c>
      <c r="D1632" s="1" t="s">
        <v>40</v>
      </c>
      <c r="E1632" s="1" t="s">
        <v>12</v>
      </c>
      <c r="F1632" s="5">
        <v>1.1685000000000001</v>
      </c>
      <c r="G1632" s="5">
        <v>135.05644100000001</v>
      </c>
      <c r="H1632" s="5">
        <v>0.46739999999999998</v>
      </c>
      <c r="I1632">
        <v>0</v>
      </c>
      <c r="J1632" s="4" t="str">
        <f>IF(OR(Копия_20206[[#This Row],[Units (in 1000)]]&gt;$R$7,Копия_20206[[#This Row],[Units (in 1000)]]&lt;$R$6),"outlier","not outlier")</f>
        <v>not outlier</v>
      </c>
      <c r="K1632" s="4" t="str">
        <f>IF(OR(Копия_20206[[#This Row],[Value (in 1000 rub)]]&gt;$S$7,Копия_20206[[#This Row],[Value (in 1000 rub)]]&lt;$S$6),"outlier","not outlier")</f>
        <v>not outlier</v>
      </c>
      <c r="L1632" s="4" t="str">
        <f>IF(OR(Копия_20206[[#This Row],[Volume (in 1000 kg)]]&gt;$T$7,Копия_20206[[#This Row],[Volume (in 1000 kg)]]&lt;$T$6),"outlier","not outlier")</f>
        <v>not outlier</v>
      </c>
      <c r="M1632" s="4" t="str">
        <f>IF(OR(Копия_20206[[#This Row],[Number of stores]]&gt;$U$7,Копия_20206[[#This Row],[Number of stores]]&lt;$U$6),"outlier","not outlier")</f>
        <v>not outlier</v>
      </c>
    </row>
    <row r="1633" spans="1:13" x14ac:dyDescent="0.25">
      <c r="A1633">
        <v>2022</v>
      </c>
      <c r="B1633">
        <v>8</v>
      </c>
      <c r="C1633" s="1" t="s">
        <v>25</v>
      </c>
      <c r="D1633" s="1" t="s">
        <v>40</v>
      </c>
      <c r="E1633" s="1" t="s">
        <v>12</v>
      </c>
      <c r="F1633" s="5">
        <v>0.48020000000000002</v>
      </c>
      <c r="G1633" s="5">
        <v>56.659264</v>
      </c>
      <c r="H1633" s="5">
        <v>0.19209999999999999</v>
      </c>
      <c r="I1633">
        <v>0</v>
      </c>
      <c r="J1633" s="4" t="str">
        <f>IF(OR(Копия_20206[[#This Row],[Units (in 1000)]]&gt;$R$7,Копия_20206[[#This Row],[Units (in 1000)]]&lt;$R$6),"outlier","not outlier")</f>
        <v>not outlier</v>
      </c>
      <c r="K1633" s="4" t="str">
        <f>IF(OR(Копия_20206[[#This Row],[Value (in 1000 rub)]]&gt;$S$7,Копия_20206[[#This Row],[Value (in 1000 rub)]]&lt;$S$6),"outlier","not outlier")</f>
        <v>not outlier</v>
      </c>
      <c r="L1633" s="4" t="str">
        <f>IF(OR(Копия_20206[[#This Row],[Volume (in 1000 kg)]]&gt;$T$7,Копия_20206[[#This Row],[Volume (in 1000 kg)]]&lt;$T$6),"outlier","not outlier")</f>
        <v>not outlier</v>
      </c>
      <c r="M1633" s="4" t="str">
        <f>IF(OR(Копия_20206[[#This Row],[Number of stores]]&gt;$U$7,Копия_20206[[#This Row],[Number of stores]]&lt;$U$6),"outlier","not outlier")</f>
        <v>not outlier</v>
      </c>
    </row>
    <row r="1634" spans="1:13" x14ac:dyDescent="0.25">
      <c r="A1634">
        <v>2022</v>
      </c>
      <c r="B1634">
        <v>2</v>
      </c>
      <c r="C1634" s="1" t="s">
        <v>8</v>
      </c>
      <c r="D1634" s="1" t="s">
        <v>34</v>
      </c>
      <c r="E1634" s="1" t="s">
        <v>12</v>
      </c>
      <c r="F1634" s="5">
        <v>0.20200000000000001</v>
      </c>
      <c r="G1634" s="5">
        <v>33.859988999999999</v>
      </c>
      <c r="H1634" s="5">
        <v>8.0799999999999997E-2</v>
      </c>
      <c r="I1634">
        <v>0</v>
      </c>
      <c r="J1634" s="4" t="str">
        <f>IF(OR(Копия_20206[[#This Row],[Units (in 1000)]]&gt;$R$7,Копия_20206[[#This Row],[Units (in 1000)]]&lt;$R$6),"outlier","not outlier")</f>
        <v>not outlier</v>
      </c>
      <c r="K1634" s="4" t="str">
        <f>IF(OR(Копия_20206[[#This Row],[Value (in 1000 rub)]]&gt;$S$7,Копия_20206[[#This Row],[Value (in 1000 rub)]]&lt;$S$6),"outlier","not outlier")</f>
        <v>not outlier</v>
      </c>
      <c r="L1634" s="4" t="str">
        <f>IF(OR(Копия_20206[[#This Row],[Volume (in 1000 kg)]]&gt;$T$7,Копия_20206[[#This Row],[Volume (in 1000 kg)]]&lt;$T$6),"outlier","not outlier")</f>
        <v>not outlier</v>
      </c>
      <c r="M1634" s="4" t="str">
        <f>IF(OR(Копия_20206[[#This Row],[Number of stores]]&gt;$U$7,Копия_20206[[#This Row],[Number of stores]]&lt;$U$6),"outlier","not outlier")</f>
        <v>not outlier</v>
      </c>
    </row>
    <row r="1635" spans="1:13" x14ac:dyDescent="0.25">
      <c r="A1635">
        <v>2022</v>
      </c>
      <c r="B1635">
        <v>3</v>
      </c>
      <c r="C1635" s="1" t="s">
        <v>8</v>
      </c>
      <c r="D1635" s="1" t="s">
        <v>34</v>
      </c>
      <c r="E1635" s="1" t="s">
        <v>12</v>
      </c>
      <c r="F1635" s="5">
        <v>0.4511</v>
      </c>
      <c r="G1635" s="5">
        <v>82.923760000000001</v>
      </c>
      <c r="H1635" s="5">
        <v>0.1804</v>
      </c>
      <c r="I1635">
        <v>0</v>
      </c>
      <c r="J1635" s="4" t="str">
        <f>IF(OR(Копия_20206[[#This Row],[Units (in 1000)]]&gt;$R$7,Копия_20206[[#This Row],[Units (in 1000)]]&lt;$R$6),"outlier","not outlier")</f>
        <v>not outlier</v>
      </c>
      <c r="K1635" s="4" t="str">
        <f>IF(OR(Копия_20206[[#This Row],[Value (in 1000 rub)]]&gt;$S$7,Копия_20206[[#This Row],[Value (in 1000 rub)]]&lt;$S$6),"outlier","not outlier")</f>
        <v>not outlier</v>
      </c>
      <c r="L1635" s="4" t="str">
        <f>IF(OR(Копия_20206[[#This Row],[Volume (in 1000 kg)]]&gt;$T$7,Копия_20206[[#This Row],[Volume (in 1000 kg)]]&lt;$T$6),"outlier","not outlier")</f>
        <v>not outlier</v>
      </c>
      <c r="M1635" s="4" t="str">
        <f>IF(OR(Копия_20206[[#This Row],[Number of stores]]&gt;$U$7,Копия_20206[[#This Row],[Number of stores]]&lt;$U$6),"outlier","not outlier")</f>
        <v>not outlier</v>
      </c>
    </row>
    <row r="1636" spans="1:13" x14ac:dyDescent="0.25">
      <c r="A1636">
        <v>2022</v>
      </c>
      <c r="B1636">
        <v>6</v>
      </c>
      <c r="C1636" s="1" t="s">
        <v>8</v>
      </c>
      <c r="D1636" s="1" t="s">
        <v>34</v>
      </c>
      <c r="E1636" s="1" t="s">
        <v>12</v>
      </c>
      <c r="F1636" s="5">
        <v>0.51590000000000003</v>
      </c>
      <c r="G1636" s="5">
        <v>65.759904000000006</v>
      </c>
      <c r="H1636" s="5">
        <v>0.2064</v>
      </c>
      <c r="I1636">
        <v>0</v>
      </c>
      <c r="J1636" s="4" t="str">
        <f>IF(OR(Копия_20206[[#This Row],[Units (in 1000)]]&gt;$R$7,Копия_20206[[#This Row],[Units (in 1000)]]&lt;$R$6),"outlier","not outlier")</f>
        <v>not outlier</v>
      </c>
      <c r="K1636" s="4" t="str">
        <f>IF(OR(Копия_20206[[#This Row],[Value (in 1000 rub)]]&gt;$S$7,Копия_20206[[#This Row],[Value (in 1000 rub)]]&lt;$S$6),"outlier","not outlier")</f>
        <v>not outlier</v>
      </c>
      <c r="L1636" s="4" t="str">
        <f>IF(OR(Копия_20206[[#This Row],[Volume (in 1000 kg)]]&gt;$T$7,Копия_20206[[#This Row],[Volume (in 1000 kg)]]&lt;$T$6),"outlier","not outlier")</f>
        <v>not outlier</v>
      </c>
      <c r="M1636" s="4" t="str">
        <f>IF(OR(Копия_20206[[#This Row],[Number of stores]]&gt;$U$7,Копия_20206[[#This Row],[Number of stores]]&lt;$U$6),"outlier","not outlier")</f>
        <v>not outlier</v>
      </c>
    </row>
    <row r="1637" spans="1:13" x14ac:dyDescent="0.25">
      <c r="A1637">
        <v>2022</v>
      </c>
      <c r="B1637">
        <v>7</v>
      </c>
      <c r="C1637" s="1" t="s">
        <v>29</v>
      </c>
      <c r="D1637" s="1" t="s">
        <v>50</v>
      </c>
      <c r="E1637" s="1" t="s">
        <v>12</v>
      </c>
      <c r="F1637" s="5">
        <v>1.0334000000000001</v>
      </c>
      <c r="G1637" s="5">
        <v>198.984905</v>
      </c>
      <c r="H1637" s="5">
        <v>0.4133</v>
      </c>
      <c r="I1637">
        <v>0</v>
      </c>
      <c r="J1637" s="4" t="str">
        <f>IF(OR(Копия_20206[[#This Row],[Units (in 1000)]]&gt;$R$7,Копия_20206[[#This Row],[Units (in 1000)]]&lt;$R$6),"outlier","not outlier")</f>
        <v>not outlier</v>
      </c>
      <c r="K1637" s="4" t="str">
        <f>IF(OR(Копия_20206[[#This Row],[Value (in 1000 rub)]]&gt;$S$7,Копия_20206[[#This Row],[Value (in 1000 rub)]]&lt;$S$6),"outlier","not outlier")</f>
        <v>not outlier</v>
      </c>
      <c r="L1637" s="4" t="str">
        <f>IF(OR(Копия_20206[[#This Row],[Volume (in 1000 kg)]]&gt;$T$7,Копия_20206[[#This Row],[Volume (in 1000 kg)]]&lt;$T$6),"outlier","not outlier")</f>
        <v>not outlier</v>
      </c>
      <c r="M1637" s="4" t="str">
        <f>IF(OR(Копия_20206[[#This Row],[Number of stores]]&gt;$U$7,Копия_20206[[#This Row],[Number of stores]]&lt;$U$6),"outlier","not outlier")</f>
        <v>not outlier</v>
      </c>
    </row>
    <row r="1638" spans="1:13" x14ac:dyDescent="0.25">
      <c r="A1638">
        <v>2022</v>
      </c>
      <c r="B1638">
        <v>12</v>
      </c>
      <c r="C1638" s="1" t="s">
        <v>25</v>
      </c>
      <c r="D1638" s="1" t="s">
        <v>50</v>
      </c>
      <c r="E1638" s="1" t="s">
        <v>12</v>
      </c>
      <c r="F1638" s="5">
        <v>0.19450000000000001</v>
      </c>
      <c r="G1638" s="5">
        <v>41.641204999999999</v>
      </c>
      <c r="H1638" s="5">
        <v>7.7799999999999994E-2</v>
      </c>
      <c r="I1638">
        <v>0</v>
      </c>
      <c r="J1638" s="4" t="str">
        <f>IF(OR(Копия_20206[[#This Row],[Units (in 1000)]]&gt;$R$7,Копия_20206[[#This Row],[Units (in 1000)]]&lt;$R$6),"outlier","not outlier")</f>
        <v>not outlier</v>
      </c>
      <c r="K1638" s="4" t="str">
        <f>IF(OR(Копия_20206[[#This Row],[Value (in 1000 rub)]]&gt;$S$7,Копия_20206[[#This Row],[Value (in 1000 rub)]]&lt;$S$6),"outlier","not outlier")</f>
        <v>not outlier</v>
      </c>
      <c r="L1638" s="4" t="str">
        <f>IF(OR(Копия_20206[[#This Row],[Volume (in 1000 kg)]]&gt;$T$7,Копия_20206[[#This Row],[Volume (in 1000 kg)]]&lt;$T$6),"outlier","not outlier")</f>
        <v>not outlier</v>
      </c>
      <c r="M1638" s="4" t="str">
        <f>IF(OR(Копия_20206[[#This Row],[Number of stores]]&gt;$U$7,Копия_20206[[#This Row],[Number of stores]]&lt;$U$6),"outlier","not outlier")</f>
        <v>not outlier</v>
      </c>
    </row>
    <row r="1639" spans="1:13" x14ac:dyDescent="0.25">
      <c r="A1639">
        <v>2022</v>
      </c>
      <c r="B1639">
        <v>4</v>
      </c>
      <c r="C1639" s="1" t="s">
        <v>8</v>
      </c>
      <c r="D1639" s="1" t="s">
        <v>48</v>
      </c>
      <c r="E1639" s="1" t="s">
        <v>11</v>
      </c>
      <c r="F1639" s="5">
        <v>1.4502999999999999</v>
      </c>
      <c r="G1639" s="5">
        <v>92.093954999999994</v>
      </c>
      <c r="H1639" s="5">
        <v>0.50760000000000005</v>
      </c>
      <c r="I1639">
        <v>104</v>
      </c>
      <c r="J1639" s="4" t="str">
        <f>IF(OR(Копия_20206[[#This Row],[Units (in 1000)]]&gt;$R$7,Копия_20206[[#This Row],[Units (in 1000)]]&lt;$R$6),"outlier","not outlier")</f>
        <v>not outlier</v>
      </c>
      <c r="K1639" s="4" t="str">
        <f>IF(OR(Копия_20206[[#This Row],[Value (in 1000 rub)]]&gt;$S$7,Копия_20206[[#This Row],[Value (in 1000 rub)]]&lt;$S$6),"outlier","not outlier")</f>
        <v>not outlier</v>
      </c>
      <c r="L1639" s="4" t="str">
        <f>IF(OR(Копия_20206[[#This Row],[Volume (in 1000 kg)]]&gt;$T$7,Копия_20206[[#This Row],[Volume (in 1000 kg)]]&lt;$T$6),"outlier","not outlier")</f>
        <v>not outlier</v>
      </c>
      <c r="M1639" s="4" t="str">
        <f>IF(OR(Копия_20206[[#This Row],[Number of stores]]&gt;$U$7,Копия_20206[[#This Row],[Number of stores]]&lt;$U$6),"outlier","not outlier")</f>
        <v>not outlier</v>
      </c>
    </row>
    <row r="1640" spans="1:13" x14ac:dyDescent="0.25">
      <c r="A1640">
        <v>2022</v>
      </c>
      <c r="B1640">
        <v>4</v>
      </c>
      <c r="C1640" s="1" t="s">
        <v>25</v>
      </c>
      <c r="D1640" s="1" t="s">
        <v>48</v>
      </c>
      <c r="E1640" s="1" t="s">
        <v>11</v>
      </c>
      <c r="F1640" s="5">
        <v>1.1158999999999999</v>
      </c>
      <c r="G1640" s="5">
        <v>89.912221000000002</v>
      </c>
      <c r="H1640" s="5">
        <v>0.39050000000000001</v>
      </c>
      <c r="I1640">
        <v>566</v>
      </c>
      <c r="J1640" s="4" t="str">
        <f>IF(OR(Копия_20206[[#This Row],[Units (in 1000)]]&gt;$R$7,Копия_20206[[#This Row],[Units (in 1000)]]&lt;$R$6),"outlier","not outlier")</f>
        <v>not outlier</v>
      </c>
      <c r="K1640" s="4" t="str">
        <f>IF(OR(Копия_20206[[#This Row],[Value (in 1000 rub)]]&gt;$S$7,Копия_20206[[#This Row],[Value (in 1000 rub)]]&lt;$S$6),"outlier","not outlier")</f>
        <v>not outlier</v>
      </c>
      <c r="L1640" s="4" t="str">
        <f>IF(OR(Копия_20206[[#This Row],[Volume (in 1000 kg)]]&gt;$T$7,Копия_20206[[#This Row],[Volume (in 1000 kg)]]&lt;$T$6),"outlier","not outlier")</f>
        <v>not outlier</v>
      </c>
      <c r="M1640" s="4" t="str">
        <f>IF(OR(Копия_20206[[#This Row],[Number of stores]]&gt;$U$7,Копия_20206[[#This Row],[Number of stores]]&lt;$U$6),"outlier","not outlier")</f>
        <v>not outlier</v>
      </c>
    </row>
    <row r="1641" spans="1:13" x14ac:dyDescent="0.25">
      <c r="A1641">
        <v>2022</v>
      </c>
      <c r="B1641">
        <v>5</v>
      </c>
      <c r="C1641" s="1" t="s">
        <v>8</v>
      </c>
      <c r="D1641" s="1" t="s">
        <v>48</v>
      </c>
      <c r="E1641" s="1" t="s">
        <v>11</v>
      </c>
      <c r="F1641" s="5">
        <v>2.8144999999999998</v>
      </c>
      <c r="G1641" s="5">
        <v>192.815258</v>
      </c>
      <c r="H1641" s="5">
        <v>0.98509999999999998</v>
      </c>
      <c r="I1641">
        <v>132</v>
      </c>
      <c r="J1641" s="4" t="str">
        <f>IF(OR(Копия_20206[[#This Row],[Units (in 1000)]]&gt;$R$7,Копия_20206[[#This Row],[Units (in 1000)]]&lt;$R$6),"outlier","not outlier")</f>
        <v>not outlier</v>
      </c>
      <c r="K1641" s="4" t="str">
        <f>IF(OR(Копия_20206[[#This Row],[Value (in 1000 rub)]]&gt;$S$7,Копия_20206[[#This Row],[Value (in 1000 rub)]]&lt;$S$6),"outlier","not outlier")</f>
        <v>not outlier</v>
      </c>
      <c r="L1641" s="4" t="str">
        <f>IF(OR(Копия_20206[[#This Row],[Volume (in 1000 kg)]]&gt;$T$7,Копия_20206[[#This Row],[Volume (in 1000 kg)]]&lt;$T$6),"outlier","not outlier")</f>
        <v>not outlier</v>
      </c>
      <c r="M1641" s="4" t="str">
        <f>IF(OR(Копия_20206[[#This Row],[Number of stores]]&gt;$U$7,Копия_20206[[#This Row],[Number of stores]]&lt;$U$6),"outlier","not outlier")</f>
        <v>not outlier</v>
      </c>
    </row>
    <row r="1642" spans="1:13" x14ac:dyDescent="0.25">
      <c r="A1642">
        <v>2022</v>
      </c>
      <c r="B1642">
        <v>5</v>
      </c>
      <c r="C1642" s="1" t="s">
        <v>25</v>
      </c>
      <c r="D1642" s="1" t="s">
        <v>48</v>
      </c>
      <c r="E1642" s="1" t="s">
        <v>11</v>
      </c>
      <c r="F1642" s="5">
        <v>4.7601000000000004</v>
      </c>
      <c r="G1642" s="5">
        <v>382.14135900000002</v>
      </c>
      <c r="H1642" s="5">
        <v>1.6660999999999999</v>
      </c>
      <c r="I1642">
        <v>870</v>
      </c>
      <c r="J1642" s="4" t="str">
        <f>IF(OR(Копия_20206[[#This Row],[Units (in 1000)]]&gt;$R$7,Копия_20206[[#This Row],[Units (in 1000)]]&lt;$R$6),"outlier","not outlier")</f>
        <v>not outlier</v>
      </c>
      <c r="K1642" s="4" t="str">
        <f>IF(OR(Копия_20206[[#This Row],[Value (in 1000 rub)]]&gt;$S$7,Копия_20206[[#This Row],[Value (in 1000 rub)]]&lt;$S$6),"outlier","not outlier")</f>
        <v>not outlier</v>
      </c>
      <c r="L1642" s="4" t="str">
        <f>IF(OR(Копия_20206[[#This Row],[Volume (in 1000 kg)]]&gt;$T$7,Копия_20206[[#This Row],[Volume (in 1000 kg)]]&lt;$T$6),"outlier","not outlier")</f>
        <v>not outlier</v>
      </c>
      <c r="M1642" s="4" t="str">
        <f>IF(OR(Копия_20206[[#This Row],[Number of stores]]&gt;$U$7,Копия_20206[[#This Row],[Number of stores]]&lt;$U$6),"outlier","not outlier")</f>
        <v>not outlier</v>
      </c>
    </row>
    <row r="1643" spans="1:13" x14ac:dyDescent="0.25">
      <c r="A1643">
        <v>2022</v>
      </c>
      <c r="B1643">
        <v>5</v>
      </c>
      <c r="C1643" s="1" t="s">
        <v>29</v>
      </c>
      <c r="D1643" s="1" t="s">
        <v>48</v>
      </c>
      <c r="E1643" s="1" t="s">
        <v>11</v>
      </c>
      <c r="F1643" s="5">
        <v>4.1803999999999997</v>
      </c>
      <c r="G1643" s="5">
        <v>344.14095400000002</v>
      </c>
      <c r="H1643" s="5">
        <v>1.4631000000000001</v>
      </c>
      <c r="I1643">
        <v>641</v>
      </c>
      <c r="J1643" s="4" t="str">
        <f>IF(OR(Копия_20206[[#This Row],[Units (in 1000)]]&gt;$R$7,Копия_20206[[#This Row],[Units (in 1000)]]&lt;$R$6),"outlier","not outlier")</f>
        <v>not outlier</v>
      </c>
      <c r="K1643" s="4" t="str">
        <f>IF(OR(Копия_20206[[#This Row],[Value (in 1000 rub)]]&gt;$S$7,Копия_20206[[#This Row],[Value (in 1000 rub)]]&lt;$S$6),"outlier","not outlier")</f>
        <v>not outlier</v>
      </c>
      <c r="L1643" s="4" t="str">
        <f>IF(OR(Копия_20206[[#This Row],[Volume (in 1000 kg)]]&gt;$T$7,Копия_20206[[#This Row],[Volume (in 1000 kg)]]&lt;$T$6),"outlier","not outlier")</f>
        <v>not outlier</v>
      </c>
      <c r="M1643" s="4" t="str">
        <f>IF(OR(Копия_20206[[#This Row],[Number of stores]]&gt;$U$7,Копия_20206[[#This Row],[Number of stores]]&lt;$U$6),"outlier","not outlier")</f>
        <v>not outlier</v>
      </c>
    </row>
    <row r="1644" spans="1:13" x14ac:dyDescent="0.25">
      <c r="A1644">
        <v>2022</v>
      </c>
      <c r="B1644">
        <v>6</v>
      </c>
      <c r="C1644" s="1" t="s">
        <v>8</v>
      </c>
      <c r="D1644" s="1" t="s">
        <v>48</v>
      </c>
      <c r="E1644" s="1" t="s">
        <v>11</v>
      </c>
      <c r="F1644" s="5">
        <v>1.3609</v>
      </c>
      <c r="G1644" s="5">
        <v>99.192218999999994</v>
      </c>
      <c r="H1644" s="5">
        <v>0.4763</v>
      </c>
      <c r="I1644">
        <v>123</v>
      </c>
      <c r="J1644" s="4" t="str">
        <f>IF(OR(Копия_20206[[#This Row],[Units (in 1000)]]&gt;$R$7,Копия_20206[[#This Row],[Units (in 1000)]]&lt;$R$6),"outlier","not outlier")</f>
        <v>not outlier</v>
      </c>
      <c r="K1644" s="4" t="str">
        <f>IF(OR(Копия_20206[[#This Row],[Value (in 1000 rub)]]&gt;$S$7,Копия_20206[[#This Row],[Value (in 1000 rub)]]&lt;$S$6),"outlier","not outlier")</f>
        <v>not outlier</v>
      </c>
      <c r="L1644" s="4" t="str">
        <f>IF(OR(Копия_20206[[#This Row],[Volume (in 1000 kg)]]&gt;$T$7,Копия_20206[[#This Row],[Volume (in 1000 kg)]]&lt;$T$6),"outlier","not outlier")</f>
        <v>not outlier</v>
      </c>
      <c r="M1644" s="4" t="str">
        <f>IF(OR(Копия_20206[[#This Row],[Number of stores]]&gt;$U$7,Копия_20206[[#This Row],[Number of stores]]&lt;$U$6),"outlier","not outlier")</f>
        <v>not outlier</v>
      </c>
    </row>
    <row r="1645" spans="1:13" x14ac:dyDescent="0.25">
      <c r="A1645">
        <v>2022</v>
      </c>
      <c r="B1645">
        <v>6</v>
      </c>
      <c r="C1645" s="1" t="s">
        <v>25</v>
      </c>
      <c r="D1645" s="1" t="s">
        <v>48</v>
      </c>
      <c r="E1645" s="1" t="s">
        <v>11</v>
      </c>
      <c r="F1645" s="5">
        <v>2.3031000000000001</v>
      </c>
      <c r="G1645" s="5">
        <v>185.18833699999999</v>
      </c>
      <c r="H1645" s="5">
        <v>0.80610000000000004</v>
      </c>
      <c r="I1645">
        <v>800</v>
      </c>
      <c r="J1645" s="4" t="str">
        <f>IF(OR(Копия_20206[[#This Row],[Units (in 1000)]]&gt;$R$7,Копия_20206[[#This Row],[Units (in 1000)]]&lt;$R$6),"outlier","not outlier")</f>
        <v>not outlier</v>
      </c>
      <c r="K1645" s="4" t="str">
        <f>IF(OR(Копия_20206[[#This Row],[Value (in 1000 rub)]]&gt;$S$7,Копия_20206[[#This Row],[Value (in 1000 rub)]]&lt;$S$6),"outlier","not outlier")</f>
        <v>not outlier</v>
      </c>
      <c r="L1645" s="4" t="str">
        <f>IF(OR(Копия_20206[[#This Row],[Volume (in 1000 kg)]]&gt;$T$7,Копия_20206[[#This Row],[Volume (in 1000 kg)]]&lt;$T$6),"outlier","not outlier")</f>
        <v>not outlier</v>
      </c>
      <c r="M1645" s="4" t="str">
        <f>IF(OR(Копия_20206[[#This Row],[Number of stores]]&gt;$U$7,Копия_20206[[#This Row],[Number of stores]]&lt;$U$6),"outlier","not outlier")</f>
        <v>not outlier</v>
      </c>
    </row>
    <row r="1646" spans="1:13" x14ac:dyDescent="0.25">
      <c r="A1646">
        <v>2022</v>
      </c>
      <c r="B1646">
        <v>7</v>
      </c>
      <c r="C1646" s="1" t="s">
        <v>8</v>
      </c>
      <c r="D1646" s="1" t="s">
        <v>48</v>
      </c>
      <c r="E1646" s="1" t="s">
        <v>11</v>
      </c>
      <c r="F1646" s="5">
        <v>1.5616000000000001</v>
      </c>
      <c r="G1646" s="5">
        <v>116.54471599999999</v>
      </c>
      <c r="H1646" s="5">
        <v>0.54659999999999997</v>
      </c>
      <c r="I1646">
        <v>107</v>
      </c>
      <c r="J1646" s="4" t="str">
        <f>IF(OR(Копия_20206[[#This Row],[Units (in 1000)]]&gt;$R$7,Копия_20206[[#This Row],[Units (in 1000)]]&lt;$R$6),"outlier","not outlier")</f>
        <v>not outlier</v>
      </c>
      <c r="K1646" s="4" t="str">
        <f>IF(OR(Копия_20206[[#This Row],[Value (in 1000 rub)]]&gt;$S$7,Копия_20206[[#This Row],[Value (in 1000 rub)]]&lt;$S$6),"outlier","not outlier")</f>
        <v>not outlier</v>
      </c>
      <c r="L1646" s="4" t="str">
        <f>IF(OR(Копия_20206[[#This Row],[Volume (in 1000 kg)]]&gt;$T$7,Копия_20206[[#This Row],[Volume (in 1000 kg)]]&lt;$T$6),"outlier","not outlier")</f>
        <v>not outlier</v>
      </c>
      <c r="M1646" s="4" t="str">
        <f>IF(OR(Копия_20206[[#This Row],[Number of stores]]&gt;$U$7,Копия_20206[[#This Row],[Number of stores]]&lt;$U$6),"outlier","not outlier")</f>
        <v>not outlier</v>
      </c>
    </row>
    <row r="1647" spans="1:13" x14ac:dyDescent="0.25">
      <c r="A1647">
        <v>2022</v>
      </c>
      <c r="B1647">
        <v>7</v>
      </c>
      <c r="C1647" s="1" t="s">
        <v>25</v>
      </c>
      <c r="D1647" s="1" t="s">
        <v>48</v>
      </c>
      <c r="E1647" s="1" t="s">
        <v>11</v>
      </c>
      <c r="F1647" s="5">
        <v>1.0859000000000001</v>
      </c>
      <c r="G1647" s="5">
        <v>87.554177999999993</v>
      </c>
      <c r="H1647" s="5">
        <v>0.38009999999999999</v>
      </c>
      <c r="I1647">
        <v>525</v>
      </c>
      <c r="J1647" s="4" t="str">
        <f>IF(OR(Копия_20206[[#This Row],[Units (in 1000)]]&gt;$R$7,Копия_20206[[#This Row],[Units (in 1000)]]&lt;$R$6),"outlier","not outlier")</f>
        <v>not outlier</v>
      </c>
      <c r="K1647" s="4" t="str">
        <f>IF(OR(Копия_20206[[#This Row],[Value (in 1000 rub)]]&gt;$S$7,Копия_20206[[#This Row],[Value (in 1000 rub)]]&lt;$S$6),"outlier","not outlier")</f>
        <v>not outlier</v>
      </c>
      <c r="L1647" s="4" t="str">
        <f>IF(OR(Копия_20206[[#This Row],[Volume (in 1000 kg)]]&gt;$T$7,Копия_20206[[#This Row],[Volume (in 1000 kg)]]&lt;$T$6),"outlier","not outlier")</f>
        <v>not outlier</v>
      </c>
      <c r="M1647" s="4" t="str">
        <f>IF(OR(Копия_20206[[#This Row],[Number of stores]]&gt;$U$7,Копия_20206[[#This Row],[Number of stores]]&lt;$U$6),"outlier","not outlier")</f>
        <v>not outlier</v>
      </c>
    </row>
    <row r="1648" spans="1:13" x14ac:dyDescent="0.25">
      <c r="A1648">
        <v>2022</v>
      </c>
      <c r="B1648">
        <v>8</v>
      </c>
      <c r="C1648" s="1" t="s">
        <v>8</v>
      </c>
      <c r="D1648" s="1" t="s">
        <v>48</v>
      </c>
      <c r="E1648" s="1" t="s">
        <v>11</v>
      </c>
      <c r="F1648" s="5">
        <v>1.1654</v>
      </c>
      <c r="G1648" s="5">
        <v>91.105464999999995</v>
      </c>
      <c r="H1648" s="5">
        <v>0.4078</v>
      </c>
      <c r="I1648">
        <v>85</v>
      </c>
      <c r="J1648" s="4" t="str">
        <f>IF(OR(Копия_20206[[#This Row],[Units (in 1000)]]&gt;$R$7,Копия_20206[[#This Row],[Units (in 1000)]]&lt;$R$6),"outlier","not outlier")</f>
        <v>not outlier</v>
      </c>
      <c r="K1648" s="4" t="str">
        <f>IF(OR(Копия_20206[[#This Row],[Value (in 1000 rub)]]&gt;$S$7,Копия_20206[[#This Row],[Value (in 1000 rub)]]&lt;$S$6),"outlier","not outlier")</f>
        <v>not outlier</v>
      </c>
      <c r="L1648" s="4" t="str">
        <f>IF(OR(Копия_20206[[#This Row],[Volume (in 1000 kg)]]&gt;$T$7,Копия_20206[[#This Row],[Volume (in 1000 kg)]]&lt;$T$6),"outlier","not outlier")</f>
        <v>not outlier</v>
      </c>
      <c r="M1648" s="4" t="str">
        <f>IF(OR(Копия_20206[[#This Row],[Number of stores]]&gt;$U$7,Копия_20206[[#This Row],[Number of stores]]&lt;$U$6),"outlier","not outlier")</f>
        <v>not outlier</v>
      </c>
    </row>
    <row r="1649" spans="1:13" x14ac:dyDescent="0.25">
      <c r="A1649">
        <v>2022</v>
      </c>
      <c r="B1649">
        <v>9</v>
      </c>
      <c r="C1649" s="1" t="s">
        <v>8</v>
      </c>
      <c r="D1649" s="1" t="s">
        <v>48</v>
      </c>
      <c r="E1649" s="1" t="s">
        <v>11</v>
      </c>
      <c r="F1649" s="5">
        <v>0.97430000000000005</v>
      </c>
      <c r="G1649" s="5">
        <v>88.223206000000005</v>
      </c>
      <c r="H1649" s="5">
        <v>0.34100000000000003</v>
      </c>
      <c r="I1649">
        <v>81</v>
      </c>
      <c r="J1649" s="4" t="str">
        <f>IF(OR(Копия_20206[[#This Row],[Units (in 1000)]]&gt;$R$7,Копия_20206[[#This Row],[Units (in 1000)]]&lt;$R$6),"outlier","not outlier")</f>
        <v>not outlier</v>
      </c>
      <c r="K1649" s="4" t="str">
        <f>IF(OR(Копия_20206[[#This Row],[Value (in 1000 rub)]]&gt;$S$7,Копия_20206[[#This Row],[Value (in 1000 rub)]]&lt;$S$6),"outlier","not outlier")</f>
        <v>not outlier</v>
      </c>
      <c r="L1649" s="4" t="str">
        <f>IF(OR(Копия_20206[[#This Row],[Volume (in 1000 kg)]]&gt;$T$7,Копия_20206[[#This Row],[Volume (in 1000 kg)]]&lt;$T$6),"outlier","not outlier")</f>
        <v>not outlier</v>
      </c>
      <c r="M1649" s="4" t="str">
        <f>IF(OR(Копия_20206[[#This Row],[Number of stores]]&gt;$U$7,Копия_20206[[#This Row],[Number of stores]]&lt;$U$6),"outlier","not outlier")</f>
        <v>not outlier</v>
      </c>
    </row>
    <row r="1650" spans="1:13" x14ac:dyDescent="0.25">
      <c r="A1650">
        <v>2022</v>
      </c>
      <c r="B1650">
        <v>10</v>
      </c>
      <c r="C1650" s="1" t="s">
        <v>8</v>
      </c>
      <c r="D1650" s="1" t="s">
        <v>48</v>
      </c>
      <c r="E1650" s="1" t="s">
        <v>11</v>
      </c>
      <c r="F1650" s="5">
        <v>0.75260000000000005</v>
      </c>
      <c r="G1650" s="5">
        <v>68.122720999999999</v>
      </c>
      <c r="H1650" s="5">
        <v>0.26340000000000002</v>
      </c>
      <c r="I1650">
        <v>80</v>
      </c>
      <c r="J1650" s="4" t="str">
        <f>IF(OR(Копия_20206[[#This Row],[Units (in 1000)]]&gt;$R$7,Копия_20206[[#This Row],[Units (in 1000)]]&lt;$R$6),"outlier","not outlier")</f>
        <v>not outlier</v>
      </c>
      <c r="K1650" s="4" t="str">
        <f>IF(OR(Копия_20206[[#This Row],[Value (in 1000 rub)]]&gt;$S$7,Копия_20206[[#This Row],[Value (in 1000 rub)]]&lt;$S$6),"outlier","not outlier")</f>
        <v>not outlier</v>
      </c>
      <c r="L1650" s="4" t="str">
        <f>IF(OR(Копия_20206[[#This Row],[Volume (in 1000 kg)]]&gt;$T$7,Копия_20206[[#This Row],[Volume (in 1000 kg)]]&lt;$T$6),"outlier","not outlier")</f>
        <v>not outlier</v>
      </c>
      <c r="M1650" s="4" t="str">
        <f>IF(OR(Копия_20206[[#This Row],[Number of stores]]&gt;$U$7,Копия_20206[[#This Row],[Number of stores]]&lt;$U$6),"outlier","not outlier")</f>
        <v>not outlier</v>
      </c>
    </row>
    <row r="1651" spans="1:13" x14ac:dyDescent="0.25">
      <c r="A1651">
        <v>2022</v>
      </c>
      <c r="B1651">
        <v>11</v>
      </c>
      <c r="C1651" s="1" t="s">
        <v>8</v>
      </c>
      <c r="D1651" s="1" t="s">
        <v>48</v>
      </c>
      <c r="E1651" s="1" t="s">
        <v>11</v>
      </c>
      <c r="F1651" s="5">
        <v>1.0639000000000001</v>
      </c>
      <c r="G1651" s="5">
        <v>88.332611</v>
      </c>
      <c r="H1651" s="5">
        <v>0.37240000000000001</v>
      </c>
      <c r="I1651">
        <v>76</v>
      </c>
      <c r="J1651" s="4" t="str">
        <f>IF(OR(Копия_20206[[#This Row],[Units (in 1000)]]&gt;$R$7,Копия_20206[[#This Row],[Units (in 1000)]]&lt;$R$6),"outlier","not outlier")</f>
        <v>not outlier</v>
      </c>
      <c r="K1651" s="4" t="str">
        <f>IF(OR(Копия_20206[[#This Row],[Value (in 1000 rub)]]&gt;$S$7,Копия_20206[[#This Row],[Value (in 1000 rub)]]&lt;$S$6),"outlier","not outlier")</f>
        <v>not outlier</v>
      </c>
      <c r="L1651" s="4" t="str">
        <f>IF(OR(Копия_20206[[#This Row],[Volume (in 1000 kg)]]&gt;$T$7,Копия_20206[[#This Row],[Volume (in 1000 kg)]]&lt;$T$6),"outlier","not outlier")</f>
        <v>not outlier</v>
      </c>
      <c r="M1651" s="4" t="str">
        <f>IF(OR(Копия_20206[[#This Row],[Number of stores]]&gt;$U$7,Копия_20206[[#This Row],[Number of stores]]&lt;$U$6),"outlier","not outlier")</f>
        <v>not outlier</v>
      </c>
    </row>
    <row r="1652" spans="1:13" x14ac:dyDescent="0.25">
      <c r="A1652">
        <v>2022</v>
      </c>
      <c r="B1652">
        <v>12</v>
      </c>
      <c r="C1652" s="1" t="s">
        <v>8</v>
      </c>
      <c r="D1652" s="1" t="s">
        <v>48</v>
      </c>
      <c r="E1652" s="1" t="s">
        <v>11</v>
      </c>
      <c r="F1652" s="5">
        <v>0.9899</v>
      </c>
      <c r="G1652" s="5">
        <v>81.820758999999995</v>
      </c>
      <c r="H1652" s="5">
        <v>0.34639999999999999</v>
      </c>
      <c r="I1652">
        <v>69</v>
      </c>
      <c r="J1652" s="4" t="str">
        <f>IF(OR(Копия_20206[[#This Row],[Units (in 1000)]]&gt;$R$7,Копия_20206[[#This Row],[Units (in 1000)]]&lt;$R$6),"outlier","not outlier")</f>
        <v>not outlier</v>
      </c>
      <c r="K1652" s="4" t="str">
        <f>IF(OR(Копия_20206[[#This Row],[Value (in 1000 rub)]]&gt;$S$7,Копия_20206[[#This Row],[Value (in 1000 rub)]]&lt;$S$6),"outlier","not outlier")</f>
        <v>not outlier</v>
      </c>
      <c r="L1652" s="4" t="str">
        <f>IF(OR(Копия_20206[[#This Row],[Volume (in 1000 kg)]]&gt;$T$7,Копия_20206[[#This Row],[Volume (in 1000 kg)]]&lt;$T$6),"outlier","not outlier")</f>
        <v>not outlier</v>
      </c>
      <c r="M1652" s="4" t="str">
        <f>IF(OR(Копия_20206[[#This Row],[Number of stores]]&gt;$U$7,Копия_20206[[#This Row],[Number of stores]]&lt;$U$6),"outlier","not outlier")</f>
        <v>not outlier</v>
      </c>
    </row>
    <row r="1653" spans="1:13" x14ac:dyDescent="0.25">
      <c r="A1653">
        <v>2022</v>
      </c>
      <c r="B1653">
        <v>1</v>
      </c>
      <c r="C1653" s="1" t="s">
        <v>8</v>
      </c>
      <c r="D1653" s="1" t="s">
        <v>37</v>
      </c>
      <c r="E1653" s="1" t="s">
        <v>35</v>
      </c>
      <c r="F1653" s="5">
        <v>0.89410000000000001</v>
      </c>
      <c r="G1653" s="5">
        <v>95.339903000000007</v>
      </c>
      <c r="H1653" s="5">
        <v>0.28610000000000002</v>
      </c>
      <c r="I1653">
        <v>209</v>
      </c>
      <c r="J1653" s="4" t="str">
        <f>IF(OR(Копия_20206[[#This Row],[Units (in 1000)]]&gt;$R$7,Копия_20206[[#This Row],[Units (in 1000)]]&lt;$R$6),"outlier","not outlier")</f>
        <v>not outlier</v>
      </c>
      <c r="K1653" s="4" t="str">
        <f>IF(OR(Копия_20206[[#This Row],[Value (in 1000 rub)]]&gt;$S$7,Копия_20206[[#This Row],[Value (in 1000 rub)]]&lt;$S$6),"outlier","not outlier")</f>
        <v>not outlier</v>
      </c>
      <c r="L1653" s="4" t="str">
        <f>IF(OR(Копия_20206[[#This Row],[Volume (in 1000 kg)]]&gt;$T$7,Копия_20206[[#This Row],[Volume (in 1000 kg)]]&lt;$T$6),"outlier","not outlier")</f>
        <v>not outlier</v>
      </c>
      <c r="M1653" s="4" t="str">
        <f>IF(OR(Копия_20206[[#This Row],[Number of stores]]&gt;$U$7,Копия_20206[[#This Row],[Number of stores]]&lt;$U$6),"outlier","not outlier")</f>
        <v>not outlier</v>
      </c>
    </row>
    <row r="1654" spans="1:13" x14ac:dyDescent="0.25">
      <c r="A1654">
        <v>2022</v>
      </c>
      <c r="B1654">
        <v>1</v>
      </c>
      <c r="C1654" s="1" t="s">
        <v>25</v>
      </c>
      <c r="D1654" s="1" t="s">
        <v>37</v>
      </c>
      <c r="E1654" s="1" t="s">
        <v>35</v>
      </c>
      <c r="F1654" s="5">
        <v>1.0834999999999999</v>
      </c>
      <c r="G1654" s="5">
        <v>96.791210000000007</v>
      </c>
      <c r="H1654" s="5">
        <v>0.34670000000000001</v>
      </c>
      <c r="I1654">
        <v>921</v>
      </c>
      <c r="J1654" s="4" t="str">
        <f>IF(OR(Копия_20206[[#This Row],[Units (in 1000)]]&gt;$R$7,Копия_20206[[#This Row],[Units (in 1000)]]&lt;$R$6),"outlier","not outlier")</f>
        <v>not outlier</v>
      </c>
      <c r="K1654" s="4" t="str">
        <f>IF(OR(Копия_20206[[#This Row],[Value (in 1000 rub)]]&gt;$S$7,Копия_20206[[#This Row],[Value (in 1000 rub)]]&lt;$S$6),"outlier","not outlier")</f>
        <v>not outlier</v>
      </c>
      <c r="L1654" s="4" t="str">
        <f>IF(OR(Копия_20206[[#This Row],[Volume (in 1000 kg)]]&gt;$T$7,Копия_20206[[#This Row],[Volume (in 1000 kg)]]&lt;$T$6),"outlier","not outlier")</f>
        <v>not outlier</v>
      </c>
      <c r="M1654" s="4" t="str">
        <f>IF(OR(Копия_20206[[#This Row],[Number of stores]]&gt;$U$7,Копия_20206[[#This Row],[Number of stores]]&lt;$U$6),"outlier","not outlier")</f>
        <v>not outlier</v>
      </c>
    </row>
    <row r="1655" spans="1:13" x14ac:dyDescent="0.25">
      <c r="A1655">
        <v>2022</v>
      </c>
      <c r="B1655">
        <v>1</v>
      </c>
      <c r="C1655" s="1" t="s">
        <v>29</v>
      </c>
      <c r="D1655" s="1" t="s">
        <v>37</v>
      </c>
      <c r="E1655" s="1" t="s">
        <v>35</v>
      </c>
      <c r="F1655" s="5">
        <v>3.0057999999999998</v>
      </c>
      <c r="G1655" s="5">
        <v>280.30021299999999</v>
      </c>
      <c r="H1655" s="5">
        <v>0.96179999999999999</v>
      </c>
      <c r="I1655">
        <v>2426</v>
      </c>
      <c r="J1655" s="4" t="str">
        <f>IF(OR(Копия_20206[[#This Row],[Units (in 1000)]]&gt;$R$7,Копия_20206[[#This Row],[Units (in 1000)]]&lt;$R$6),"outlier","not outlier")</f>
        <v>not outlier</v>
      </c>
      <c r="K1655" s="4" t="str">
        <f>IF(OR(Копия_20206[[#This Row],[Value (in 1000 rub)]]&gt;$S$7,Копия_20206[[#This Row],[Value (in 1000 rub)]]&lt;$S$6),"outlier","not outlier")</f>
        <v>not outlier</v>
      </c>
      <c r="L1655" s="4" t="str">
        <f>IF(OR(Копия_20206[[#This Row],[Volume (in 1000 kg)]]&gt;$T$7,Копия_20206[[#This Row],[Volume (in 1000 kg)]]&lt;$T$6),"outlier","not outlier")</f>
        <v>not outlier</v>
      </c>
      <c r="M1655" s="4" t="str">
        <f>IF(OR(Копия_20206[[#This Row],[Number of stores]]&gt;$U$7,Копия_20206[[#This Row],[Number of stores]]&lt;$U$6),"outlier","not outlier")</f>
        <v>not outlier</v>
      </c>
    </row>
    <row r="1656" spans="1:13" x14ac:dyDescent="0.25">
      <c r="A1656">
        <v>2022</v>
      </c>
      <c r="B1656">
        <v>2</v>
      </c>
      <c r="C1656" s="1" t="s">
        <v>8</v>
      </c>
      <c r="D1656" s="1" t="s">
        <v>37</v>
      </c>
      <c r="E1656" s="1" t="s">
        <v>35</v>
      </c>
      <c r="F1656" s="5">
        <v>0.75270000000000004</v>
      </c>
      <c r="G1656" s="5">
        <v>74.063677999999996</v>
      </c>
      <c r="H1656" s="5">
        <v>0.2409</v>
      </c>
      <c r="I1656">
        <v>251</v>
      </c>
      <c r="J1656" s="4" t="str">
        <f>IF(OR(Копия_20206[[#This Row],[Units (in 1000)]]&gt;$R$7,Копия_20206[[#This Row],[Units (in 1000)]]&lt;$R$6),"outlier","not outlier")</f>
        <v>not outlier</v>
      </c>
      <c r="K1656" s="4" t="str">
        <f>IF(OR(Копия_20206[[#This Row],[Value (in 1000 rub)]]&gt;$S$7,Копия_20206[[#This Row],[Value (in 1000 rub)]]&lt;$S$6),"outlier","not outlier")</f>
        <v>not outlier</v>
      </c>
      <c r="L1656" s="4" t="str">
        <f>IF(OR(Копия_20206[[#This Row],[Volume (in 1000 kg)]]&gt;$T$7,Копия_20206[[#This Row],[Volume (in 1000 kg)]]&lt;$T$6),"outlier","not outlier")</f>
        <v>not outlier</v>
      </c>
      <c r="M1656" s="4" t="str">
        <f>IF(OR(Копия_20206[[#This Row],[Number of stores]]&gt;$U$7,Копия_20206[[#This Row],[Number of stores]]&lt;$U$6),"outlier","not outlier")</f>
        <v>not outlier</v>
      </c>
    </row>
    <row r="1657" spans="1:13" x14ac:dyDescent="0.25">
      <c r="A1657">
        <v>2022</v>
      </c>
      <c r="B1657">
        <v>2</v>
      </c>
      <c r="C1657" s="1" t="s">
        <v>25</v>
      </c>
      <c r="D1657" s="1" t="s">
        <v>37</v>
      </c>
      <c r="E1657" s="1" t="s">
        <v>35</v>
      </c>
      <c r="F1657" s="5">
        <v>1.6042000000000001</v>
      </c>
      <c r="G1657" s="5">
        <v>121.20178799999999</v>
      </c>
      <c r="H1657" s="5">
        <v>0.51329999999999998</v>
      </c>
      <c r="I1657">
        <v>1290</v>
      </c>
      <c r="J1657" s="4" t="str">
        <f>IF(OR(Копия_20206[[#This Row],[Units (in 1000)]]&gt;$R$7,Копия_20206[[#This Row],[Units (in 1000)]]&lt;$R$6),"outlier","not outlier")</f>
        <v>not outlier</v>
      </c>
      <c r="K1657" s="4" t="str">
        <f>IF(OR(Копия_20206[[#This Row],[Value (in 1000 rub)]]&gt;$S$7,Копия_20206[[#This Row],[Value (in 1000 rub)]]&lt;$S$6),"outlier","not outlier")</f>
        <v>not outlier</v>
      </c>
      <c r="L1657" s="4" t="str">
        <f>IF(OR(Копия_20206[[#This Row],[Volume (in 1000 kg)]]&gt;$T$7,Копия_20206[[#This Row],[Volume (in 1000 kg)]]&lt;$T$6),"outlier","not outlier")</f>
        <v>not outlier</v>
      </c>
      <c r="M1657" s="4" t="str">
        <f>IF(OR(Копия_20206[[#This Row],[Number of stores]]&gt;$U$7,Копия_20206[[#This Row],[Number of stores]]&lt;$U$6),"outlier","not outlier")</f>
        <v>not outlier</v>
      </c>
    </row>
    <row r="1658" spans="1:13" x14ac:dyDescent="0.25">
      <c r="A1658">
        <v>2022</v>
      </c>
      <c r="B1658">
        <v>2</v>
      </c>
      <c r="C1658" s="1" t="s">
        <v>29</v>
      </c>
      <c r="D1658" s="1" t="s">
        <v>37</v>
      </c>
      <c r="E1658" s="1" t="s">
        <v>35</v>
      </c>
      <c r="F1658" s="5">
        <v>3.7242999999999999</v>
      </c>
      <c r="G1658" s="5">
        <v>298.288386</v>
      </c>
      <c r="H1658" s="5">
        <v>1.1918</v>
      </c>
      <c r="I1658">
        <v>2653</v>
      </c>
      <c r="J1658" s="4" t="str">
        <f>IF(OR(Копия_20206[[#This Row],[Units (in 1000)]]&gt;$R$7,Копия_20206[[#This Row],[Units (in 1000)]]&lt;$R$6),"outlier","not outlier")</f>
        <v>not outlier</v>
      </c>
      <c r="K1658" s="4" t="str">
        <f>IF(OR(Копия_20206[[#This Row],[Value (in 1000 rub)]]&gt;$S$7,Копия_20206[[#This Row],[Value (in 1000 rub)]]&lt;$S$6),"outlier","not outlier")</f>
        <v>not outlier</v>
      </c>
      <c r="L1658" s="4" t="str">
        <f>IF(OR(Копия_20206[[#This Row],[Volume (in 1000 kg)]]&gt;$T$7,Копия_20206[[#This Row],[Volume (in 1000 kg)]]&lt;$T$6),"outlier","not outlier")</f>
        <v>not outlier</v>
      </c>
      <c r="M1658" s="4" t="str">
        <f>IF(OR(Копия_20206[[#This Row],[Number of stores]]&gt;$U$7,Копия_20206[[#This Row],[Number of stores]]&lt;$U$6),"outlier","not outlier")</f>
        <v>not outlier</v>
      </c>
    </row>
    <row r="1659" spans="1:13" x14ac:dyDescent="0.25">
      <c r="A1659">
        <v>2022</v>
      </c>
      <c r="B1659">
        <v>3</v>
      </c>
      <c r="C1659" s="1" t="s">
        <v>8</v>
      </c>
      <c r="D1659" s="1" t="s">
        <v>37</v>
      </c>
      <c r="E1659" s="1" t="s">
        <v>35</v>
      </c>
      <c r="F1659" s="5">
        <v>1.2496</v>
      </c>
      <c r="G1659" s="5">
        <v>117.282172</v>
      </c>
      <c r="H1659" s="5">
        <v>0.39989999999999998</v>
      </c>
      <c r="I1659">
        <v>291</v>
      </c>
      <c r="J1659" s="4" t="str">
        <f>IF(OR(Копия_20206[[#This Row],[Units (in 1000)]]&gt;$R$7,Копия_20206[[#This Row],[Units (in 1000)]]&lt;$R$6),"outlier","not outlier")</f>
        <v>not outlier</v>
      </c>
      <c r="K1659" s="4" t="str">
        <f>IF(OR(Копия_20206[[#This Row],[Value (in 1000 rub)]]&gt;$S$7,Копия_20206[[#This Row],[Value (in 1000 rub)]]&lt;$S$6),"outlier","not outlier")</f>
        <v>not outlier</v>
      </c>
      <c r="L1659" s="4" t="str">
        <f>IF(OR(Копия_20206[[#This Row],[Volume (in 1000 kg)]]&gt;$T$7,Копия_20206[[#This Row],[Volume (in 1000 kg)]]&lt;$T$6),"outlier","not outlier")</f>
        <v>not outlier</v>
      </c>
      <c r="M1659" s="4" t="str">
        <f>IF(OR(Копия_20206[[#This Row],[Number of stores]]&gt;$U$7,Копия_20206[[#This Row],[Number of stores]]&lt;$U$6),"outlier","not outlier")</f>
        <v>not outlier</v>
      </c>
    </row>
    <row r="1660" spans="1:13" x14ac:dyDescent="0.25">
      <c r="A1660">
        <v>2022</v>
      </c>
      <c r="B1660">
        <v>3</v>
      </c>
      <c r="C1660" s="1" t="s">
        <v>25</v>
      </c>
      <c r="D1660" s="1" t="s">
        <v>37</v>
      </c>
      <c r="E1660" s="1" t="s">
        <v>35</v>
      </c>
      <c r="F1660" s="5">
        <v>2.2679</v>
      </c>
      <c r="G1660" s="5">
        <v>163.897989</v>
      </c>
      <c r="H1660" s="5">
        <v>0.72570000000000001</v>
      </c>
      <c r="I1660">
        <v>1604</v>
      </c>
      <c r="J1660" s="4" t="str">
        <f>IF(OR(Копия_20206[[#This Row],[Units (in 1000)]]&gt;$R$7,Копия_20206[[#This Row],[Units (in 1000)]]&lt;$R$6),"outlier","not outlier")</f>
        <v>not outlier</v>
      </c>
      <c r="K1660" s="4" t="str">
        <f>IF(OR(Копия_20206[[#This Row],[Value (in 1000 rub)]]&gt;$S$7,Копия_20206[[#This Row],[Value (in 1000 rub)]]&lt;$S$6),"outlier","not outlier")</f>
        <v>not outlier</v>
      </c>
      <c r="L1660" s="4" t="str">
        <f>IF(OR(Копия_20206[[#This Row],[Volume (in 1000 kg)]]&gt;$T$7,Копия_20206[[#This Row],[Volume (in 1000 kg)]]&lt;$T$6),"outlier","not outlier")</f>
        <v>not outlier</v>
      </c>
      <c r="M1660" s="4" t="str">
        <f>IF(OR(Копия_20206[[#This Row],[Number of stores]]&gt;$U$7,Копия_20206[[#This Row],[Number of stores]]&lt;$U$6),"outlier","not outlier")</f>
        <v>not outlier</v>
      </c>
    </row>
    <row r="1661" spans="1:13" x14ac:dyDescent="0.25">
      <c r="A1661">
        <v>2022</v>
      </c>
      <c r="B1661">
        <v>3</v>
      </c>
      <c r="C1661" s="1" t="s">
        <v>29</v>
      </c>
      <c r="D1661" s="1" t="s">
        <v>37</v>
      </c>
      <c r="E1661" s="1" t="s">
        <v>35</v>
      </c>
      <c r="F1661" s="5">
        <v>7.9659000000000004</v>
      </c>
      <c r="G1661" s="5">
        <v>521.41672300000005</v>
      </c>
      <c r="H1661" s="5">
        <v>2.5491000000000001</v>
      </c>
      <c r="I1661">
        <v>3499</v>
      </c>
      <c r="J1661" s="4" t="str">
        <f>IF(OR(Копия_20206[[#This Row],[Units (in 1000)]]&gt;$R$7,Копия_20206[[#This Row],[Units (in 1000)]]&lt;$R$6),"outlier","not outlier")</f>
        <v>not outlier</v>
      </c>
      <c r="K1661" s="4" t="str">
        <f>IF(OR(Копия_20206[[#This Row],[Value (in 1000 rub)]]&gt;$S$7,Копия_20206[[#This Row],[Value (in 1000 rub)]]&lt;$S$6),"outlier","not outlier")</f>
        <v>not outlier</v>
      </c>
      <c r="L1661" s="4" t="str">
        <f>IF(OR(Копия_20206[[#This Row],[Volume (in 1000 kg)]]&gt;$T$7,Копия_20206[[#This Row],[Volume (in 1000 kg)]]&lt;$T$6),"outlier","not outlier")</f>
        <v>not outlier</v>
      </c>
      <c r="M1661" s="4" t="str">
        <f>IF(OR(Копия_20206[[#This Row],[Number of stores]]&gt;$U$7,Копия_20206[[#This Row],[Number of stores]]&lt;$U$6),"outlier","not outlier")</f>
        <v>outlier</v>
      </c>
    </row>
    <row r="1662" spans="1:13" x14ac:dyDescent="0.25">
      <c r="A1662">
        <v>2022</v>
      </c>
      <c r="B1662">
        <v>4</v>
      </c>
      <c r="C1662" s="1" t="s">
        <v>8</v>
      </c>
      <c r="D1662" s="1" t="s">
        <v>37</v>
      </c>
      <c r="E1662" s="1" t="s">
        <v>35</v>
      </c>
      <c r="F1662" s="5">
        <v>0.48530000000000001</v>
      </c>
      <c r="G1662" s="5">
        <v>55.820227000000003</v>
      </c>
      <c r="H1662" s="5">
        <v>0.15529999999999999</v>
      </c>
      <c r="I1662">
        <v>245</v>
      </c>
      <c r="J1662" s="4" t="str">
        <f>IF(OR(Копия_20206[[#This Row],[Units (in 1000)]]&gt;$R$7,Копия_20206[[#This Row],[Units (in 1000)]]&lt;$R$6),"outlier","not outlier")</f>
        <v>not outlier</v>
      </c>
      <c r="K1662" s="4" t="str">
        <f>IF(OR(Копия_20206[[#This Row],[Value (in 1000 rub)]]&gt;$S$7,Копия_20206[[#This Row],[Value (in 1000 rub)]]&lt;$S$6),"outlier","not outlier")</f>
        <v>not outlier</v>
      </c>
      <c r="L1662" s="4" t="str">
        <f>IF(OR(Копия_20206[[#This Row],[Volume (in 1000 kg)]]&gt;$T$7,Копия_20206[[#This Row],[Volume (in 1000 kg)]]&lt;$T$6),"outlier","not outlier")</f>
        <v>not outlier</v>
      </c>
      <c r="M1662" s="4" t="str">
        <f>IF(OR(Копия_20206[[#This Row],[Number of stores]]&gt;$U$7,Копия_20206[[#This Row],[Number of stores]]&lt;$U$6),"outlier","not outlier")</f>
        <v>not outlier</v>
      </c>
    </row>
    <row r="1663" spans="1:13" x14ac:dyDescent="0.25">
      <c r="A1663">
        <v>2022</v>
      </c>
      <c r="B1663">
        <v>4</v>
      </c>
      <c r="C1663" s="1" t="s">
        <v>25</v>
      </c>
      <c r="D1663" s="1" t="s">
        <v>37</v>
      </c>
      <c r="E1663" s="1" t="s">
        <v>35</v>
      </c>
      <c r="F1663" s="5">
        <v>1.2133</v>
      </c>
      <c r="G1663" s="5">
        <v>95.999382999999995</v>
      </c>
      <c r="H1663" s="5">
        <v>0.38819999999999999</v>
      </c>
      <c r="I1663">
        <v>1026</v>
      </c>
      <c r="J1663" s="4" t="str">
        <f>IF(OR(Копия_20206[[#This Row],[Units (in 1000)]]&gt;$R$7,Копия_20206[[#This Row],[Units (in 1000)]]&lt;$R$6),"outlier","not outlier")</f>
        <v>not outlier</v>
      </c>
      <c r="K1663" s="4" t="str">
        <f>IF(OR(Копия_20206[[#This Row],[Value (in 1000 rub)]]&gt;$S$7,Копия_20206[[#This Row],[Value (in 1000 rub)]]&lt;$S$6),"outlier","not outlier")</f>
        <v>not outlier</v>
      </c>
      <c r="L1663" s="4" t="str">
        <f>IF(OR(Копия_20206[[#This Row],[Volume (in 1000 kg)]]&gt;$T$7,Копия_20206[[#This Row],[Volume (in 1000 kg)]]&lt;$T$6),"outlier","not outlier")</f>
        <v>not outlier</v>
      </c>
      <c r="M1663" s="4" t="str">
        <f>IF(OR(Копия_20206[[#This Row],[Number of stores]]&gt;$U$7,Копия_20206[[#This Row],[Number of stores]]&lt;$U$6),"outlier","not outlier")</f>
        <v>not outlier</v>
      </c>
    </row>
    <row r="1664" spans="1:13" x14ac:dyDescent="0.25">
      <c r="A1664">
        <v>2022</v>
      </c>
      <c r="B1664">
        <v>5</v>
      </c>
      <c r="C1664" s="1" t="s">
        <v>8</v>
      </c>
      <c r="D1664" s="1" t="s">
        <v>37</v>
      </c>
      <c r="E1664" s="1" t="s">
        <v>35</v>
      </c>
      <c r="F1664" s="5">
        <v>0.45729999999999998</v>
      </c>
      <c r="G1664" s="5">
        <v>52.727248000000003</v>
      </c>
      <c r="H1664" s="5">
        <v>0.14630000000000001</v>
      </c>
      <c r="I1664">
        <v>234</v>
      </c>
      <c r="J1664" s="4" t="str">
        <f>IF(OR(Копия_20206[[#This Row],[Units (in 1000)]]&gt;$R$7,Копия_20206[[#This Row],[Units (in 1000)]]&lt;$R$6),"outlier","not outlier")</f>
        <v>not outlier</v>
      </c>
      <c r="K1664" s="4" t="str">
        <f>IF(OR(Копия_20206[[#This Row],[Value (in 1000 rub)]]&gt;$S$7,Копия_20206[[#This Row],[Value (in 1000 rub)]]&lt;$S$6),"outlier","not outlier")</f>
        <v>not outlier</v>
      </c>
      <c r="L1664" s="4" t="str">
        <f>IF(OR(Копия_20206[[#This Row],[Volume (in 1000 kg)]]&gt;$T$7,Копия_20206[[#This Row],[Volume (in 1000 kg)]]&lt;$T$6),"outlier","not outlier")</f>
        <v>not outlier</v>
      </c>
      <c r="M1664" s="4" t="str">
        <f>IF(OR(Копия_20206[[#This Row],[Number of stores]]&gt;$U$7,Копия_20206[[#This Row],[Number of stores]]&lt;$U$6),"outlier","not outlier")</f>
        <v>not outlier</v>
      </c>
    </row>
    <row r="1665" spans="1:13" x14ac:dyDescent="0.25">
      <c r="A1665">
        <v>2022</v>
      </c>
      <c r="B1665">
        <v>5</v>
      </c>
      <c r="C1665" s="1" t="s">
        <v>25</v>
      </c>
      <c r="D1665" s="1" t="s">
        <v>37</v>
      </c>
      <c r="E1665" s="1" t="s">
        <v>35</v>
      </c>
      <c r="F1665" s="5">
        <v>1.3728</v>
      </c>
      <c r="G1665" s="5">
        <v>107.913191</v>
      </c>
      <c r="H1665" s="5">
        <v>0.43930000000000002</v>
      </c>
      <c r="I1665">
        <v>1203</v>
      </c>
      <c r="J1665" s="4" t="str">
        <f>IF(OR(Копия_20206[[#This Row],[Units (in 1000)]]&gt;$R$7,Копия_20206[[#This Row],[Units (in 1000)]]&lt;$R$6),"outlier","not outlier")</f>
        <v>not outlier</v>
      </c>
      <c r="K1665" s="4" t="str">
        <f>IF(OR(Копия_20206[[#This Row],[Value (in 1000 rub)]]&gt;$S$7,Копия_20206[[#This Row],[Value (in 1000 rub)]]&lt;$S$6),"outlier","not outlier")</f>
        <v>not outlier</v>
      </c>
      <c r="L1665" s="4" t="str">
        <f>IF(OR(Копия_20206[[#This Row],[Volume (in 1000 kg)]]&gt;$T$7,Копия_20206[[#This Row],[Volume (in 1000 kg)]]&lt;$T$6),"outlier","not outlier")</f>
        <v>not outlier</v>
      </c>
      <c r="M1665" s="4" t="str">
        <f>IF(OR(Копия_20206[[#This Row],[Number of stores]]&gt;$U$7,Копия_20206[[#This Row],[Number of stores]]&lt;$U$6),"outlier","not outlier")</f>
        <v>not outlier</v>
      </c>
    </row>
    <row r="1666" spans="1:13" x14ac:dyDescent="0.25">
      <c r="A1666">
        <v>2022</v>
      </c>
      <c r="B1666">
        <v>6</v>
      </c>
      <c r="C1666" s="1" t="s">
        <v>25</v>
      </c>
      <c r="D1666" s="1" t="s">
        <v>37</v>
      </c>
      <c r="E1666" s="1" t="s">
        <v>35</v>
      </c>
      <c r="F1666" s="5">
        <v>0.77680000000000005</v>
      </c>
      <c r="G1666" s="5">
        <v>77.288938000000002</v>
      </c>
      <c r="H1666" s="5">
        <v>0.24859999999999999</v>
      </c>
      <c r="I1666">
        <v>548</v>
      </c>
      <c r="J1666" s="4" t="str">
        <f>IF(OR(Копия_20206[[#This Row],[Units (in 1000)]]&gt;$R$7,Копия_20206[[#This Row],[Units (in 1000)]]&lt;$R$6),"outlier","not outlier")</f>
        <v>not outlier</v>
      </c>
      <c r="K1666" s="4" t="str">
        <f>IF(OR(Копия_20206[[#This Row],[Value (in 1000 rub)]]&gt;$S$7,Копия_20206[[#This Row],[Value (in 1000 rub)]]&lt;$S$6),"outlier","not outlier")</f>
        <v>not outlier</v>
      </c>
      <c r="L1666" s="4" t="str">
        <f>IF(OR(Копия_20206[[#This Row],[Volume (in 1000 kg)]]&gt;$T$7,Копия_20206[[#This Row],[Volume (in 1000 kg)]]&lt;$T$6),"outlier","not outlier")</f>
        <v>not outlier</v>
      </c>
      <c r="M1666" s="4" t="str">
        <f>IF(OR(Копия_20206[[#This Row],[Number of stores]]&gt;$U$7,Копия_20206[[#This Row],[Number of stores]]&lt;$U$6),"outlier","not outlier")</f>
        <v>not outlier</v>
      </c>
    </row>
    <row r="1667" spans="1:13" x14ac:dyDescent="0.25">
      <c r="A1667">
        <v>2022</v>
      </c>
      <c r="B1667">
        <v>8</v>
      </c>
      <c r="C1667" s="1" t="s">
        <v>25</v>
      </c>
      <c r="D1667" s="1" t="s">
        <v>37</v>
      </c>
      <c r="E1667" s="1" t="s">
        <v>35</v>
      </c>
      <c r="F1667" s="5">
        <v>0.51549999999999996</v>
      </c>
      <c r="G1667" s="5">
        <v>52.392999000000003</v>
      </c>
      <c r="H1667" s="5">
        <v>0.16500000000000001</v>
      </c>
      <c r="I1667">
        <v>424</v>
      </c>
      <c r="J1667" s="4" t="str">
        <f>IF(OR(Копия_20206[[#This Row],[Units (in 1000)]]&gt;$R$7,Копия_20206[[#This Row],[Units (in 1000)]]&lt;$R$6),"outlier","not outlier")</f>
        <v>not outlier</v>
      </c>
      <c r="K1667" s="4" t="str">
        <f>IF(OR(Копия_20206[[#This Row],[Value (in 1000 rub)]]&gt;$S$7,Копия_20206[[#This Row],[Value (in 1000 rub)]]&lt;$S$6),"outlier","not outlier")</f>
        <v>not outlier</v>
      </c>
      <c r="L1667" s="4" t="str">
        <f>IF(OR(Копия_20206[[#This Row],[Volume (in 1000 kg)]]&gt;$T$7,Копия_20206[[#This Row],[Volume (in 1000 kg)]]&lt;$T$6),"outlier","not outlier")</f>
        <v>not outlier</v>
      </c>
      <c r="M1667" s="4" t="str">
        <f>IF(OR(Копия_20206[[#This Row],[Number of stores]]&gt;$U$7,Копия_20206[[#This Row],[Number of stores]]&lt;$U$6),"outlier","not outlier")</f>
        <v>not outlier</v>
      </c>
    </row>
    <row r="1668" spans="1:13" x14ac:dyDescent="0.25">
      <c r="A1668">
        <v>2022</v>
      </c>
      <c r="B1668">
        <v>9</v>
      </c>
      <c r="C1668" s="1" t="s">
        <v>25</v>
      </c>
      <c r="D1668" s="1" t="s">
        <v>37</v>
      </c>
      <c r="E1668" s="1" t="s">
        <v>35</v>
      </c>
      <c r="F1668" s="5">
        <v>0.60770000000000002</v>
      </c>
      <c r="G1668" s="5">
        <v>63.000511000000003</v>
      </c>
      <c r="H1668" s="5">
        <v>0.19450000000000001</v>
      </c>
      <c r="I1668">
        <v>426</v>
      </c>
      <c r="J1668" s="4" t="str">
        <f>IF(OR(Копия_20206[[#This Row],[Units (in 1000)]]&gt;$R$7,Копия_20206[[#This Row],[Units (in 1000)]]&lt;$R$6),"outlier","not outlier")</f>
        <v>not outlier</v>
      </c>
      <c r="K1668" s="4" t="str">
        <f>IF(OR(Копия_20206[[#This Row],[Value (in 1000 rub)]]&gt;$S$7,Копия_20206[[#This Row],[Value (in 1000 rub)]]&lt;$S$6),"outlier","not outlier")</f>
        <v>not outlier</v>
      </c>
      <c r="L1668" s="4" t="str">
        <f>IF(OR(Копия_20206[[#This Row],[Volume (in 1000 kg)]]&gt;$T$7,Копия_20206[[#This Row],[Volume (in 1000 kg)]]&lt;$T$6),"outlier","not outlier")</f>
        <v>not outlier</v>
      </c>
      <c r="M1668" s="4" t="str">
        <f>IF(OR(Копия_20206[[#This Row],[Number of stores]]&gt;$U$7,Копия_20206[[#This Row],[Number of stores]]&lt;$U$6),"outlier","not outlier")</f>
        <v>not outlier</v>
      </c>
    </row>
    <row r="1669" spans="1:13" x14ac:dyDescent="0.25">
      <c r="A1669">
        <v>2022</v>
      </c>
      <c r="B1669">
        <v>1</v>
      </c>
      <c r="C1669" s="1" t="s">
        <v>8</v>
      </c>
      <c r="D1669" s="1" t="s">
        <v>20</v>
      </c>
      <c r="E1669" s="1" t="s">
        <v>21</v>
      </c>
      <c r="F1669" s="5">
        <v>2.2499999999999999E-2</v>
      </c>
      <c r="G1669" s="5">
        <v>6.4226049999999999</v>
      </c>
      <c r="H1669" s="5">
        <v>6.3E-3</v>
      </c>
      <c r="I1669">
        <v>13</v>
      </c>
      <c r="J1669" s="4" t="str">
        <f>IF(OR(Копия_20206[[#This Row],[Units (in 1000)]]&gt;$R$7,Копия_20206[[#This Row],[Units (in 1000)]]&lt;$R$6),"outlier","not outlier")</f>
        <v>not outlier</v>
      </c>
      <c r="K1669" s="4" t="str">
        <f>IF(OR(Копия_20206[[#This Row],[Value (in 1000 rub)]]&gt;$S$7,Копия_20206[[#This Row],[Value (in 1000 rub)]]&lt;$S$6),"outlier","not outlier")</f>
        <v>not outlier</v>
      </c>
      <c r="L1669" s="4" t="str">
        <f>IF(OR(Копия_20206[[#This Row],[Volume (in 1000 kg)]]&gt;$T$7,Копия_20206[[#This Row],[Volume (in 1000 kg)]]&lt;$T$6),"outlier","not outlier")</f>
        <v>not outlier</v>
      </c>
      <c r="M1669" s="4" t="str">
        <f>IF(OR(Копия_20206[[#This Row],[Number of stores]]&gt;$U$7,Копия_20206[[#This Row],[Number of stores]]&lt;$U$6),"outlier","not outlier")</f>
        <v>not outlier</v>
      </c>
    </row>
    <row r="1670" spans="1:13" x14ac:dyDescent="0.25">
      <c r="A1670">
        <v>2022</v>
      </c>
      <c r="B1670">
        <v>1</v>
      </c>
      <c r="C1670" s="1" t="s">
        <v>8</v>
      </c>
      <c r="D1670" s="1" t="s">
        <v>20</v>
      </c>
      <c r="E1670" s="1" t="s">
        <v>12</v>
      </c>
      <c r="F1670" s="5">
        <v>1.5595000000000001</v>
      </c>
      <c r="G1670" s="5">
        <v>212.46996799999999</v>
      </c>
      <c r="H1670" s="5">
        <v>0.62370000000000003</v>
      </c>
      <c r="I1670">
        <v>178</v>
      </c>
      <c r="J1670" s="4" t="str">
        <f>IF(OR(Копия_20206[[#This Row],[Units (in 1000)]]&gt;$R$7,Копия_20206[[#This Row],[Units (in 1000)]]&lt;$R$6),"outlier","not outlier")</f>
        <v>not outlier</v>
      </c>
      <c r="K1670" s="4" t="str">
        <f>IF(OR(Копия_20206[[#This Row],[Value (in 1000 rub)]]&gt;$S$7,Копия_20206[[#This Row],[Value (in 1000 rub)]]&lt;$S$6),"outlier","not outlier")</f>
        <v>not outlier</v>
      </c>
      <c r="L1670" s="4" t="str">
        <f>IF(OR(Копия_20206[[#This Row],[Volume (in 1000 kg)]]&gt;$T$7,Копия_20206[[#This Row],[Volume (in 1000 kg)]]&lt;$T$6),"outlier","not outlier")</f>
        <v>not outlier</v>
      </c>
      <c r="M1670" s="4" t="str">
        <f>IF(OR(Копия_20206[[#This Row],[Number of stores]]&gt;$U$7,Копия_20206[[#This Row],[Number of stores]]&lt;$U$6),"outlier","not outlier")</f>
        <v>not outlier</v>
      </c>
    </row>
    <row r="1671" spans="1:13" x14ac:dyDescent="0.25">
      <c r="A1671">
        <v>2022</v>
      </c>
      <c r="B1671">
        <v>1</v>
      </c>
      <c r="C1671" s="1" t="s">
        <v>25</v>
      </c>
      <c r="D1671" s="1" t="s">
        <v>20</v>
      </c>
      <c r="E1671" s="1" t="s">
        <v>21</v>
      </c>
      <c r="F1671" s="5">
        <v>3.5999999999999999E-3</v>
      </c>
      <c r="G1671" s="5">
        <v>1.59307</v>
      </c>
      <c r="H1671" s="5">
        <v>1E-3</v>
      </c>
      <c r="I1671">
        <v>0</v>
      </c>
      <c r="J1671" s="4" t="str">
        <f>IF(OR(Копия_20206[[#This Row],[Units (in 1000)]]&gt;$R$7,Копия_20206[[#This Row],[Units (in 1000)]]&lt;$R$6),"outlier","not outlier")</f>
        <v>not outlier</v>
      </c>
      <c r="K1671" s="4" t="str">
        <f>IF(OR(Копия_20206[[#This Row],[Value (in 1000 rub)]]&gt;$S$7,Копия_20206[[#This Row],[Value (in 1000 rub)]]&lt;$S$6),"outlier","not outlier")</f>
        <v>not outlier</v>
      </c>
      <c r="L1671" s="4" t="str">
        <f>IF(OR(Копия_20206[[#This Row],[Volume (in 1000 kg)]]&gt;$T$7,Копия_20206[[#This Row],[Volume (in 1000 kg)]]&lt;$T$6),"outlier","not outlier")</f>
        <v>not outlier</v>
      </c>
      <c r="M1671" s="4" t="str">
        <f>IF(OR(Копия_20206[[#This Row],[Number of stores]]&gt;$U$7,Копия_20206[[#This Row],[Number of stores]]&lt;$U$6),"outlier","not outlier")</f>
        <v>not outlier</v>
      </c>
    </row>
    <row r="1672" spans="1:13" x14ac:dyDescent="0.25">
      <c r="A1672">
        <v>2022</v>
      </c>
      <c r="B1672">
        <v>1</v>
      </c>
      <c r="C1672" s="1" t="s">
        <v>25</v>
      </c>
      <c r="D1672" s="1" t="s">
        <v>20</v>
      </c>
      <c r="E1672" s="1" t="s">
        <v>35</v>
      </c>
      <c r="F1672" s="5">
        <v>3.0999999999999999E-3</v>
      </c>
      <c r="G1672" s="5">
        <v>0.95189000000000001</v>
      </c>
      <c r="H1672" s="5">
        <v>8.9999999999999998E-4</v>
      </c>
      <c r="I1672">
        <v>0</v>
      </c>
      <c r="J1672" s="4" t="str">
        <f>IF(OR(Копия_20206[[#This Row],[Units (in 1000)]]&gt;$R$7,Копия_20206[[#This Row],[Units (in 1000)]]&lt;$R$6),"outlier","not outlier")</f>
        <v>not outlier</v>
      </c>
      <c r="K1672" s="4" t="str">
        <f>IF(OR(Копия_20206[[#This Row],[Value (in 1000 rub)]]&gt;$S$7,Копия_20206[[#This Row],[Value (in 1000 rub)]]&lt;$S$6),"outlier","not outlier")</f>
        <v>not outlier</v>
      </c>
      <c r="L1672" s="4" t="str">
        <f>IF(OR(Копия_20206[[#This Row],[Volume (in 1000 kg)]]&gt;$T$7,Копия_20206[[#This Row],[Volume (in 1000 kg)]]&lt;$T$6),"outlier","not outlier")</f>
        <v>not outlier</v>
      </c>
      <c r="M1672" s="4" t="str">
        <f>IF(OR(Копия_20206[[#This Row],[Number of stores]]&gt;$U$7,Копия_20206[[#This Row],[Number of stores]]&lt;$U$6),"outlier","not outlier")</f>
        <v>not outlier</v>
      </c>
    </row>
    <row r="1673" spans="1:13" x14ac:dyDescent="0.25">
      <c r="A1673">
        <v>2022</v>
      </c>
      <c r="B1673">
        <v>1</v>
      </c>
      <c r="C1673" s="1" t="s">
        <v>25</v>
      </c>
      <c r="D1673" s="1" t="s">
        <v>20</v>
      </c>
      <c r="E1673" s="1" t="s">
        <v>12</v>
      </c>
      <c r="F1673" s="5">
        <v>0.871</v>
      </c>
      <c r="G1673" s="5">
        <v>127.584278</v>
      </c>
      <c r="H1673" s="5">
        <v>0.3483</v>
      </c>
      <c r="I1673">
        <v>0</v>
      </c>
      <c r="J1673" s="4" t="str">
        <f>IF(OR(Копия_20206[[#This Row],[Units (in 1000)]]&gt;$R$7,Копия_20206[[#This Row],[Units (in 1000)]]&lt;$R$6),"outlier","not outlier")</f>
        <v>not outlier</v>
      </c>
      <c r="K1673" s="4" t="str">
        <f>IF(OR(Копия_20206[[#This Row],[Value (in 1000 rub)]]&gt;$S$7,Копия_20206[[#This Row],[Value (in 1000 rub)]]&lt;$S$6),"outlier","not outlier")</f>
        <v>not outlier</v>
      </c>
      <c r="L1673" s="4" t="str">
        <f>IF(OR(Копия_20206[[#This Row],[Volume (in 1000 kg)]]&gt;$T$7,Копия_20206[[#This Row],[Volume (in 1000 kg)]]&lt;$T$6),"outlier","not outlier")</f>
        <v>not outlier</v>
      </c>
      <c r="M1673" s="4" t="str">
        <f>IF(OR(Копия_20206[[#This Row],[Number of stores]]&gt;$U$7,Копия_20206[[#This Row],[Number of stores]]&lt;$U$6),"outlier","not outlier")</f>
        <v>not outlier</v>
      </c>
    </row>
    <row r="1674" spans="1:13" x14ac:dyDescent="0.25">
      <c r="A1674">
        <v>2022</v>
      </c>
      <c r="B1674">
        <v>1</v>
      </c>
      <c r="C1674" s="1" t="s">
        <v>29</v>
      </c>
      <c r="D1674" s="1" t="s">
        <v>20</v>
      </c>
      <c r="E1674" s="1" t="s">
        <v>21</v>
      </c>
      <c r="F1674" s="5">
        <v>8.3999999999999995E-3</v>
      </c>
      <c r="G1674" s="5">
        <v>3.2303649999999999</v>
      </c>
      <c r="H1674" s="5">
        <v>2.3999999999999998E-3</v>
      </c>
      <c r="I1674">
        <v>4</v>
      </c>
      <c r="J1674" s="4" t="str">
        <f>IF(OR(Копия_20206[[#This Row],[Units (in 1000)]]&gt;$R$7,Копия_20206[[#This Row],[Units (in 1000)]]&lt;$R$6),"outlier","not outlier")</f>
        <v>not outlier</v>
      </c>
      <c r="K1674" s="4" t="str">
        <f>IF(OR(Копия_20206[[#This Row],[Value (in 1000 rub)]]&gt;$S$7,Копия_20206[[#This Row],[Value (in 1000 rub)]]&lt;$S$6),"outlier","not outlier")</f>
        <v>not outlier</v>
      </c>
      <c r="L1674" s="4" t="str">
        <f>IF(OR(Копия_20206[[#This Row],[Volume (in 1000 kg)]]&gt;$T$7,Копия_20206[[#This Row],[Volume (in 1000 kg)]]&lt;$T$6),"outlier","not outlier")</f>
        <v>not outlier</v>
      </c>
      <c r="M1674" s="4" t="str">
        <f>IF(OR(Копия_20206[[#This Row],[Number of stores]]&gt;$U$7,Копия_20206[[#This Row],[Number of stores]]&lt;$U$6),"outlier","not outlier")</f>
        <v>not outlier</v>
      </c>
    </row>
    <row r="1675" spans="1:13" x14ac:dyDescent="0.25">
      <c r="A1675">
        <v>2022</v>
      </c>
      <c r="B1675">
        <v>1</v>
      </c>
      <c r="C1675" s="1" t="s">
        <v>29</v>
      </c>
      <c r="D1675" s="1" t="s">
        <v>20</v>
      </c>
      <c r="E1675" s="1" t="s">
        <v>35</v>
      </c>
      <c r="F1675" s="5">
        <v>1.9300000000000001E-2</v>
      </c>
      <c r="G1675" s="5">
        <v>6.0866980000000002</v>
      </c>
      <c r="H1675" s="5">
        <v>5.7999999999999996E-3</v>
      </c>
      <c r="I1675">
        <v>14</v>
      </c>
      <c r="J1675" s="4" t="str">
        <f>IF(OR(Копия_20206[[#This Row],[Units (in 1000)]]&gt;$R$7,Копия_20206[[#This Row],[Units (in 1000)]]&lt;$R$6),"outlier","not outlier")</f>
        <v>not outlier</v>
      </c>
      <c r="K1675" s="4" t="str">
        <f>IF(OR(Копия_20206[[#This Row],[Value (in 1000 rub)]]&gt;$S$7,Копия_20206[[#This Row],[Value (in 1000 rub)]]&lt;$S$6),"outlier","not outlier")</f>
        <v>not outlier</v>
      </c>
      <c r="L1675" s="4" t="str">
        <f>IF(OR(Копия_20206[[#This Row],[Volume (in 1000 kg)]]&gt;$T$7,Копия_20206[[#This Row],[Volume (in 1000 kg)]]&lt;$T$6),"outlier","not outlier")</f>
        <v>not outlier</v>
      </c>
      <c r="M1675" s="4" t="str">
        <f>IF(OR(Копия_20206[[#This Row],[Number of stores]]&gt;$U$7,Копия_20206[[#This Row],[Number of stores]]&lt;$U$6),"outlier","not outlier")</f>
        <v>not outlier</v>
      </c>
    </row>
    <row r="1676" spans="1:13" x14ac:dyDescent="0.25">
      <c r="A1676">
        <v>2022</v>
      </c>
      <c r="B1676">
        <v>1</v>
      </c>
      <c r="C1676" s="1" t="s">
        <v>29</v>
      </c>
      <c r="D1676" s="1" t="s">
        <v>20</v>
      </c>
      <c r="E1676" s="1" t="s">
        <v>12</v>
      </c>
      <c r="F1676" s="5">
        <v>1.4654</v>
      </c>
      <c r="G1676" s="5">
        <v>261.31347099999999</v>
      </c>
      <c r="H1676" s="5">
        <v>0.58609999999999995</v>
      </c>
      <c r="I1676">
        <v>188</v>
      </c>
      <c r="J1676" s="4" t="str">
        <f>IF(OR(Копия_20206[[#This Row],[Units (in 1000)]]&gt;$R$7,Копия_20206[[#This Row],[Units (in 1000)]]&lt;$R$6),"outlier","not outlier")</f>
        <v>not outlier</v>
      </c>
      <c r="K1676" s="4" t="str">
        <f>IF(OR(Копия_20206[[#This Row],[Value (in 1000 rub)]]&gt;$S$7,Копия_20206[[#This Row],[Value (in 1000 rub)]]&lt;$S$6),"outlier","not outlier")</f>
        <v>not outlier</v>
      </c>
      <c r="L1676" s="4" t="str">
        <f>IF(OR(Копия_20206[[#This Row],[Volume (in 1000 kg)]]&gt;$T$7,Копия_20206[[#This Row],[Volume (in 1000 kg)]]&lt;$T$6),"outlier","not outlier")</f>
        <v>not outlier</v>
      </c>
      <c r="M1676" s="4" t="str">
        <f>IF(OR(Копия_20206[[#This Row],[Number of stores]]&gt;$U$7,Копия_20206[[#This Row],[Number of stores]]&lt;$U$6),"outlier","not outlier")</f>
        <v>not outlier</v>
      </c>
    </row>
    <row r="1677" spans="1:13" x14ac:dyDescent="0.25">
      <c r="A1677">
        <v>2022</v>
      </c>
      <c r="B1677">
        <v>2</v>
      </c>
      <c r="C1677" s="1" t="s">
        <v>8</v>
      </c>
      <c r="D1677" s="1" t="s">
        <v>20</v>
      </c>
      <c r="E1677" s="1" t="s">
        <v>21</v>
      </c>
      <c r="F1677" s="5">
        <v>9.2999999999999992E-3</v>
      </c>
      <c r="G1677" s="5">
        <v>2.9506860000000001</v>
      </c>
      <c r="H1677" s="5">
        <v>2.7000000000000001E-3</v>
      </c>
      <c r="I1677">
        <v>7</v>
      </c>
      <c r="J1677" s="4" t="str">
        <f>IF(OR(Копия_20206[[#This Row],[Units (in 1000)]]&gt;$R$7,Копия_20206[[#This Row],[Units (in 1000)]]&lt;$R$6),"outlier","not outlier")</f>
        <v>not outlier</v>
      </c>
      <c r="K1677" s="4" t="str">
        <f>IF(OR(Копия_20206[[#This Row],[Value (in 1000 rub)]]&gt;$S$7,Копия_20206[[#This Row],[Value (in 1000 rub)]]&lt;$S$6),"outlier","not outlier")</f>
        <v>not outlier</v>
      </c>
      <c r="L1677" s="4" t="str">
        <f>IF(OR(Копия_20206[[#This Row],[Volume (in 1000 kg)]]&gt;$T$7,Копия_20206[[#This Row],[Volume (in 1000 kg)]]&lt;$T$6),"outlier","not outlier")</f>
        <v>not outlier</v>
      </c>
      <c r="M1677" s="4" t="str">
        <f>IF(OR(Копия_20206[[#This Row],[Number of stores]]&gt;$U$7,Копия_20206[[#This Row],[Number of stores]]&lt;$U$6),"outlier","not outlier")</f>
        <v>not outlier</v>
      </c>
    </row>
    <row r="1678" spans="1:13" x14ac:dyDescent="0.25">
      <c r="A1678">
        <v>2022</v>
      </c>
      <c r="B1678">
        <v>2</v>
      </c>
      <c r="C1678" s="1" t="s">
        <v>8</v>
      </c>
      <c r="D1678" s="1" t="s">
        <v>20</v>
      </c>
      <c r="E1678" s="1" t="s">
        <v>12</v>
      </c>
      <c r="F1678" s="5">
        <v>1.6618999999999999</v>
      </c>
      <c r="G1678" s="5">
        <v>234.19879800000001</v>
      </c>
      <c r="H1678" s="5">
        <v>0.66469999999999996</v>
      </c>
      <c r="I1678">
        <v>171</v>
      </c>
      <c r="J1678" s="4" t="str">
        <f>IF(OR(Копия_20206[[#This Row],[Units (in 1000)]]&gt;$R$7,Копия_20206[[#This Row],[Units (in 1000)]]&lt;$R$6),"outlier","not outlier")</f>
        <v>not outlier</v>
      </c>
      <c r="K1678" s="4" t="str">
        <f>IF(OR(Копия_20206[[#This Row],[Value (in 1000 rub)]]&gt;$S$7,Копия_20206[[#This Row],[Value (in 1000 rub)]]&lt;$S$6),"outlier","not outlier")</f>
        <v>not outlier</v>
      </c>
      <c r="L1678" s="4" t="str">
        <f>IF(OR(Копия_20206[[#This Row],[Volume (in 1000 kg)]]&gt;$T$7,Копия_20206[[#This Row],[Volume (in 1000 kg)]]&lt;$T$6),"outlier","not outlier")</f>
        <v>not outlier</v>
      </c>
      <c r="M1678" s="4" t="str">
        <f>IF(OR(Копия_20206[[#This Row],[Number of stores]]&gt;$U$7,Копия_20206[[#This Row],[Number of stores]]&lt;$U$6),"outlier","not outlier")</f>
        <v>not outlier</v>
      </c>
    </row>
    <row r="1679" spans="1:13" x14ac:dyDescent="0.25">
      <c r="A1679">
        <v>2022</v>
      </c>
      <c r="B1679">
        <v>2</v>
      </c>
      <c r="C1679" s="1" t="s">
        <v>25</v>
      </c>
      <c r="D1679" s="1" t="s">
        <v>20</v>
      </c>
      <c r="E1679" s="1" t="s">
        <v>21</v>
      </c>
      <c r="F1679" s="5">
        <v>2E-3</v>
      </c>
      <c r="G1679" s="5">
        <v>0.90885700000000003</v>
      </c>
      <c r="H1679" s="5">
        <v>5.9999999999999995E-4</v>
      </c>
      <c r="I1679">
        <v>0</v>
      </c>
      <c r="J1679" s="4" t="str">
        <f>IF(OR(Копия_20206[[#This Row],[Units (in 1000)]]&gt;$R$7,Копия_20206[[#This Row],[Units (in 1000)]]&lt;$R$6),"outlier","not outlier")</f>
        <v>not outlier</v>
      </c>
      <c r="K1679" s="4" t="str">
        <f>IF(OR(Копия_20206[[#This Row],[Value (in 1000 rub)]]&gt;$S$7,Копия_20206[[#This Row],[Value (in 1000 rub)]]&lt;$S$6),"outlier","not outlier")</f>
        <v>not outlier</v>
      </c>
      <c r="L1679" s="4" t="str">
        <f>IF(OR(Копия_20206[[#This Row],[Volume (in 1000 kg)]]&gt;$T$7,Копия_20206[[#This Row],[Volume (in 1000 kg)]]&lt;$T$6),"outlier","not outlier")</f>
        <v>not outlier</v>
      </c>
      <c r="M1679" s="4" t="str">
        <f>IF(OR(Копия_20206[[#This Row],[Number of stores]]&gt;$U$7,Копия_20206[[#This Row],[Number of stores]]&lt;$U$6),"outlier","not outlier")</f>
        <v>not outlier</v>
      </c>
    </row>
    <row r="1680" spans="1:13" x14ac:dyDescent="0.25">
      <c r="A1680">
        <v>2022</v>
      </c>
      <c r="B1680">
        <v>2</v>
      </c>
      <c r="C1680" s="1" t="s">
        <v>25</v>
      </c>
      <c r="D1680" s="1" t="s">
        <v>20</v>
      </c>
      <c r="E1680" s="1" t="s">
        <v>35</v>
      </c>
      <c r="F1680" s="5">
        <v>4.4000000000000003E-3</v>
      </c>
      <c r="G1680" s="5">
        <v>1.373464</v>
      </c>
      <c r="H1680" s="5">
        <v>1.2999999999999999E-3</v>
      </c>
      <c r="I1680">
        <v>0</v>
      </c>
      <c r="J1680" s="4" t="str">
        <f>IF(OR(Копия_20206[[#This Row],[Units (in 1000)]]&gt;$R$7,Копия_20206[[#This Row],[Units (in 1000)]]&lt;$R$6),"outlier","not outlier")</f>
        <v>not outlier</v>
      </c>
      <c r="K1680" s="4" t="str">
        <f>IF(OR(Копия_20206[[#This Row],[Value (in 1000 rub)]]&gt;$S$7,Копия_20206[[#This Row],[Value (in 1000 rub)]]&lt;$S$6),"outlier","not outlier")</f>
        <v>not outlier</v>
      </c>
      <c r="L1680" s="4" t="str">
        <f>IF(OR(Копия_20206[[#This Row],[Volume (in 1000 kg)]]&gt;$T$7,Копия_20206[[#This Row],[Volume (in 1000 kg)]]&lt;$T$6),"outlier","not outlier")</f>
        <v>not outlier</v>
      </c>
      <c r="M1680" s="4" t="str">
        <f>IF(OR(Копия_20206[[#This Row],[Number of stores]]&gt;$U$7,Копия_20206[[#This Row],[Number of stores]]&lt;$U$6),"outlier","not outlier")</f>
        <v>not outlier</v>
      </c>
    </row>
    <row r="1681" spans="1:13" x14ac:dyDescent="0.25">
      <c r="A1681">
        <v>2022</v>
      </c>
      <c r="B1681">
        <v>2</v>
      </c>
      <c r="C1681" s="1" t="s">
        <v>25</v>
      </c>
      <c r="D1681" s="1" t="s">
        <v>20</v>
      </c>
      <c r="E1681" s="1" t="s">
        <v>12</v>
      </c>
      <c r="F1681" s="5">
        <v>1.0492999999999999</v>
      </c>
      <c r="G1681" s="5">
        <v>156.258602</v>
      </c>
      <c r="H1681" s="5">
        <v>0.41970000000000002</v>
      </c>
      <c r="I1681">
        <v>0</v>
      </c>
      <c r="J1681" s="4" t="str">
        <f>IF(OR(Копия_20206[[#This Row],[Units (in 1000)]]&gt;$R$7,Копия_20206[[#This Row],[Units (in 1000)]]&lt;$R$6),"outlier","not outlier")</f>
        <v>not outlier</v>
      </c>
      <c r="K1681" s="4" t="str">
        <f>IF(OR(Копия_20206[[#This Row],[Value (in 1000 rub)]]&gt;$S$7,Копия_20206[[#This Row],[Value (in 1000 rub)]]&lt;$S$6),"outlier","not outlier")</f>
        <v>not outlier</v>
      </c>
      <c r="L1681" s="4" t="str">
        <f>IF(OR(Копия_20206[[#This Row],[Volume (in 1000 kg)]]&gt;$T$7,Копия_20206[[#This Row],[Volume (in 1000 kg)]]&lt;$T$6),"outlier","not outlier")</f>
        <v>not outlier</v>
      </c>
      <c r="M1681" s="4" t="str">
        <f>IF(OR(Копия_20206[[#This Row],[Number of stores]]&gt;$U$7,Копия_20206[[#This Row],[Number of stores]]&lt;$U$6),"outlier","not outlier")</f>
        <v>not outlier</v>
      </c>
    </row>
    <row r="1682" spans="1:13" x14ac:dyDescent="0.25">
      <c r="A1682">
        <v>2022</v>
      </c>
      <c r="B1682">
        <v>2</v>
      </c>
      <c r="C1682" s="1" t="s">
        <v>29</v>
      </c>
      <c r="D1682" s="1" t="s">
        <v>20</v>
      </c>
      <c r="E1682" s="1" t="s">
        <v>21</v>
      </c>
      <c r="F1682" s="5">
        <v>1.14E-2</v>
      </c>
      <c r="G1682" s="5">
        <v>4.7138309999999999</v>
      </c>
      <c r="H1682" s="5">
        <v>3.2000000000000002E-3</v>
      </c>
      <c r="I1682">
        <v>5</v>
      </c>
      <c r="J1682" s="4" t="str">
        <f>IF(OR(Копия_20206[[#This Row],[Units (in 1000)]]&gt;$R$7,Копия_20206[[#This Row],[Units (in 1000)]]&lt;$R$6),"outlier","not outlier")</f>
        <v>not outlier</v>
      </c>
      <c r="K1682" s="4" t="str">
        <f>IF(OR(Копия_20206[[#This Row],[Value (in 1000 rub)]]&gt;$S$7,Копия_20206[[#This Row],[Value (in 1000 rub)]]&lt;$S$6),"outlier","not outlier")</f>
        <v>not outlier</v>
      </c>
      <c r="L1682" s="4" t="str">
        <f>IF(OR(Копия_20206[[#This Row],[Volume (in 1000 kg)]]&gt;$T$7,Копия_20206[[#This Row],[Volume (in 1000 kg)]]&lt;$T$6),"outlier","not outlier")</f>
        <v>not outlier</v>
      </c>
      <c r="M1682" s="4" t="str">
        <f>IF(OR(Копия_20206[[#This Row],[Number of stores]]&gt;$U$7,Копия_20206[[#This Row],[Number of stores]]&lt;$U$6),"outlier","not outlier")</f>
        <v>not outlier</v>
      </c>
    </row>
    <row r="1683" spans="1:13" x14ac:dyDescent="0.25">
      <c r="A1683">
        <v>2022</v>
      </c>
      <c r="B1683">
        <v>2</v>
      </c>
      <c r="C1683" s="1" t="s">
        <v>29</v>
      </c>
      <c r="D1683" s="1" t="s">
        <v>20</v>
      </c>
      <c r="E1683" s="1" t="s">
        <v>35</v>
      </c>
      <c r="F1683" s="5">
        <v>7.7000000000000002E-3</v>
      </c>
      <c r="G1683" s="5">
        <v>2.390466</v>
      </c>
      <c r="H1683" s="5">
        <v>2.3E-3</v>
      </c>
      <c r="I1683">
        <v>7</v>
      </c>
      <c r="J1683" s="4" t="str">
        <f>IF(OR(Копия_20206[[#This Row],[Units (in 1000)]]&gt;$R$7,Копия_20206[[#This Row],[Units (in 1000)]]&lt;$R$6),"outlier","not outlier")</f>
        <v>not outlier</v>
      </c>
      <c r="K1683" s="4" t="str">
        <f>IF(OR(Копия_20206[[#This Row],[Value (in 1000 rub)]]&gt;$S$7,Копия_20206[[#This Row],[Value (in 1000 rub)]]&lt;$S$6),"outlier","not outlier")</f>
        <v>not outlier</v>
      </c>
      <c r="L1683" s="4" t="str">
        <f>IF(OR(Копия_20206[[#This Row],[Volume (in 1000 kg)]]&gt;$T$7,Копия_20206[[#This Row],[Volume (in 1000 kg)]]&lt;$T$6),"outlier","not outlier")</f>
        <v>not outlier</v>
      </c>
      <c r="M1683" s="4" t="str">
        <f>IF(OR(Копия_20206[[#This Row],[Number of stores]]&gt;$U$7,Копия_20206[[#This Row],[Number of stores]]&lt;$U$6),"outlier","not outlier")</f>
        <v>not outlier</v>
      </c>
    </row>
    <row r="1684" spans="1:13" x14ac:dyDescent="0.25">
      <c r="A1684">
        <v>2022</v>
      </c>
      <c r="B1684">
        <v>2</v>
      </c>
      <c r="C1684" s="1" t="s">
        <v>29</v>
      </c>
      <c r="D1684" s="1" t="s">
        <v>20</v>
      </c>
      <c r="E1684" s="1" t="s">
        <v>12</v>
      </c>
      <c r="F1684" s="5">
        <v>3.7361</v>
      </c>
      <c r="G1684" s="5">
        <v>756.53332899999998</v>
      </c>
      <c r="H1684" s="5">
        <v>1.4944999999999999</v>
      </c>
      <c r="I1684">
        <v>411</v>
      </c>
      <c r="J1684" s="4" t="str">
        <f>IF(OR(Копия_20206[[#This Row],[Units (in 1000)]]&gt;$R$7,Копия_20206[[#This Row],[Units (in 1000)]]&lt;$R$6),"outlier","not outlier")</f>
        <v>not outlier</v>
      </c>
      <c r="K1684" s="4" t="str">
        <f>IF(OR(Копия_20206[[#This Row],[Value (in 1000 rub)]]&gt;$S$7,Копия_20206[[#This Row],[Value (in 1000 rub)]]&lt;$S$6),"outlier","not outlier")</f>
        <v>not outlier</v>
      </c>
      <c r="L1684" s="4" t="str">
        <f>IF(OR(Копия_20206[[#This Row],[Volume (in 1000 kg)]]&gt;$T$7,Копия_20206[[#This Row],[Volume (in 1000 kg)]]&lt;$T$6),"outlier","not outlier")</f>
        <v>not outlier</v>
      </c>
      <c r="M1684" s="4" t="str">
        <f>IF(OR(Копия_20206[[#This Row],[Number of stores]]&gt;$U$7,Копия_20206[[#This Row],[Number of stores]]&lt;$U$6),"outlier","not outlier")</f>
        <v>not outlier</v>
      </c>
    </row>
    <row r="1685" spans="1:13" x14ac:dyDescent="0.25">
      <c r="A1685">
        <v>2022</v>
      </c>
      <c r="B1685">
        <v>3</v>
      </c>
      <c r="C1685" s="1" t="s">
        <v>8</v>
      </c>
      <c r="D1685" s="1" t="s">
        <v>20</v>
      </c>
      <c r="E1685" s="1" t="s">
        <v>21</v>
      </c>
      <c r="F1685" s="5">
        <v>1.35E-2</v>
      </c>
      <c r="G1685" s="5">
        <v>4.1804649999999999</v>
      </c>
      <c r="H1685" s="5">
        <v>3.8E-3</v>
      </c>
      <c r="I1685">
        <v>8</v>
      </c>
      <c r="J1685" s="4" t="str">
        <f>IF(OR(Копия_20206[[#This Row],[Units (in 1000)]]&gt;$R$7,Копия_20206[[#This Row],[Units (in 1000)]]&lt;$R$6),"outlier","not outlier")</f>
        <v>not outlier</v>
      </c>
      <c r="K1685" s="4" t="str">
        <f>IF(OR(Копия_20206[[#This Row],[Value (in 1000 rub)]]&gt;$S$7,Копия_20206[[#This Row],[Value (in 1000 rub)]]&lt;$S$6),"outlier","not outlier")</f>
        <v>not outlier</v>
      </c>
      <c r="L1685" s="4" t="str">
        <f>IF(OR(Копия_20206[[#This Row],[Volume (in 1000 kg)]]&gt;$T$7,Копия_20206[[#This Row],[Volume (in 1000 kg)]]&lt;$T$6),"outlier","not outlier")</f>
        <v>not outlier</v>
      </c>
      <c r="M1685" s="4" t="str">
        <f>IF(OR(Копия_20206[[#This Row],[Number of stores]]&gt;$U$7,Копия_20206[[#This Row],[Number of stores]]&lt;$U$6),"outlier","not outlier")</f>
        <v>not outlier</v>
      </c>
    </row>
    <row r="1686" spans="1:13" x14ac:dyDescent="0.25">
      <c r="A1686">
        <v>2022</v>
      </c>
      <c r="B1686">
        <v>3</v>
      </c>
      <c r="C1686" s="1" t="s">
        <v>8</v>
      </c>
      <c r="D1686" s="1" t="s">
        <v>20</v>
      </c>
      <c r="E1686" s="1" t="s">
        <v>12</v>
      </c>
      <c r="F1686" s="5">
        <v>2.2989999999999999</v>
      </c>
      <c r="G1686" s="5">
        <v>346.64095800000001</v>
      </c>
      <c r="H1686" s="5">
        <v>0.91959999999999997</v>
      </c>
      <c r="I1686">
        <v>169</v>
      </c>
      <c r="J1686" s="4" t="str">
        <f>IF(OR(Копия_20206[[#This Row],[Units (in 1000)]]&gt;$R$7,Копия_20206[[#This Row],[Units (in 1000)]]&lt;$R$6),"outlier","not outlier")</f>
        <v>not outlier</v>
      </c>
      <c r="K1686" s="4" t="str">
        <f>IF(OR(Копия_20206[[#This Row],[Value (in 1000 rub)]]&gt;$S$7,Копия_20206[[#This Row],[Value (in 1000 rub)]]&lt;$S$6),"outlier","not outlier")</f>
        <v>not outlier</v>
      </c>
      <c r="L1686" s="4" t="str">
        <f>IF(OR(Копия_20206[[#This Row],[Volume (in 1000 kg)]]&gt;$T$7,Копия_20206[[#This Row],[Volume (in 1000 kg)]]&lt;$T$6),"outlier","not outlier")</f>
        <v>not outlier</v>
      </c>
      <c r="M1686" s="4" t="str">
        <f>IF(OR(Копия_20206[[#This Row],[Number of stores]]&gt;$U$7,Копия_20206[[#This Row],[Number of stores]]&lt;$U$6),"outlier","not outlier")</f>
        <v>not outlier</v>
      </c>
    </row>
    <row r="1687" spans="1:13" x14ac:dyDescent="0.25">
      <c r="A1687">
        <v>2022</v>
      </c>
      <c r="B1687">
        <v>3</v>
      </c>
      <c r="C1687" s="1" t="s">
        <v>25</v>
      </c>
      <c r="D1687" s="1" t="s">
        <v>20</v>
      </c>
      <c r="E1687" s="1" t="s">
        <v>21</v>
      </c>
      <c r="F1687" s="5">
        <v>1.2999999999999999E-3</v>
      </c>
      <c r="G1687" s="5">
        <v>0.48920599999999997</v>
      </c>
      <c r="H1687" s="5">
        <v>4.0000000000000002E-4</v>
      </c>
      <c r="I1687">
        <v>3</v>
      </c>
      <c r="J1687" s="4" t="str">
        <f>IF(OR(Копия_20206[[#This Row],[Units (in 1000)]]&gt;$R$7,Копия_20206[[#This Row],[Units (in 1000)]]&lt;$R$6),"outlier","not outlier")</f>
        <v>not outlier</v>
      </c>
      <c r="K1687" s="4" t="str">
        <f>IF(OR(Копия_20206[[#This Row],[Value (in 1000 rub)]]&gt;$S$7,Копия_20206[[#This Row],[Value (in 1000 rub)]]&lt;$S$6),"outlier","not outlier")</f>
        <v>not outlier</v>
      </c>
      <c r="L1687" s="4" t="str">
        <f>IF(OR(Копия_20206[[#This Row],[Volume (in 1000 kg)]]&gt;$T$7,Копия_20206[[#This Row],[Volume (in 1000 kg)]]&lt;$T$6),"outlier","not outlier")</f>
        <v>not outlier</v>
      </c>
      <c r="M1687" s="4" t="str">
        <f>IF(OR(Копия_20206[[#This Row],[Number of stores]]&gt;$U$7,Копия_20206[[#This Row],[Number of stores]]&lt;$U$6),"outlier","not outlier")</f>
        <v>not outlier</v>
      </c>
    </row>
    <row r="1688" spans="1:13" x14ac:dyDescent="0.25">
      <c r="A1688">
        <v>2022</v>
      </c>
      <c r="B1688">
        <v>3</v>
      </c>
      <c r="C1688" s="1" t="s">
        <v>25</v>
      </c>
      <c r="D1688" s="1" t="s">
        <v>20</v>
      </c>
      <c r="E1688" s="1" t="s">
        <v>35</v>
      </c>
      <c r="F1688" s="5">
        <v>6.1999999999999998E-3</v>
      </c>
      <c r="G1688" s="5">
        <v>1.9124000000000001</v>
      </c>
      <c r="H1688" s="5">
        <v>1.9E-3</v>
      </c>
      <c r="I1688">
        <v>5</v>
      </c>
      <c r="J1688" s="4" t="str">
        <f>IF(OR(Копия_20206[[#This Row],[Units (in 1000)]]&gt;$R$7,Копия_20206[[#This Row],[Units (in 1000)]]&lt;$R$6),"outlier","not outlier")</f>
        <v>not outlier</v>
      </c>
      <c r="K1688" s="4" t="str">
        <f>IF(OR(Копия_20206[[#This Row],[Value (in 1000 rub)]]&gt;$S$7,Копия_20206[[#This Row],[Value (in 1000 rub)]]&lt;$S$6),"outlier","not outlier")</f>
        <v>not outlier</v>
      </c>
      <c r="L1688" s="4" t="str">
        <f>IF(OR(Копия_20206[[#This Row],[Volume (in 1000 kg)]]&gt;$T$7,Копия_20206[[#This Row],[Volume (in 1000 kg)]]&lt;$T$6),"outlier","not outlier")</f>
        <v>not outlier</v>
      </c>
      <c r="M1688" s="4" t="str">
        <f>IF(OR(Копия_20206[[#This Row],[Number of stores]]&gt;$U$7,Копия_20206[[#This Row],[Number of stores]]&lt;$U$6),"outlier","not outlier")</f>
        <v>not outlier</v>
      </c>
    </row>
    <row r="1689" spans="1:13" x14ac:dyDescent="0.25">
      <c r="A1689">
        <v>2022</v>
      </c>
      <c r="B1689">
        <v>3</v>
      </c>
      <c r="C1689" s="1" t="s">
        <v>25</v>
      </c>
      <c r="D1689" s="1" t="s">
        <v>20</v>
      </c>
      <c r="E1689" s="1" t="s">
        <v>12</v>
      </c>
      <c r="F1689" s="5">
        <v>1.2257</v>
      </c>
      <c r="G1689" s="5">
        <v>191.38331299999999</v>
      </c>
      <c r="H1689" s="5">
        <v>0.4904</v>
      </c>
      <c r="I1689">
        <v>385</v>
      </c>
      <c r="J1689" s="4" t="str">
        <f>IF(OR(Копия_20206[[#This Row],[Units (in 1000)]]&gt;$R$7,Копия_20206[[#This Row],[Units (in 1000)]]&lt;$R$6),"outlier","not outlier")</f>
        <v>not outlier</v>
      </c>
      <c r="K1689" s="4" t="str">
        <f>IF(OR(Копия_20206[[#This Row],[Value (in 1000 rub)]]&gt;$S$7,Копия_20206[[#This Row],[Value (in 1000 rub)]]&lt;$S$6),"outlier","not outlier")</f>
        <v>not outlier</v>
      </c>
      <c r="L1689" s="4" t="str">
        <f>IF(OR(Копия_20206[[#This Row],[Volume (in 1000 kg)]]&gt;$T$7,Копия_20206[[#This Row],[Volume (in 1000 kg)]]&lt;$T$6),"outlier","not outlier")</f>
        <v>not outlier</v>
      </c>
      <c r="M1689" s="4" t="str">
        <f>IF(OR(Копия_20206[[#This Row],[Number of stores]]&gt;$U$7,Копия_20206[[#This Row],[Number of stores]]&lt;$U$6),"outlier","not outlier")</f>
        <v>not outlier</v>
      </c>
    </row>
    <row r="1690" spans="1:13" x14ac:dyDescent="0.25">
      <c r="A1690">
        <v>2022</v>
      </c>
      <c r="B1690">
        <v>3</v>
      </c>
      <c r="C1690" s="1" t="s">
        <v>29</v>
      </c>
      <c r="D1690" s="1" t="s">
        <v>20</v>
      </c>
      <c r="E1690" s="1" t="s">
        <v>21</v>
      </c>
      <c r="F1690" s="5">
        <v>9.7000000000000003E-3</v>
      </c>
      <c r="G1690" s="5">
        <v>3.9300929999999998</v>
      </c>
      <c r="H1690" s="5">
        <v>2.7000000000000001E-3</v>
      </c>
      <c r="I1690">
        <v>8</v>
      </c>
      <c r="J1690" s="4" t="str">
        <f>IF(OR(Копия_20206[[#This Row],[Units (in 1000)]]&gt;$R$7,Копия_20206[[#This Row],[Units (in 1000)]]&lt;$R$6),"outlier","not outlier")</f>
        <v>not outlier</v>
      </c>
      <c r="K1690" s="4" t="str">
        <f>IF(OR(Копия_20206[[#This Row],[Value (in 1000 rub)]]&gt;$S$7,Копия_20206[[#This Row],[Value (in 1000 rub)]]&lt;$S$6),"outlier","not outlier")</f>
        <v>not outlier</v>
      </c>
      <c r="L1690" s="4" t="str">
        <f>IF(OR(Копия_20206[[#This Row],[Volume (in 1000 kg)]]&gt;$T$7,Копия_20206[[#This Row],[Volume (in 1000 kg)]]&lt;$T$6),"outlier","not outlier")</f>
        <v>not outlier</v>
      </c>
      <c r="M1690" s="4" t="str">
        <f>IF(OR(Копия_20206[[#This Row],[Number of stores]]&gt;$U$7,Копия_20206[[#This Row],[Number of stores]]&lt;$U$6),"outlier","not outlier")</f>
        <v>not outlier</v>
      </c>
    </row>
    <row r="1691" spans="1:13" x14ac:dyDescent="0.25">
      <c r="A1691">
        <v>2022</v>
      </c>
      <c r="B1691">
        <v>3</v>
      </c>
      <c r="C1691" s="1" t="s">
        <v>29</v>
      </c>
      <c r="D1691" s="1" t="s">
        <v>20</v>
      </c>
      <c r="E1691" s="1" t="s">
        <v>35</v>
      </c>
      <c r="F1691" s="5">
        <v>4.2999999999999997E-2</v>
      </c>
      <c r="G1691" s="5">
        <v>13.459402000000001</v>
      </c>
      <c r="H1691" s="5">
        <v>1.29E-2</v>
      </c>
      <c r="I1691">
        <v>15</v>
      </c>
      <c r="J1691" s="4" t="str">
        <f>IF(OR(Копия_20206[[#This Row],[Units (in 1000)]]&gt;$R$7,Копия_20206[[#This Row],[Units (in 1000)]]&lt;$R$6),"outlier","not outlier")</f>
        <v>not outlier</v>
      </c>
      <c r="K1691" s="4" t="str">
        <f>IF(OR(Копия_20206[[#This Row],[Value (in 1000 rub)]]&gt;$S$7,Копия_20206[[#This Row],[Value (in 1000 rub)]]&lt;$S$6),"outlier","not outlier")</f>
        <v>not outlier</v>
      </c>
      <c r="L1691" s="4" t="str">
        <f>IF(OR(Копия_20206[[#This Row],[Volume (in 1000 kg)]]&gt;$T$7,Копия_20206[[#This Row],[Volume (in 1000 kg)]]&lt;$T$6),"outlier","not outlier")</f>
        <v>not outlier</v>
      </c>
      <c r="M1691" s="4" t="str">
        <f>IF(OR(Копия_20206[[#This Row],[Number of stores]]&gt;$U$7,Копия_20206[[#This Row],[Number of stores]]&lt;$U$6),"outlier","not outlier")</f>
        <v>not outlier</v>
      </c>
    </row>
    <row r="1692" spans="1:13" x14ac:dyDescent="0.25">
      <c r="A1692">
        <v>2022</v>
      </c>
      <c r="B1692">
        <v>3</v>
      </c>
      <c r="C1692" s="1" t="s">
        <v>29</v>
      </c>
      <c r="D1692" s="1" t="s">
        <v>20</v>
      </c>
      <c r="E1692" s="1" t="s">
        <v>12</v>
      </c>
      <c r="F1692" s="5">
        <v>4.5225</v>
      </c>
      <c r="G1692" s="5">
        <v>1072.6836410000001</v>
      </c>
      <c r="H1692" s="5">
        <v>1.8089999999999999</v>
      </c>
      <c r="I1692">
        <v>470</v>
      </c>
      <c r="J1692" s="4" t="str">
        <f>IF(OR(Копия_20206[[#This Row],[Units (in 1000)]]&gt;$R$7,Копия_20206[[#This Row],[Units (in 1000)]]&lt;$R$6),"outlier","not outlier")</f>
        <v>not outlier</v>
      </c>
      <c r="K1692" s="4" t="str">
        <f>IF(OR(Копия_20206[[#This Row],[Value (in 1000 rub)]]&gt;$S$7,Копия_20206[[#This Row],[Value (in 1000 rub)]]&lt;$S$6),"outlier","not outlier")</f>
        <v>not outlier</v>
      </c>
      <c r="L1692" s="4" t="str">
        <f>IF(OR(Копия_20206[[#This Row],[Volume (in 1000 kg)]]&gt;$T$7,Копия_20206[[#This Row],[Volume (in 1000 kg)]]&lt;$T$6),"outlier","not outlier")</f>
        <v>not outlier</v>
      </c>
      <c r="M1692" s="4" t="str">
        <f>IF(OR(Копия_20206[[#This Row],[Number of stores]]&gt;$U$7,Копия_20206[[#This Row],[Number of stores]]&lt;$U$6),"outlier","not outlier")</f>
        <v>not outlier</v>
      </c>
    </row>
    <row r="1693" spans="1:13" x14ac:dyDescent="0.25">
      <c r="A1693">
        <v>2022</v>
      </c>
      <c r="B1693">
        <v>4</v>
      </c>
      <c r="C1693" s="1" t="s">
        <v>8</v>
      </c>
      <c r="D1693" s="1" t="s">
        <v>20</v>
      </c>
      <c r="E1693" s="1" t="s">
        <v>21</v>
      </c>
      <c r="F1693" s="5">
        <v>1.26E-2</v>
      </c>
      <c r="G1693" s="5">
        <v>3.8186330000000002</v>
      </c>
      <c r="H1693" s="5">
        <v>3.5000000000000001E-3</v>
      </c>
      <c r="I1693">
        <v>7</v>
      </c>
      <c r="J1693" s="4" t="str">
        <f>IF(OR(Копия_20206[[#This Row],[Units (in 1000)]]&gt;$R$7,Копия_20206[[#This Row],[Units (in 1000)]]&lt;$R$6),"outlier","not outlier")</f>
        <v>not outlier</v>
      </c>
      <c r="K1693" s="4" t="str">
        <f>IF(OR(Копия_20206[[#This Row],[Value (in 1000 rub)]]&gt;$S$7,Копия_20206[[#This Row],[Value (in 1000 rub)]]&lt;$S$6),"outlier","not outlier")</f>
        <v>not outlier</v>
      </c>
      <c r="L1693" s="4" t="str">
        <f>IF(OR(Копия_20206[[#This Row],[Volume (in 1000 kg)]]&gt;$T$7,Копия_20206[[#This Row],[Volume (in 1000 kg)]]&lt;$T$6),"outlier","not outlier")</f>
        <v>not outlier</v>
      </c>
      <c r="M1693" s="4" t="str">
        <f>IF(OR(Копия_20206[[#This Row],[Number of stores]]&gt;$U$7,Копия_20206[[#This Row],[Number of stores]]&lt;$U$6),"outlier","not outlier")</f>
        <v>not outlier</v>
      </c>
    </row>
    <row r="1694" spans="1:13" x14ac:dyDescent="0.25">
      <c r="A1694">
        <v>2022</v>
      </c>
      <c r="B1694">
        <v>4</v>
      </c>
      <c r="C1694" s="1" t="s">
        <v>8</v>
      </c>
      <c r="D1694" s="1" t="s">
        <v>20</v>
      </c>
      <c r="E1694" s="1" t="s">
        <v>12</v>
      </c>
      <c r="F1694" s="5">
        <v>2.839</v>
      </c>
      <c r="G1694" s="5">
        <v>475.48093999999998</v>
      </c>
      <c r="H1694" s="5">
        <v>1.1355999999999999</v>
      </c>
      <c r="I1694">
        <v>163</v>
      </c>
      <c r="J1694" s="4" t="str">
        <f>IF(OR(Копия_20206[[#This Row],[Units (in 1000)]]&gt;$R$7,Копия_20206[[#This Row],[Units (in 1000)]]&lt;$R$6),"outlier","not outlier")</f>
        <v>not outlier</v>
      </c>
      <c r="K1694" s="4" t="str">
        <f>IF(OR(Копия_20206[[#This Row],[Value (in 1000 rub)]]&gt;$S$7,Копия_20206[[#This Row],[Value (in 1000 rub)]]&lt;$S$6),"outlier","not outlier")</f>
        <v>not outlier</v>
      </c>
      <c r="L1694" s="4" t="str">
        <f>IF(OR(Копия_20206[[#This Row],[Volume (in 1000 kg)]]&gt;$T$7,Копия_20206[[#This Row],[Volume (in 1000 kg)]]&lt;$T$6),"outlier","not outlier")</f>
        <v>not outlier</v>
      </c>
      <c r="M1694" s="4" t="str">
        <f>IF(OR(Копия_20206[[#This Row],[Number of stores]]&gt;$U$7,Копия_20206[[#This Row],[Number of stores]]&lt;$U$6),"outlier","not outlier")</f>
        <v>not outlier</v>
      </c>
    </row>
    <row r="1695" spans="1:13" x14ac:dyDescent="0.25">
      <c r="A1695">
        <v>2022</v>
      </c>
      <c r="B1695">
        <v>4</v>
      </c>
      <c r="C1695" s="1" t="s">
        <v>25</v>
      </c>
      <c r="D1695" s="1" t="s">
        <v>20</v>
      </c>
      <c r="E1695" s="1" t="s">
        <v>21</v>
      </c>
      <c r="F1695" s="5">
        <v>2E-3</v>
      </c>
      <c r="G1695" s="5">
        <v>0.89559599999999995</v>
      </c>
      <c r="H1695" s="5">
        <v>5.9999999999999995E-4</v>
      </c>
      <c r="I1695">
        <v>2</v>
      </c>
      <c r="J1695" s="4" t="str">
        <f>IF(OR(Копия_20206[[#This Row],[Units (in 1000)]]&gt;$R$7,Копия_20206[[#This Row],[Units (in 1000)]]&lt;$R$6),"outlier","not outlier")</f>
        <v>not outlier</v>
      </c>
      <c r="K1695" s="4" t="str">
        <f>IF(OR(Копия_20206[[#This Row],[Value (in 1000 rub)]]&gt;$S$7,Копия_20206[[#This Row],[Value (in 1000 rub)]]&lt;$S$6),"outlier","not outlier")</f>
        <v>not outlier</v>
      </c>
      <c r="L1695" s="4" t="str">
        <f>IF(OR(Копия_20206[[#This Row],[Volume (in 1000 kg)]]&gt;$T$7,Копия_20206[[#This Row],[Volume (in 1000 kg)]]&lt;$T$6),"outlier","not outlier")</f>
        <v>not outlier</v>
      </c>
      <c r="M1695" s="4" t="str">
        <f>IF(OR(Копия_20206[[#This Row],[Number of stores]]&gt;$U$7,Копия_20206[[#This Row],[Number of stores]]&lt;$U$6),"outlier","not outlier")</f>
        <v>not outlier</v>
      </c>
    </row>
    <row r="1696" spans="1:13" x14ac:dyDescent="0.25">
      <c r="A1696">
        <v>2022</v>
      </c>
      <c r="B1696">
        <v>4</v>
      </c>
      <c r="C1696" s="1" t="s">
        <v>25</v>
      </c>
      <c r="D1696" s="1" t="s">
        <v>20</v>
      </c>
      <c r="E1696" s="1" t="s">
        <v>35</v>
      </c>
      <c r="F1696" s="5">
        <v>6.9999999999999999E-4</v>
      </c>
      <c r="G1696" s="5">
        <v>0.238702</v>
      </c>
      <c r="H1696" s="5">
        <v>2.0000000000000001E-4</v>
      </c>
      <c r="I1696">
        <v>2</v>
      </c>
      <c r="J1696" s="4" t="str">
        <f>IF(OR(Копия_20206[[#This Row],[Units (in 1000)]]&gt;$R$7,Копия_20206[[#This Row],[Units (in 1000)]]&lt;$R$6),"outlier","not outlier")</f>
        <v>not outlier</v>
      </c>
      <c r="K1696" s="4" t="str">
        <f>IF(OR(Копия_20206[[#This Row],[Value (in 1000 rub)]]&gt;$S$7,Копия_20206[[#This Row],[Value (in 1000 rub)]]&lt;$S$6),"outlier","not outlier")</f>
        <v>not outlier</v>
      </c>
      <c r="L1696" s="4" t="str">
        <f>IF(OR(Копия_20206[[#This Row],[Volume (in 1000 kg)]]&gt;$T$7,Копия_20206[[#This Row],[Volume (in 1000 kg)]]&lt;$T$6),"outlier","not outlier")</f>
        <v>not outlier</v>
      </c>
      <c r="M1696" s="4" t="str">
        <f>IF(OR(Копия_20206[[#This Row],[Number of stores]]&gt;$U$7,Копия_20206[[#This Row],[Number of stores]]&lt;$U$6),"outlier","not outlier")</f>
        <v>not outlier</v>
      </c>
    </row>
    <row r="1697" spans="1:13" x14ac:dyDescent="0.25">
      <c r="A1697">
        <v>2022</v>
      </c>
      <c r="B1697">
        <v>4</v>
      </c>
      <c r="C1697" s="1" t="s">
        <v>25</v>
      </c>
      <c r="D1697" s="1" t="s">
        <v>20</v>
      </c>
      <c r="E1697" s="1" t="s">
        <v>12</v>
      </c>
      <c r="F1697" s="5">
        <v>1.2879</v>
      </c>
      <c r="G1697" s="5">
        <v>227.064729</v>
      </c>
      <c r="H1697" s="5">
        <v>0.51519999999999999</v>
      </c>
      <c r="I1697">
        <v>388</v>
      </c>
      <c r="J1697" s="4" t="str">
        <f>IF(OR(Копия_20206[[#This Row],[Units (in 1000)]]&gt;$R$7,Копия_20206[[#This Row],[Units (in 1000)]]&lt;$R$6),"outlier","not outlier")</f>
        <v>not outlier</v>
      </c>
      <c r="K1697" s="4" t="str">
        <f>IF(OR(Копия_20206[[#This Row],[Value (in 1000 rub)]]&gt;$S$7,Копия_20206[[#This Row],[Value (in 1000 rub)]]&lt;$S$6),"outlier","not outlier")</f>
        <v>not outlier</v>
      </c>
      <c r="L1697" s="4" t="str">
        <f>IF(OR(Копия_20206[[#This Row],[Volume (in 1000 kg)]]&gt;$T$7,Копия_20206[[#This Row],[Volume (in 1000 kg)]]&lt;$T$6),"outlier","not outlier")</f>
        <v>not outlier</v>
      </c>
      <c r="M1697" s="4" t="str">
        <f>IF(OR(Копия_20206[[#This Row],[Number of stores]]&gt;$U$7,Копия_20206[[#This Row],[Number of stores]]&lt;$U$6),"outlier","not outlier")</f>
        <v>not outlier</v>
      </c>
    </row>
    <row r="1698" spans="1:13" x14ac:dyDescent="0.25">
      <c r="A1698">
        <v>2022</v>
      </c>
      <c r="B1698">
        <v>4</v>
      </c>
      <c r="C1698" s="1" t="s">
        <v>29</v>
      </c>
      <c r="D1698" s="1" t="s">
        <v>20</v>
      </c>
      <c r="E1698" s="1" t="s">
        <v>21</v>
      </c>
      <c r="F1698" s="5">
        <v>5.1999999999999998E-3</v>
      </c>
      <c r="G1698" s="5">
        <v>2.054427</v>
      </c>
      <c r="H1698" s="5">
        <v>1.4E-3</v>
      </c>
      <c r="I1698">
        <v>4</v>
      </c>
      <c r="J1698" s="4" t="str">
        <f>IF(OR(Копия_20206[[#This Row],[Units (in 1000)]]&gt;$R$7,Копия_20206[[#This Row],[Units (in 1000)]]&lt;$R$6),"outlier","not outlier")</f>
        <v>not outlier</v>
      </c>
      <c r="K1698" s="4" t="str">
        <f>IF(OR(Копия_20206[[#This Row],[Value (in 1000 rub)]]&gt;$S$7,Копия_20206[[#This Row],[Value (in 1000 rub)]]&lt;$S$6),"outlier","not outlier")</f>
        <v>not outlier</v>
      </c>
      <c r="L1698" s="4" t="str">
        <f>IF(OR(Копия_20206[[#This Row],[Volume (in 1000 kg)]]&gt;$T$7,Копия_20206[[#This Row],[Volume (in 1000 kg)]]&lt;$T$6),"outlier","not outlier")</f>
        <v>not outlier</v>
      </c>
      <c r="M1698" s="4" t="str">
        <f>IF(OR(Копия_20206[[#This Row],[Number of stores]]&gt;$U$7,Копия_20206[[#This Row],[Number of stores]]&lt;$U$6),"outlier","not outlier")</f>
        <v>not outlier</v>
      </c>
    </row>
    <row r="1699" spans="1:13" x14ac:dyDescent="0.25">
      <c r="A1699">
        <v>2022</v>
      </c>
      <c r="B1699">
        <v>4</v>
      </c>
      <c r="C1699" s="1" t="s">
        <v>29</v>
      </c>
      <c r="D1699" s="1" t="s">
        <v>20</v>
      </c>
      <c r="E1699" s="1" t="s">
        <v>35</v>
      </c>
      <c r="F1699" s="5">
        <v>7.7299999999999994E-2</v>
      </c>
      <c r="G1699" s="5">
        <v>23.693545</v>
      </c>
      <c r="H1699" s="5">
        <v>2.3199999999999998E-2</v>
      </c>
      <c r="I1699">
        <v>28</v>
      </c>
      <c r="J1699" s="4" t="str">
        <f>IF(OR(Копия_20206[[#This Row],[Units (in 1000)]]&gt;$R$7,Копия_20206[[#This Row],[Units (in 1000)]]&lt;$R$6),"outlier","not outlier")</f>
        <v>not outlier</v>
      </c>
      <c r="K1699" s="4" t="str">
        <f>IF(OR(Копия_20206[[#This Row],[Value (in 1000 rub)]]&gt;$S$7,Копия_20206[[#This Row],[Value (in 1000 rub)]]&lt;$S$6),"outlier","not outlier")</f>
        <v>not outlier</v>
      </c>
      <c r="L1699" s="4" t="str">
        <f>IF(OR(Копия_20206[[#This Row],[Volume (in 1000 kg)]]&gt;$T$7,Копия_20206[[#This Row],[Volume (in 1000 kg)]]&lt;$T$6),"outlier","not outlier")</f>
        <v>not outlier</v>
      </c>
      <c r="M1699" s="4" t="str">
        <f>IF(OR(Копия_20206[[#This Row],[Number of stores]]&gt;$U$7,Копия_20206[[#This Row],[Number of stores]]&lt;$U$6),"outlier","not outlier")</f>
        <v>not outlier</v>
      </c>
    </row>
    <row r="1700" spans="1:13" x14ac:dyDescent="0.25">
      <c r="A1700">
        <v>2022</v>
      </c>
      <c r="B1700">
        <v>4</v>
      </c>
      <c r="C1700" s="1" t="s">
        <v>29</v>
      </c>
      <c r="D1700" s="1" t="s">
        <v>20</v>
      </c>
      <c r="E1700" s="1" t="s">
        <v>12</v>
      </c>
      <c r="F1700" s="5">
        <v>4.3506999999999998</v>
      </c>
      <c r="G1700" s="5">
        <v>1098.9411749999999</v>
      </c>
      <c r="H1700" s="5">
        <v>1.7402</v>
      </c>
      <c r="I1700">
        <v>426</v>
      </c>
      <c r="J1700" s="4" t="str">
        <f>IF(OR(Копия_20206[[#This Row],[Units (in 1000)]]&gt;$R$7,Копия_20206[[#This Row],[Units (in 1000)]]&lt;$R$6),"outlier","not outlier")</f>
        <v>not outlier</v>
      </c>
      <c r="K1700" s="4" t="str">
        <f>IF(OR(Копия_20206[[#This Row],[Value (in 1000 rub)]]&gt;$S$7,Копия_20206[[#This Row],[Value (in 1000 rub)]]&lt;$S$6),"outlier","not outlier")</f>
        <v>not outlier</v>
      </c>
      <c r="L1700" s="4" t="str">
        <f>IF(OR(Копия_20206[[#This Row],[Volume (in 1000 kg)]]&gt;$T$7,Копия_20206[[#This Row],[Volume (in 1000 kg)]]&lt;$T$6),"outlier","not outlier")</f>
        <v>not outlier</v>
      </c>
      <c r="M1700" s="4" t="str">
        <f>IF(OR(Копия_20206[[#This Row],[Number of stores]]&gt;$U$7,Копия_20206[[#This Row],[Number of stores]]&lt;$U$6),"outlier","not outlier")</f>
        <v>not outlier</v>
      </c>
    </row>
    <row r="1701" spans="1:13" x14ac:dyDescent="0.25">
      <c r="A1701">
        <v>2022</v>
      </c>
      <c r="B1701">
        <v>5</v>
      </c>
      <c r="C1701" s="1" t="s">
        <v>8</v>
      </c>
      <c r="D1701" s="1" t="s">
        <v>20</v>
      </c>
      <c r="E1701" s="1" t="s">
        <v>21</v>
      </c>
      <c r="F1701" s="5">
        <v>1.1900000000000001E-2</v>
      </c>
      <c r="G1701" s="5">
        <v>3.7430439999999998</v>
      </c>
      <c r="H1701" s="5">
        <v>3.3999999999999998E-3</v>
      </c>
      <c r="I1701">
        <v>9</v>
      </c>
      <c r="J1701" s="4" t="str">
        <f>IF(OR(Копия_20206[[#This Row],[Units (in 1000)]]&gt;$R$7,Копия_20206[[#This Row],[Units (in 1000)]]&lt;$R$6),"outlier","not outlier")</f>
        <v>not outlier</v>
      </c>
      <c r="K1701" s="4" t="str">
        <f>IF(OR(Копия_20206[[#This Row],[Value (in 1000 rub)]]&gt;$S$7,Копия_20206[[#This Row],[Value (in 1000 rub)]]&lt;$S$6),"outlier","not outlier")</f>
        <v>not outlier</v>
      </c>
      <c r="L1701" s="4" t="str">
        <f>IF(OR(Копия_20206[[#This Row],[Volume (in 1000 kg)]]&gt;$T$7,Копия_20206[[#This Row],[Volume (in 1000 kg)]]&lt;$T$6),"outlier","not outlier")</f>
        <v>not outlier</v>
      </c>
      <c r="M1701" s="4" t="str">
        <f>IF(OR(Копия_20206[[#This Row],[Number of stores]]&gt;$U$7,Копия_20206[[#This Row],[Number of stores]]&lt;$U$6),"outlier","not outlier")</f>
        <v>not outlier</v>
      </c>
    </row>
    <row r="1702" spans="1:13" x14ac:dyDescent="0.25">
      <c r="A1702">
        <v>2022</v>
      </c>
      <c r="B1702">
        <v>5</v>
      </c>
      <c r="C1702" s="1" t="s">
        <v>8</v>
      </c>
      <c r="D1702" s="1" t="s">
        <v>20</v>
      </c>
      <c r="E1702" s="1" t="s">
        <v>12</v>
      </c>
      <c r="F1702" s="5">
        <v>4.3141999999999996</v>
      </c>
      <c r="G1702" s="5">
        <v>760.29407700000002</v>
      </c>
      <c r="H1702" s="5">
        <v>1.7256</v>
      </c>
      <c r="I1702">
        <v>166</v>
      </c>
      <c r="J1702" s="4" t="str">
        <f>IF(OR(Копия_20206[[#This Row],[Units (in 1000)]]&gt;$R$7,Копия_20206[[#This Row],[Units (in 1000)]]&lt;$R$6),"outlier","not outlier")</f>
        <v>not outlier</v>
      </c>
      <c r="K1702" s="4" t="str">
        <f>IF(OR(Копия_20206[[#This Row],[Value (in 1000 rub)]]&gt;$S$7,Копия_20206[[#This Row],[Value (in 1000 rub)]]&lt;$S$6),"outlier","not outlier")</f>
        <v>not outlier</v>
      </c>
      <c r="L1702" s="4" t="str">
        <f>IF(OR(Копия_20206[[#This Row],[Volume (in 1000 kg)]]&gt;$T$7,Копия_20206[[#This Row],[Volume (in 1000 kg)]]&lt;$T$6),"outlier","not outlier")</f>
        <v>not outlier</v>
      </c>
      <c r="M1702" s="4" t="str">
        <f>IF(OR(Копия_20206[[#This Row],[Number of stores]]&gt;$U$7,Копия_20206[[#This Row],[Number of stores]]&lt;$U$6),"outlier","not outlier")</f>
        <v>not outlier</v>
      </c>
    </row>
    <row r="1703" spans="1:13" x14ac:dyDescent="0.25">
      <c r="A1703">
        <v>2022</v>
      </c>
      <c r="B1703">
        <v>5</v>
      </c>
      <c r="C1703" s="1" t="s">
        <v>25</v>
      </c>
      <c r="D1703" s="1" t="s">
        <v>20</v>
      </c>
      <c r="E1703" s="1" t="s">
        <v>21</v>
      </c>
      <c r="F1703" s="5">
        <v>6.9999999999999999E-4</v>
      </c>
      <c r="G1703" s="5">
        <v>0.296985</v>
      </c>
      <c r="H1703" s="5">
        <v>2.0000000000000001E-4</v>
      </c>
      <c r="I1703">
        <v>2</v>
      </c>
      <c r="J1703" s="4" t="str">
        <f>IF(OR(Копия_20206[[#This Row],[Units (in 1000)]]&gt;$R$7,Копия_20206[[#This Row],[Units (in 1000)]]&lt;$R$6),"outlier","not outlier")</f>
        <v>not outlier</v>
      </c>
      <c r="K1703" s="4" t="str">
        <f>IF(OR(Копия_20206[[#This Row],[Value (in 1000 rub)]]&gt;$S$7,Копия_20206[[#This Row],[Value (in 1000 rub)]]&lt;$S$6),"outlier","not outlier")</f>
        <v>not outlier</v>
      </c>
      <c r="L1703" s="4" t="str">
        <f>IF(OR(Копия_20206[[#This Row],[Volume (in 1000 kg)]]&gt;$T$7,Копия_20206[[#This Row],[Volume (in 1000 kg)]]&lt;$T$6),"outlier","not outlier")</f>
        <v>not outlier</v>
      </c>
      <c r="M1703" s="4" t="str">
        <f>IF(OR(Копия_20206[[#This Row],[Number of stores]]&gt;$U$7,Копия_20206[[#This Row],[Number of stores]]&lt;$U$6),"outlier","not outlier")</f>
        <v>not outlier</v>
      </c>
    </row>
    <row r="1704" spans="1:13" x14ac:dyDescent="0.25">
      <c r="A1704">
        <v>2022</v>
      </c>
      <c r="B1704">
        <v>5</v>
      </c>
      <c r="C1704" s="1" t="s">
        <v>25</v>
      </c>
      <c r="D1704" s="1" t="s">
        <v>20</v>
      </c>
      <c r="E1704" s="1" t="s">
        <v>35</v>
      </c>
      <c r="F1704" s="5">
        <v>9.1999999999999998E-3</v>
      </c>
      <c r="G1704" s="5">
        <v>2.8114439999999998</v>
      </c>
      <c r="H1704" s="5">
        <v>2.8E-3</v>
      </c>
      <c r="I1704">
        <v>11</v>
      </c>
      <c r="J1704" s="4" t="str">
        <f>IF(OR(Копия_20206[[#This Row],[Units (in 1000)]]&gt;$R$7,Копия_20206[[#This Row],[Units (in 1000)]]&lt;$R$6),"outlier","not outlier")</f>
        <v>not outlier</v>
      </c>
      <c r="K1704" s="4" t="str">
        <f>IF(OR(Копия_20206[[#This Row],[Value (in 1000 rub)]]&gt;$S$7,Копия_20206[[#This Row],[Value (in 1000 rub)]]&lt;$S$6),"outlier","not outlier")</f>
        <v>not outlier</v>
      </c>
      <c r="L1704" s="4" t="str">
        <f>IF(OR(Копия_20206[[#This Row],[Volume (in 1000 kg)]]&gt;$T$7,Копия_20206[[#This Row],[Volume (in 1000 kg)]]&lt;$T$6),"outlier","not outlier")</f>
        <v>not outlier</v>
      </c>
      <c r="M1704" s="4" t="str">
        <f>IF(OR(Копия_20206[[#This Row],[Number of stores]]&gt;$U$7,Копия_20206[[#This Row],[Number of stores]]&lt;$U$6),"outlier","not outlier")</f>
        <v>not outlier</v>
      </c>
    </row>
    <row r="1705" spans="1:13" x14ac:dyDescent="0.25">
      <c r="A1705">
        <v>2022</v>
      </c>
      <c r="B1705">
        <v>5</v>
      </c>
      <c r="C1705" s="1" t="s">
        <v>25</v>
      </c>
      <c r="D1705" s="1" t="s">
        <v>20</v>
      </c>
      <c r="E1705" s="1" t="s">
        <v>12</v>
      </c>
      <c r="F1705" s="5">
        <v>1.3945000000000001</v>
      </c>
      <c r="G1705" s="5">
        <v>246.06579400000001</v>
      </c>
      <c r="H1705" s="5">
        <v>0.55779999999999996</v>
      </c>
      <c r="I1705">
        <v>345</v>
      </c>
      <c r="J1705" s="4" t="str">
        <f>IF(OR(Копия_20206[[#This Row],[Units (in 1000)]]&gt;$R$7,Копия_20206[[#This Row],[Units (in 1000)]]&lt;$R$6),"outlier","not outlier")</f>
        <v>not outlier</v>
      </c>
      <c r="K1705" s="4" t="str">
        <f>IF(OR(Копия_20206[[#This Row],[Value (in 1000 rub)]]&gt;$S$7,Копия_20206[[#This Row],[Value (in 1000 rub)]]&lt;$S$6),"outlier","not outlier")</f>
        <v>not outlier</v>
      </c>
      <c r="L1705" s="4" t="str">
        <f>IF(OR(Копия_20206[[#This Row],[Volume (in 1000 kg)]]&gt;$T$7,Копия_20206[[#This Row],[Volume (in 1000 kg)]]&lt;$T$6),"outlier","not outlier")</f>
        <v>not outlier</v>
      </c>
      <c r="M1705" s="4" t="str">
        <f>IF(OR(Копия_20206[[#This Row],[Number of stores]]&gt;$U$7,Копия_20206[[#This Row],[Number of stores]]&lt;$U$6),"outlier","not outlier")</f>
        <v>not outlier</v>
      </c>
    </row>
    <row r="1706" spans="1:13" x14ac:dyDescent="0.25">
      <c r="A1706">
        <v>2022</v>
      </c>
      <c r="B1706">
        <v>5</v>
      </c>
      <c r="C1706" s="1" t="s">
        <v>29</v>
      </c>
      <c r="D1706" s="1" t="s">
        <v>20</v>
      </c>
      <c r="E1706" s="1" t="s">
        <v>21</v>
      </c>
      <c r="F1706" s="5">
        <v>8.8000000000000005E-3</v>
      </c>
      <c r="G1706" s="5">
        <v>3.5453190000000001</v>
      </c>
      <c r="H1706" s="5">
        <v>2.5000000000000001E-3</v>
      </c>
      <c r="I1706">
        <v>6</v>
      </c>
      <c r="J1706" s="4" t="str">
        <f>IF(OR(Копия_20206[[#This Row],[Units (in 1000)]]&gt;$R$7,Копия_20206[[#This Row],[Units (in 1000)]]&lt;$R$6),"outlier","not outlier")</f>
        <v>not outlier</v>
      </c>
      <c r="K1706" s="4" t="str">
        <f>IF(OR(Копия_20206[[#This Row],[Value (in 1000 rub)]]&gt;$S$7,Копия_20206[[#This Row],[Value (in 1000 rub)]]&lt;$S$6),"outlier","not outlier")</f>
        <v>not outlier</v>
      </c>
      <c r="L1706" s="4" t="str">
        <f>IF(OR(Копия_20206[[#This Row],[Volume (in 1000 kg)]]&gt;$T$7,Копия_20206[[#This Row],[Volume (in 1000 kg)]]&lt;$T$6),"outlier","not outlier")</f>
        <v>not outlier</v>
      </c>
      <c r="M1706" s="4" t="str">
        <f>IF(OR(Копия_20206[[#This Row],[Number of stores]]&gt;$U$7,Копия_20206[[#This Row],[Number of stores]]&lt;$U$6),"outlier","not outlier")</f>
        <v>not outlier</v>
      </c>
    </row>
    <row r="1707" spans="1:13" x14ac:dyDescent="0.25">
      <c r="A1707">
        <v>2022</v>
      </c>
      <c r="B1707">
        <v>5</v>
      </c>
      <c r="C1707" s="1" t="s">
        <v>29</v>
      </c>
      <c r="D1707" s="1" t="s">
        <v>20</v>
      </c>
      <c r="E1707" s="1" t="s">
        <v>35</v>
      </c>
      <c r="F1707" s="5">
        <v>5.8500000000000003E-2</v>
      </c>
      <c r="G1707" s="5">
        <v>17.701398999999999</v>
      </c>
      <c r="H1707" s="5">
        <v>1.7600000000000001E-2</v>
      </c>
      <c r="I1707">
        <v>33</v>
      </c>
      <c r="J1707" s="4" t="str">
        <f>IF(OR(Копия_20206[[#This Row],[Units (in 1000)]]&gt;$R$7,Копия_20206[[#This Row],[Units (in 1000)]]&lt;$R$6),"outlier","not outlier")</f>
        <v>not outlier</v>
      </c>
      <c r="K1707" s="4" t="str">
        <f>IF(OR(Копия_20206[[#This Row],[Value (in 1000 rub)]]&gt;$S$7,Копия_20206[[#This Row],[Value (in 1000 rub)]]&lt;$S$6),"outlier","not outlier")</f>
        <v>not outlier</v>
      </c>
      <c r="L1707" s="4" t="str">
        <f>IF(OR(Копия_20206[[#This Row],[Volume (in 1000 kg)]]&gt;$T$7,Копия_20206[[#This Row],[Volume (in 1000 kg)]]&lt;$T$6),"outlier","not outlier")</f>
        <v>not outlier</v>
      </c>
      <c r="M1707" s="4" t="str">
        <f>IF(OR(Копия_20206[[#This Row],[Number of stores]]&gt;$U$7,Копия_20206[[#This Row],[Number of stores]]&lt;$U$6),"outlier","not outlier")</f>
        <v>not outlier</v>
      </c>
    </row>
    <row r="1708" spans="1:13" x14ac:dyDescent="0.25">
      <c r="A1708">
        <v>2022</v>
      </c>
      <c r="B1708">
        <v>5</v>
      </c>
      <c r="C1708" s="1" t="s">
        <v>29</v>
      </c>
      <c r="D1708" s="1" t="s">
        <v>20</v>
      </c>
      <c r="E1708" s="1" t="s">
        <v>12</v>
      </c>
      <c r="F1708" s="5">
        <v>4.6614000000000004</v>
      </c>
      <c r="G1708" s="5">
        <v>1070.0705849999999</v>
      </c>
      <c r="H1708" s="5">
        <v>1.8646</v>
      </c>
      <c r="I1708">
        <v>447</v>
      </c>
      <c r="J1708" s="4" t="str">
        <f>IF(OR(Копия_20206[[#This Row],[Units (in 1000)]]&gt;$R$7,Копия_20206[[#This Row],[Units (in 1000)]]&lt;$R$6),"outlier","not outlier")</f>
        <v>not outlier</v>
      </c>
      <c r="K1708" s="4" t="str">
        <f>IF(OR(Копия_20206[[#This Row],[Value (in 1000 rub)]]&gt;$S$7,Копия_20206[[#This Row],[Value (in 1000 rub)]]&lt;$S$6),"outlier","not outlier")</f>
        <v>not outlier</v>
      </c>
      <c r="L1708" s="4" t="str">
        <f>IF(OR(Копия_20206[[#This Row],[Volume (in 1000 kg)]]&gt;$T$7,Копия_20206[[#This Row],[Volume (in 1000 kg)]]&lt;$T$6),"outlier","not outlier")</f>
        <v>not outlier</v>
      </c>
      <c r="M1708" s="4" t="str">
        <f>IF(OR(Копия_20206[[#This Row],[Number of stores]]&gt;$U$7,Копия_20206[[#This Row],[Number of stores]]&lt;$U$6),"outlier","not outlier")</f>
        <v>not outlier</v>
      </c>
    </row>
    <row r="1709" spans="1:13" x14ac:dyDescent="0.25">
      <c r="A1709">
        <v>2022</v>
      </c>
      <c r="B1709">
        <v>6</v>
      </c>
      <c r="C1709" s="1" t="s">
        <v>8</v>
      </c>
      <c r="D1709" s="1" t="s">
        <v>20</v>
      </c>
      <c r="E1709" s="1" t="s">
        <v>21</v>
      </c>
      <c r="F1709" s="5">
        <v>9.4999999999999998E-3</v>
      </c>
      <c r="G1709" s="5">
        <v>2.8811979999999999</v>
      </c>
      <c r="H1709" s="5">
        <v>2.7000000000000001E-3</v>
      </c>
      <c r="I1709">
        <v>8</v>
      </c>
      <c r="J1709" s="4" t="str">
        <f>IF(OR(Копия_20206[[#This Row],[Units (in 1000)]]&gt;$R$7,Копия_20206[[#This Row],[Units (in 1000)]]&lt;$R$6),"outlier","not outlier")</f>
        <v>not outlier</v>
      </c>
      <c r="K1709" s="4" t="str">
        <f>IF(OR(Копия_20206[[#This Row],[Value (in 1000 rub)]]&gt;$S$7,Копия_20206[[#This Row],[Value (in 1000 rub)]]&lt;$S$6),"outlier","not outlier")</f>
        <v>not outlier</v>
      </c>
      <c r="L1709" s="4" t="str">
        <f>IF(OR(Копия_20206[[#This Row],[Volume (in 1000 kg)]]&gt;$T$7,Копия_20206[[#This Row],[Volume (in 1000 kg)]]&lt;$T$6),"outlier","not outlier")</f>
        <v>not outlier</v>
      </c>
      <c r="M1709" s="4" t="str">
        <f>IF(OR(Копия_20206[[#This Row],[Number of stores]]&gt;$U$7,Копия_20206[[#This Row],[Number of stores]]&lt;$U$6),"outlier","not outlier")</f>
        <v>not outlier</v>
      </c>
    </row>
    <row r="1710" spans="1:13" x14ac:dyDescent="0.25">
      <c r="A1710">
        <v>2022</v>
      </c>
      <c r="B1710">
        <v>6</v>
      </c>
      <c r="C1710" s="1" t="s">
        <v>8</v>
      </c>
      <c r="D1710" s="1" t="s">
        <v>20</v>
      </c>
      <c r="E1710" s="1" t="s">
        <v>12</v>
      </c>
      <c r="F1710" s="5">
        <v>3.1193</v>
      </c>
      <c r="G1710" s="5">
        <v>536.89680199999998</v>
      </c>
      <c r="H1710" s="5">
        <v>1.2478</v>
      </c>
      <c r="I1710">
        <v>166</v>
      </c>
      <c r="J1710" s="4" t="str">
        <f>IF(OR(Копия_20206[[#This Row],[Units (in 1000)]]&gt;$R$7,Копия_20206[[#This Row],[Units (in 1000)]]&lt;$R$6),"outlier","not outlier")</f>
        <v>not outlier</v>
      </c>
      <c r="K1710" s="4" t="str">
        <f>IF(OR(Копия_20206[[#This Row],[Value (in 1000 rub)]]&gt;$S$7,Копия_20206[[#This Row],[Value (in 1000 rub)]]&lt;$S$6),"outlier","not outlier")</f>
        <v>not outlier</v>
      </c>
      <c r="L1710" s="4" t="str">
        <f>IF(OR(Копия_20206[[#This Row],[Volume (in 1000 kg)]]&gt;$T$7,Копия_20206[[#This Row],[Volume (in 1000 kg)]]&lt;$T$6),"outlier","not outlier")</f>
        <v>not outlier</v>
      </c>
      <c r="M1710" s="4" t="str">
        <f>IF(OR(Копия_20206[[#This Row],[Number of stores]]&gt;$U$7,Копия_20206[[#This Row],[Number of stores]]&lt;$U$6),"outlier","not outlier")</f>
        <v>not outlier</v>
      </c>
    </row>
    <row r="1711" spans="1:13" x14ac:dyDescent="0.25">
      <c r="A1711">
        <v>2022</v>
      </c>
      <c r="B1711">
        <v>6</v>
      </c>
      <c r="C1711" s="1" t="s">
        <v>25</v>
      </c>
      <c r="D1711" s="1" t="s">
        <v>20</v>
      </c>
      <c r="E1711" s="1" t="s">
        <v>21</v>
      </c>
      <c r="F1711" s="5">
        <v>1.2999999999999999E-3</v>
      </c>
      <c r="G1711" s="5">
        <v>0.43669200000000002</v>
      </c>
      <c r="H1711" s="5">
        <v>4.0000000000000002E-4</v>
      </c>
      <c r="I1711">
        <v>0</v>
      </c>
      <c r="J1711" s="4" t="str">
        <f>IF(OR(Копия_20206[[#This Row],[Units (in 1000)]]&gt;$R$7,Копия_20206[[#This Row],[Units (in 1000)]]&lt;$R$6),"outlier","not outlier")</f>
        <v>not outlier</v>
      </c>
      <c r="K1711" s="4" t="str">
        <f>IF(OR(Копия_20206[[#This Row],[Value (in 1000 rub)]]&gt;$S$7,Копия_20206[[#This Row],[Value (in 1000 rub)]]&lt;$S$6),"outlier","not outlier")</f>
        <v>not outlier</v>
      </c>
      <c r="L1711" s="4" t="str">
        <f>IF(OR(Копия_20206[[#This Row],[Volume (in 1000 kg)]]&gt;$T$7,Копия_20206[[#This Row],[Volume (in 1000 kg)]]&lt;$T$6),"outlier","not outlier")</f>
        <v>not outlier</v>
      </c>
      <c r="M1711" s="4" t="str">
        <f>IF(OR(Копия_20206[[#This Row],[Number of stores]]&gt;$U$7,Копия_20206[[#This Row],[Number of stores]]&lt;$U$6),"outlier","not outlier")</f>
        <v>not outlier</v>
      </c>
    </row>
    <row r="1712" spans="1:13" x14ac:dyDescent="0.25">
      <c r="A1712">
        <v>2022</v>
      </c>
      <c r="B1712">
        <v>6</v>
      </c>
      <c r="C1712" s="1" t="s">
        <v>25</v>
      </c>
      <c r="D1712" s="1" t="s">
        <v>20</v>
      </c>
      <c r="E1712" s="1" t="s">
        <v>35</v>
      </c>
      <c r="F1712" s="5">
        <v>5.7000000000000002E-3</v>
      </c>
      <c r="G1712" s="5">
        <v>1.798287</v>
      </c>
      <c r="H1712" s="5">
        <v>1.6999999999999999E-3</v>
      </c>
      <c r="I1712">
        <v>0</v>
      </c>
      <c r="J1712" s="4" t="str">
        <f>IF(OR(Копия_20206[[#This Row],[Units (in 1000)]]&gt;$R$7,Копия_20206[[#This Row],[Units (in 1000)]]&lt;$R$6),"outlier","not outlier")</f>
        <v>not outlier</v>
      </c>
      <c r="K1712" s="4" t="str">
        <f>IF(OR(Копия_20206[[#This Row],[Value (in 1000 rub)]]&gt;$S$7,Копия_20206[[#This Row],[Value (in 1000 rub)]]&lt;$S$6),"outlier","not outlier")</f>
        <v>not outlier</v>
      </c>
      <c r="L1712" s="4" t="str">
        <f>IF(OR(Копия_20206[[#This Row],[Volume (in 1000 kg)]]&gt;$T$7,Копия_20206[[#This Row],[Volume (in 1000 kg)]]&lt;$T$6),"outlier","not outlier")</f>
        <v>not outlier</v>
      </c>
      <c r="M1712" s="4" t="str">
        <f>IF(OR(Копия_20206[[#This Row],[Number of stores]]&gt;$U$7,Копия_20206[[#This Row],[Number of stores]]&lt;$U$6),"outlier","not outlier")</f>
        <v>not outlier</v>
      </c>
    </row>
    <row r="1713" spans="1:13" x14ac:dyDescent="0.25">
      <c r="A1713">
        <v>2022</v>
      </c>
      <c r="B1713">
        <v>6</v>
      </c>
      <c r="C1713" s="1" t="s">
        <v>25</v>
      </c>
      <c r="D1713" s="1" t="s">
        <v>20</v>
      </c>
      <c r="E1713" s="1" t="s">
        <v>12</v>
      </c>
      <c r="F1713" s="5">
        <v>0.79730000000000001</v>
      </c>
      <c r="G1713" s="5">
        <v>130.88930400000001</v>
      </c>
      <c r="H1713" s="5">
        <v>0.31890000000000002</v>
      </c>
      <c r="I1713">
        <v>0</v>
      </c>
      <c r="J1713" s="4" t="str">
        <f>IF(OR(Копия_20206[[#This Row],[Units (in 1000)]]&gt;$R$7,Копия_20206[[#This Row],[Units (in 1000)]]&lt;$R$6),"outlier","not outlier")</f>
        <v>not outlier</v>
      </c>
      <c r="K1713" s="4" t="str">
        <f>IF(OR(Копия_20206[[#This Row],[Value (in 1000 rub)]]&gt;$S$7,Копия_20206[[#This Row],[Value (in 1000 rub)]]&lt;$S$6),"outlier","not outlier")</f>
        <v>not outlier</v>
      </c>
      <c r="L1713" s="4" t="str">
        <f>IF(OR(Копия_20206[[#This Row],[Volume (in 1000 kg)]]&gt;$T$7,Копия_20206[[#This Row],[Volume (in 1000 kg)]]&lt;$T$6),"outlier","not outlier")</f>
        <v>not outlier</v>
      </c>
      <c r="M1713" s="4" t="str">
        <f>IF(OR(Копия_20206[[#This Row],[Number of stores]]&gt;$U$7,Копия_20206[[#This Row],[Number of stores]]&lt;$U$6),"outlier","not outlier")</f>
        <v>not outlier</v>
      </c>
    </row>
    <row r="1714" spans="1:13" x14ac:dyDescent="0.25">
      <c r="A1714">
        <v>2022</v>
      </c>
      <c r="B1714">
        <v>6</v>
      </c>
      <c r="C1714" s="1" t="s">
        <v>29</v>
      </c>
      <c r="D1714" s="1" t="s">
        <v>20</v>
      </c>
      <c r="E1714" s="1" t="s">
        <v>21</v>
      </c>
      <c r="F1714" s="5">
        <v>4.0000000000000001E-3</v>
      </c>
      <c r="G1714" s="5">
        <v>1.783766</v>
      </c>
      <c r="H1714" s="5">
        <v>1.1000000000000001E-3</v>
      </c>
      <c r="I1714">
        <v>3</v>
      </c>
      <c r="J1714" s="4" t="str">
        <f>IF(OR(Копия_20206[[#This Row],[Units (in 1000)]]&gt;$R$7,Копия_20206[[#This Row],[Units (in 1000)]]&lt;$R$6),"outlier","not outlier")</f>
        <v>not outlier</v>
      </c>
      <c r="K1714" s="4" t="str">
        <f>IF(OR(Копия_20206[[#This Row],[Value (in 1000 rub)]]&gt;$S$7,Копия_20206[[#This Row],[Value (in 1000 rub)]]&lt;$S$6),"outlier","not outlier")</f>
        <v>not outlier</v>
      </c>
      <c r="L1714" s="4" t="str">
        <f>IF(OR(Копия_20206[[#This Row],[Volume (in 1000 kg)]]&gt;$T$7,Копия_20206[[#This Row],[Volume (in 1000 kg)]]&lt;$T$6),"outlier","not outlier")</f>
        <v>not outlier</v>
      </c>
      <c r="M1714" s="4" t="str">
        <f>IF(OR(Копия_20206[[#This Row],[Number of stores]]&gt;$U$7,Копия_20206[[#This Row],[Number of stores]]&lt;$U$6),"outlier","not outlier")</f>
        <v>not outlier</v>
      </c>
    </row>
    <row r="1715" spans="1:13" x14ac:dyDescent="0.25">
      <c r="A1715">
        <v>2022</v>
      </c>
      <c r="B1715">
        <v>6</v>
      </c>
      <c r="C1715" s="1" t="s">
        <v>29</v>
      </c>
      <c r="D1715" s="1" t="s">
        <v>20</v>
      </c>
      <c r="E1715" s="1" t="s">
        <v>35</v>
      </c>
      <c r="F1715" s="5">
        <v>4.3700000000000003E-2</v>
      </c>
      <c r="G1715" s="5">
        <v>12.487819</v>
      </c>
      <c r="H1715" s="5">
        <v>1.3100000000000001E-2</v>
      </c>
      <c r="I1715">
        <v>31</v>
      </c>
      <c r="J1715" s="4" t="str">
        <f>IF(OR(Копия_20206[[#This Row],[Units (in 1000)]]&gt;$R$7,Копия_20206[[#This Row],[Units (in 1000)]]&lt;$R$6),"outlier","not outlier")</f>
        <v>not outlier</v>
      </c>
      <c r="K1715" s="4" t="str">
        <f>IF(OR(Копия_20206[[#This Row],[Value (in 1000 rub)]]&gt;$S$7,Копия_20206[[#This Row],[Value (in 1000 rub)]]&lt;$S$6),"outlier","not outlier")</f>
        <v>not outlier</v>
      </c>
      <c r="L1715" s="4" t="str">
        <f>IF(OR(Копия_20206[[#This Row],[Volume (in 1000 kg)]]&gt;$T$7,Копия_20206[[#This Row],[Volume (in 1000 kg)]]&lt;$T$6),"outlier","not outlier")</f>
        <v>not outlier</v>
      </c>
      <c r="M1715" s="4" t="str">
        <f>IF(OR(Копия_20206[[#This Row],[Number of stores]]&gt;$U$7,Копия_20206[[#This Row],[Number of stores]]&lt;$U$6),"outlier","not outlier")</f>
        <v>not outlier</v>
      </c>
    </row>
    <row r="1716" spans="1:13" x14ac:dyDescent="0.25">
      <c r="A1716">
        <v>2022</v>
      </c>
      <c r="B1716">
        <v>6</v>
      </c>
      <c r="C1716" s="1" t="s">
        <v>29</v>
      </c>
      <c r="D1716" s="1" t="s">
        <v>20</v>
      </c>
      <c r="E1716" s="1" t="s">
        <v>12</v>
      </c>
      <c r="F1716" s="5">
        <v>2.0888</v>
      </c>
      <c r="G1716" s="5">
        <v>570.03286200000002</v>
      </c>
      <c r="H1716" s="5">
        <v>0.83550000000000002</v>
      </c>
      <c r="I1716">
        <v>353</v>
      </c>
      <c r="J1716" s="4" t="str">
        <f>IF(OR(Копия_20206[[#This Row],[Units (in 1000)]]&gt;$R$7,Копия_20206[[#This Row],[Units (in 1000)]]&lt;$R$6),"outlier","not outlier")</f>
        <v>not outlier</v>
      </c>
      <c r="K1716" s="4" t="str">
        <f>IF(OR(Копия_20206[[#This Row],[Value (in 1000 rub)]]&gt;$S$7,Копия_20206[[#This Row],[Value (in 1000 rub)]]&lt;$S$6),"outlier","not outlier")</f>
        <v>not outlier</v>
      </c>
      <c r="L1716" s="4" t="str">
        <f>IF(OR(Копия_20206[[#This Row],[Volume (in 1000 kg)]]&gt;$T$7,Копия_20206[[#This Row],[Volume (in 1000 kg)]]&lt;$T$6),"outlier","not outlier")</f>
        <v>not outlier</v>
      </c>
      <c r="M1716" s="4" t="str">
        <f>IF(OR(Копия_20206[[#This Row],[Number of stores]]&gt;$U$7,Копия_20206[[#This Row],[Number of stores]]&lt;$U$6),"outlier","not outlier")</f>
        <v>not outlier</v>
      </c>
    </row>
    <row r="1717" spans="1:13" x14ac:dyDescent="0.25">
      <c r="A1717">
        <v>2022</v>
      </c>
      <c r="B1717">
        <v>7</v>
      </c>
      <c r="C1717" s="1" t="s">
        <v>8</v>
      </c>
      <c r="D1717" s="1" t="s">
        <v>20</v>
      </c>
      <c r="E1717" s="1" t="s">
        <v>21</v>
      </c>
      <c r="F1717" s="5">
        <v>4.8999999999999998E-3</v>
      </c>
      <c r="G1717" s="5">
        <v>1.5916110000000001</v>
      </c>
      <c r="H1717" s="5">
        <v>1.4E-3</v>
      </c>
      <c r="I1717">
        <v>6</v>
      </c>
      <c r="J1717" s="4" t="str">
        <f>IF(OR(Копия_20206[[#This Row],[Units (in 1000)]]&gt;$R$7,Копия_20206[[#This Row],[Units (in 1000)]]&lt;$R$6),"outlier","not outlier")</f>
        <v>not outlier</v>
      </c>
      <c r="K1717" s="4" t="str">
        <f>IF(OR(Копия_20206[[#This Row],[Value (in 1000 rub)]]&gt;$S$7,Копия_20206[[#This Row],[Value (in 1000 rub)]]&lt;$S$6),"outlier","not outlier")</f>
        <v>not outlier</v>
      </c>
      <c r="L1717" s="4" t="str">
        <f>IF(OR(Копия_20206[[#This Row],[Volume (in 1000 kg)]]&gt;$T$7,Копия_20206[[#This Row],[Volume (in 1000 kg)]]&lt;$T$6),"outlier","not outlier")</f>
        <v>not outlier</v>
      </c>
      <c r="M1717" s="4" t="str">
        <f>IF(OR(Копия_20206[[#This Row],[Number of stores]]&gt;$U$7,Копия_20206[[#This Row],[Number of stores]]&lt;$U$6),"outlier","not outlier")</f>
        <v>not outlier</v>
      </c>
    </row>
    <row r="1718" spans="1:13" x14ac:dyDescent="0.25">
      <c r="A1718">
        <v>2022</v>
      </c>
      <c r="B1718">
        <v>7</v>
      </c>
      <c r="C1718" s="1" t="s">
        <v>8</v>
      </c>
      <c r="D1718" s="1" t="s">
        <v>20</v>
      </c>
      <c r="E1718" s="1" t="s">
        <v>12</v>
      </c>
      <c r="F1718" s="5">
        <v>2.5055000000000001</v>
      </c>
      <c r="G1718" s="5">
        <v>410.21554700000002</v>
      </c>
      <c r="H1718" s="5">
        <v>1.0021</v>
      </c>
      <c r="I1718">
        <v>168</v>
      </c>
      <c r="J1718" s="4" t="str">
        <f>IF(OR(Копия_20206[[#This Row],[Units (in 1000)]]&gt;$R$7,Копия_20206[[#This Row],[Units (in 1000)]]&lt;$R$6),"outlier","not outlier")</f>
        <v>not outlier</v>
      </c>
      <c r="K1718" s="4" t="str">
        <f>IF(OR(Копия_20206[[#This Row],[Value (in 1000 rub)]]&gt;$S$7,Копия_20206[[#This Row],[Value (in 1000 rub)]]&lt;$S$6),"outlier","not outlier")</f>
        <v>not outlier</v>
      </c>
      <c r="L1718" s="4" t="str">
        <f>IF(OR(Копия_20206[[#This Row],[Volume (in 1000 kg)]]&gt;$T$7,Копия_20206[[#This Row],[Volume (in 1000 kg)]]&lt;$T$6),"outlier","not outlier")</f>
        <v>not outlier</v>
      </c>
      <c r="M1718" s="4" t="str">
        <f>IF(OR(Копия_20206[[#This Row],[Number of stores]]&gt;$U$7,Копия_20206[[#This Row],[Number of stores]]&lt;$U$6),"outlier","not outlier")</f>
        <v>not outlier</v>
      </c>
    </row>
    <row r="1719" spans="1:13" x14ac:dyDescent="0.25">
      <c r="A1719">
        <v>2022</v>
      </c>
      <c r="B1719">
        <v>7</v>
      </c>
      <c r="C1719" s="1" t="s">
        <v>25</v>
      </c>
      <c r="D1719" s="1" t="s">
        <v>20</v>
      </c>
      <c r="E1719" s="1" t="s">
        <v>21</v>
      </c>
      <c r="F1719" s="5">
        <v>6.9999999999999999E-4</v>
      </c>
      <c r="G1719" s="5">
        <v>0.279082</v>
      </c>
      <c r="H1719" s="5">
        <v>2.0000000000000001E-4</v>
      </c>
      <c r="I1719">
        <v>0</v>
      </c>
      <c r="J1719" s="4" t="str">
        <f>IF(OR(Копия_20206[[#This Row],[Units (in 1000)]]&gt;$R$7,Копия_20206[[#This Row],[Units (in 1000)]]&lt;$R$6),"outlier","not outlier")</f>
        <v>not outlier</v>
      </c>
      <c r="K1719" s="4" t="str">
        <f>IF(OR(Копия_20206[[#This Row],[Value (in 1000 rub)]]&gt;$S$7,Копия_20206[[#This Row],[Value (in 1000 rub)]]&lt;$S$6),"outlier","not outlier")</f>
        <v>not outlier</v>
      </c>
      <c r="L1719" s="4" t="str">
        <f>IF(OR(Копия_20206[[#This Row],[Volume (in 1000 kg)]]&gt;$T$7,Копия_20206[[#This Row],[Volume (in 1000 kg)]]&lt;$T$6),"outlier","not outlier")</f>
        <v>not outlier</v>
      </c>
      <c r="M1719" s="4" t="str">
        <f>IF(OR(Копия_20206[[#This Row],[Number of stores]]&gt;$U$7,Копия_20206[[#This Row],[Number of stores]]&lt;$U$6),"outlier","not outlier")</f>
        <v>not outlier</v>
      </c>
    </row>
    <row r="1720" spans="1:13" x14ac:dyDescent="0.25">
      <c r="A1720">
        <v>2022</v>
      </c>
      <c r="B1720">
        <v>7</v>
      </c>
      <c r="C1720" s="1" t="s">
        <v>25</v>
      </c>
      <c r="D1720" s="1" t="s">
        <v>20</v>
      </c>
      <c r="E1720" s="1" t="s">
        <v>35</v>
      </c>
      <c r="F1720" s="5">
        <v>3.8999999999999998E-3</v>
      </c>
      <c r="G1720" s="5">
        <v>1.31538</v>
      </c>
      <c r="H1720" s="5">
        <v>1.1999999999999999E-3</v>
      </c>
      <c r="I1720">
        <v>0</v>
      </c>
      <c r="J1720" s="4" t="str">
        <f>IF(OR(Копия_20206[[#This Row],[Units (in 1000)]]&gt;$R$7,Копия_20206[[#This Row],[Units (in 1000)]]&lt;$R$6),"outlier","not outlier")</f>
        <v>not outlier</v>
      </c>
      <c r="K1720" s="4" t="str">
        <f>IF(OR(Копия_20206[[#This Row],[Value (in 1000 rub)]]&gt;$S$7,Копия_20206[[#This Row],[Value (in 1000 rub)]]&lt;$S$6),"outlier","not outlier")</f>
        <v>not outlier</v>
      </c>
      <c r="L1720" s="4" t="str">
        <f>IF(OR(Копия_20206[[#This Row],[Volume (in 1000 kg)]]&gt;$T$7,Копия_20206[[#This Row],[Volume (in 1000 kg)]]&lt;$T$6),"outlier","not outlier")</f>
        <v>not outlier</v>
      </c>
      <c r="M1720" s="4" t="str">
        <f>IF(OR(Копия_20206[[#This Row],[Number of stores]]&gt;$U$7,Копия_20206[[#This Row],[Number of stores]]&lt;$U$6),"outlier","not outlier")</f>
        <v>not outlier</v>
      </c>
    </row>
    <row r="1721" spans="1:13" x14ac:dyDescent="0.25">
      <c r="A1721">
        <v>2022</v>
      </c>
      <c r="B1721">
        <v>7</v>
      </c>
      <c r="C1721" s="1" t="s">
        <v>25</v>
      </c>
      <c r="D1721" s="1" t="s">
        <v>20</v>
      </c>
      <c r="E1721" s="1" t="s">
        <v>12</v>
      </c>
      <c r="F1721" s="5">
        <v>0.54149999999999998</v>
      </c>
      <c r="G1721" s="5">
        <v>82.367585000000005</v>
      </c>
      <c r="H1721" s="5">
        <v>0.21659999999999999</v>
      </c>
      <c r="I1721">
        <v>0</v>
      </c>
      <c r="J1721" s="4" t="str">
        <f>IF(OR(Копия_20206[[#This Row],[Units (in 1000)]]&gt;$R$7,Копия_20206[[#This Row],[Units (in 1000)]]&lt;$R$6),"outlier","not outlier")</f>
        <v>not outlier</v>
      </c>
      <c r="K1721" s="4" t="str">
        <f>IF(OR(Копия_20206[[#This Row],[Value (in 1000 rub)]]&gt;$S$7,Копия_20206[[#This Row],[Value (in 1000 rub)]]&lt;$S$6),"outlier","not outlier")</f>
        <v>not outlier</v>
      </c>
      <c r="L1721" s="4" t="str">
        <f>IF(OR(Копия_20206[[#This Row],[Volume (in 1000 kg)]]&gt;$T$7,Копия_20206[[#This Row],[Volume (in 1000 kg)]]&lt;$T$6),"outlier","not outlier")</f>
        <v>not outlier</v>
      </c>
      <c r="M1721" s="4" t="str">
        <f>IF(OR(Копия_20206[[#This Row],[Number of stores]]&gt;$U$7,Копия_20206[[#This Row],[Number of stores]]&lt;$U$6),"outlier","not outlier")</f>
        <v>not outlier</v>
      </c>
    </row>
    <row r="1722" spans="1:13" x14ac:dyDescent="0.25">
      <c r="A1722">
        <v>2022</v>
      </c>
      <c r="B1722">
        <v>7</v>
      </c>
      <c r="C1722" s="1" t="s">
        <v>29</v>
      </c>
      <c r="D1722" s="1" t="s">
        <v>20</v>
      </c>
      <c r="E1722" s="1" t="s">
        <v>21</v>
      </c>
      <c r="F1722" s="5">
        <v>1.4E-3</v>
      </c>
      <c r="G1722" s="5">
        <v>0.52587300000000003</v>
      </c>
      <c r="H1722" s="5">
        <v>4.0000000000000002E-4</v>
      </c>
      <c r="I1722">
        <v>2</v>
      </c>
      <c r="J1722" s="4" t="str">
        <f>IF(OR(Копия_20206[[#This Row],[Units (in 1000)]]&gt;$R$7,Копия_20206[[#This Row],[Units (in 1000)]]&lt;$R$6),"outlier","not outlier")</f>
        <v>not outlier</v>
      </c>
      <c r="K1722" s="4" t="str">
        <f>IF(OR(Копия_20206[[#This Row],[Value (in 1000 rub)]]&gt;$S$7,Копия_20206[[#This Row],[Value (in 1000 rub)]]&lt;$S$6),"outlier","not outlier")</f>
        <v>not outlier</v>
      </c>
      <c r="L1722" s="4" t="str">
        <f>IF(OR(Копия_20206[[#This Row],[Volume (in 1000 kg)]]&gt;$T$7,Копия_20206[[#This Row],[Volume (in 1000 kg)]]&lt;$T$6),"outlier","not outlier")</f>
        <v>not outlier</v>
      </c>
      <c r="M1722" s="4" t="str">
        <f>IF(OR(Копия_20206[[#This Row],[Number of stores]]&gt;$U$7,Копия_20206[[#This Row],[Number of stores]]&lt;$U$6),"outlier","not outlier")</f>
        <v>not outlier</v>
      </c>
    </row>
    <row r="1723" spans="1:13" x14ac:dyDescent="0.25">
      <c r="A1723">
        <v>2022</v>
      </c>
      <c r="B1723">
        <v>7</v>
      </c>
      <c r="C1723" s="1" t="s">
        <v>29</v>
      </c>
      <c r="D1723" s="1" t="s">
        <v>20</v>
      </c>
      <c r="E1723" s="1" t="s">
        <v>35</v>
      </c>
      <c r="F1723" s="5">
        <v>2.3099999999999999E-2</v>
      </c>
      <c r="G1723" s="5">
        <v>7.314819</v>
      </c>
      <c r="H1723" s="5">
        <v>7.0000000000000001E-3</v>
      </c>
      <c r="I1723">
        <v>29</v>
      </c>
      <c r="J1723" s="4" t="str">
        <f>IF(OR(Копия_20206[[#This Row],[Units (in 1000)]]&gt;$R$7,Копия_20206[[#This Row],[Units (in 1000)]]&lt;$R$6),"outlier","not outlier")</f>
        <v>not outlier</v>
      </c>
      <c r="K1723" s="4" t="str">
        <f>IF(OR(Копия_20206[[#This Row],[Value (in 1000 rub)]]&gt;$S$7,Копия_20206[[#This Row],[Value (in 1000 rub)]]&lt;$S$6),"outlier","not outlier")</f>
        <v>not outlier</v>
      </c>
      <c r="L1723" s="4" t="str">
        <f>IF(OR(Копия_20206[[#This Row],[Volume (in 1000 kg)]]&gt;$T$7,Копия_20206[[#This Row],[Volume (in 1000 kg)]]&lt;$T$6),"outlier","not outlier")</f>
        <v>not outlier</v>
      </c>
      <c r="M1723" s="4" t="str">
        <f>IF(OR(Копия_20206[[#This Row],[Number of stores]]&gt;$U$7,Копия_20206[[#This Row],[Number of stores]]&lt;$U$6),"outlier","not outlier")</f>
        <v>not outlier</v>
      </c>
    </row>
    <row r="1724" spans="1:13" x14ac:dyDescent="0.25">
      <c r="A1724">
        <v>2022</v>
      </c>
      <c r="B1724">
        <v>7</v>
      </c>
      <c r="C1724" s="1" t="s">
        <v>29</v>
      </c>
      <c r="D1724" s="1" t="s">
        <v>20</v>
      </c>
      <c r="E1724" s="1" t="s">
        <v>12</v>
      </c>
      <c r="F1724" s="5">
        <v>2.3618000000000001</v>
      </c>
      <c r="G1724" s="5">
        <v>597.38252299999999</v>
      </c>
      <c r="H1724" s="5">
        <v>0.94469999999999998</v>
      </c>
      <c r="I1724">
        <v>406</v>
      </c>
      <c r="J1724" s="4" t="str">
        <f>IF(OR(Копия_20206[[#This Row],[Units (in 1000)]]&gt;$R$7,Копия_20206[[#This Row],[Units (in 1000)]]&lt;$R$6),"outlier","not outlier")</f>
        <v>not outlier</v>
      </c>
      <c r="K1724" s="4" t="str">
        <f>IF(OR(Копия_20206[[#This Row],[Value (in 1000 rub)]]&gt;$S$7,Копия_20206[[#This Row],[Value (in 1000 rub)]]&lt;$S$6),"outlier","not outlier")</f>
        <v>not outlier</v>
      </c>
      <c r="L1724" s="4" t="str">
        <f>IF(OR(Копия_20206[[#This Row],[Volume (in 1000 kg)]]&gt;$T$7,Копия_20206[[#This Row],[Volume (in 1000 kg)]]&lt;$T$6),"outlier","not outlier")</f>
        <v>not outlier</v>
      </c>
      <c r="M1724" s="4" t="str">
        <f>IF(OR(Копия_20206[[#This Row],[Number of stores]]&gt;$U$7,Копия_20206[[#This Row],[Number of stores]]&lt;$U$6),"outlier","not outlier")</f>
        <v>not outlier</v>
      </c>
    </row>
    <row r="1725" spans="1:13" x14ac:dyDescent="0.25">
      <c r="A1725">
        <v>2022</v>
      </c>
      <c r="B1725">
        <v>8</v>
      </c>
      <c r="C1725" s="1" t="s">
        <v>8</v>
      </c>
      <c r="D1725" s="1" t="s">
        <v>20</v>
      </c>
      <c r="E1725" s="1" t="s">
        <v>21</v>
      </c>
      <c r="F1725" s="5">
        <v>2.7000000000000001E-3</v>
      </c>
      <c r="G1725" s="5">
        <v>0.85083900000000001</v>
      </c>
      <c r="H1725" s="5">
        <v>6.9999999999999999E-4</v>
      </c>
      <c r="I1725">
        <v>4</v>
      </c>
      <c r="J1725" s="4" t="str">
        <f>IF(OR(Копия_20206[[#This Row],[Units (in 1000)]]&gt;$R$7,Копия_20206[[#This Row],[Units (in 1000)]]&lt;$R$6),"outlier","not outlier")</f>
        <v>not outlier</v>
      </c>
      <c r="K1725" s="4" t="str">
        <f>IF(OR(Копия_20206[[#This Row],[Value (in 1000 rub)]]&gt;$S$7,Копия_20206[[#This Row],[Value (in 1000 rub)]]&lt;$S$6),"outlier","not outlier")</f>
        <v>not outlier</v>
      </c>
      <c r="L1725" s="4" t="str">
        <f>IF(OR(Копия_20206[[#This Row],[Volume (in 1000 kg)]]&gt;$T$7,Копия_20206[[#This Row],[Volume (in 1000 kg)]]&lt;$T$6),"outlier","not outlier")</f>
        <v>not outlier</v>
      </c>
      <c r="M1725" s="4" t="str">
        <f>IF(OR(Копия_20206[[#This Row],[Number of stores]]&gt;$U$7,Копия_20206[[#This Row],[Number of stores]]&lt;$U$6),"outlier","not outlier")</f>
        <v>not outlier</v>
      </c>
    </row>
    <row r="1726" spans="1:13" x14ac:dyDescent="0.25">
      <c r="A1726">
        <v>2022</v>
      </c>
      <c r="B1726">
        <v>8</v>
      </c>
      <c r="C1726" s="1" t="s">
        <v>8</v>
      </c>
      <c r="D1726" s="1" t="s">
        <v>20</v>
      </c>
      <c r="E1726" s="1" t="s">
        <v>12</v>
      </c>
      <c r="F1726" s="5">
        <v>2.3601000000000001</v>
      </c>
      <c r="G1726" s="5">
        <v>370.52380699999998</v>
      </c>
      <c r="H1726" s="5">
        <v>0.94399999999999995</v>
      </c>
      <c r="I1726">
        <v>168</v>
      </c>
      <c r="J1726" s="4" t="str">
        <f>IF(OR(Копия_20206[[#This Row],[Units (in 1000)]]&gt;$R$7,Копия_20206[[#This Row],[Units (in 1000)]]&lt;$R$6),"outlier","not outlier")</f>
        <v>not outlier</v>
      </c>
      <c r="K1726" s="4" t="str">
        <f>IF(OR(Копия_20206[[#This Row],[Value (in 1000 rub)]]&gt;$S$7,Копия_20206[[#This Row],[Value (in 1000 rub)]]&lt;$S$6),"outlier","not outlier")</f>
        <v>not outlier</v>
      </c>
      <c r="L1726" s="4" t="str">
        <f>IF(OR(Копия_20206[[#This Row],[Volume (in 1000 kg)]]&gt;$T$7,Копия_20206[[#This Row],[Volume (in 1000 kg)]]&lt;$T$6),"outlier","not outlier")</f>
        <v>not outlier</v>
      </c>
      <c r="M1726" s="4" t="str">
        <f>IF(OR(Копия_20206[[#This Row],[Number of stores]]&gt;$U$7,Копия_20206[[#This Row],[Number of stores]]&lt;$U$6),"outlier","not outlier")</f>
        <v>not outlier</v>
      </c>
    </row>
    <row r="1727" spans="1:13" x14ac:dyDescent="0.25">
      <c r="A1727">
        <v>2022</v>
      </c>
      <c r="B1727">
        <v>8</v>
      </c>
      <c r="C1727" s="1" t="s">
        <v>25</v>
      </c>
      <c r="D1727" s="1" t="s">
        <v>20</v>
      </c>
      <c r="E1727" s="1" t="s">
        <v>21</v>
      </c>
      <c r="F1727" s="5">
        <v>4.1999999999999997E-3</v>
      </c>
      <c r="G1727" s="5">
        <v>1.3345419999999999</v>
      </c>
      <c r="H1727" s="5">
        <v>1.1999999999999999E-3</v>
      </c>
      <c r="I1727">
        <v>3</v>
      </c>
      <c r="J1727" s="4" t="str">
        <f>IF(OR(Копия_20206[[#This Row],[Units (in 1000)]]&gt;$R$7,Копия_20206[[#This Row],[Units (in 1000)]]&lt;$R$6),"outlier","not outlier")</f>
        <v>not outlier</v>
      </c>
      <c r="K1727" s="4" t="str">
        <f>IF(OR(Копия_20206[[#This Row],[Value (in 1000 rub)]]&gt;$S$7,Копия_20206[[#This Row],[Value (in 1000 rub)]]&lt;$S$6),"outlier","not outlier")</f>
        <v>not outlier</v>
      </c>
      <c r="L1727" s="4" t="str">
        <f>IF(OR(Копия_20206[[#This Row],[Volume (in 1000 kg)]]&gt;$T$7,Копия_20206[[#This Row],[Volume (in 1000 kg)]]&lt;$T$6),"outlier","not outlier")</f>
        <v>not outlier</v>
      </c>
      <c r="M1727" s="4" t="str">
        <f>IF(OR(Копия_20206[[#This Row],[Number of stores]]&gt;$U$7,Копия_20206[[#This Row],[Number of stores]]&lt;$U$6),"outlier","not outlier")</f>
        <v>not outlier</v>
      </c>
    </row>
    <row r="1728" spans="1:13" x14ac:dyDescent="0.25">
      <c r="A1728">
        <v>2022</v>
      </c>
      <c r="B1728">
        <v>8</v>
      </c>
      <c r="C1728" s="1" t="s">
        <v>25</v>
      </c>
      <c r="D1728" s="1" t="s">
        <v>20</v>
      </c>
      <c r="E1728" s="1" t="s">
        <v>35</v>
      </c>
      <c r="F1728" s="5">
        <v>2.3999999999999998E-3</v>
      </c>
      <c r="G1728" s="5">
        <v>0.80237000000000003</v>
      </c>
      <c r="H1728" s="5">
        <v>6.9999999999999999E-4</v>
      </c>
      <c r="I1728">
        <v>6</v>
      </c>
      <c r="J1728" s="4" t="str">
        <f>IF(OR(Копия_20206[[#This Row],[Units (in 1000)]]&gt;$R$7,Копия_20206[[#This Row],[Units (in 1000)]]&lt;$R$6),"outlier","not outlier")</f>
        <v>not outlier</v>
      </c>
      <c r="K1728" s="4" t="str">
        <f>IF(OR(Копия_20206[[#This Row],[Value (in 1000 rub)]]&gt;$S$7,Копия_20206[[#This Row],[Value (in 1000 rub)]]&lt;$S$6),"outlier","not outlier")</f>
        <v>not outlier</v>
      </c>
      <c r="L1728" s="4" t="str">
        <f>IF(OR(Копия_20206[[#This Row],[Volume (in 1000 kg)]]&gt;$T$7,Копия_20206[[#This Row],[Volume (in 1000 kg)]]&lt;$T$6),"outlier","not outlier")</f>
        <v>not outlier</v>
      </c>
      <c r="M1728" s="4" t="str">
        <f>IF(OR(Копия_20206[[#This Row],[Number of stores]]&gt;$U$7,Копия_20206[[#This Row],[Number of stores]]&lt;$U$6),"outlier","not outlier")</f>
        <v>not outlier</v>
      </c>
    </row>
    <row r="1729" spans="1:13" x14ac:dyDescent="0.25">
      <c r="A1729">
        <v>2022</v>
      </c>
      <c r="B1729">
        <v>8</v>
      </c>
      <c r="C1729" s="1" t="s">
        <v>25</v>
      </c>
      <c r="D1729" s="1" t="s">
        <v>20</v>
      </c>
      <c r="E1729" s="1" t="s">
        <v>12</v>
      </c>
      <c r="F1729" s="5">
        <v>0.68210000000000004</v>
      </c>
      <c r="G1729" s="5">
        <v>114.57960300000001</v>
      </c>
      <c r="H1729" s="5">
        <v>0.27279999999999999</v>
      </c>
      <c r="I1729">
        <v>254</v>
      </c>
      <c r="J1729" s="4" t="str">
        <f>IF(OR(Копия_20206[[#This Row],[Units (in 1000)]]&gt;$R$7,Копия_20206[[#This Row],[Units (in 1000)]]&lt;$R$6),"outlier","not outlier")</f>
        <v>not outlier</v>
      </c>
      <c r="K1729" s="4" t="str">
        <f>IF(OR(Копия_20206[[#This Row],[Value (in 1000 rub)]]&gt;$S$7,Копия_20206[[#This Row],[Value (in 1000 rub)]]&lt;$S$6),"outlier","not outlier")</f>
        <v>not outlier</v>
      </c>
      <c r="L1729" s="4" t="str">
        <f>IF(OR(Копия_20206[[#This Row],[Volume (in 1000 kg)]]&gt;$T$7,Копия_20206[[#This Row],[Volume (in 1000 kg)]]&lt;$T$6),"outlier","not outlier")</f>
        <v>not outlier</v>
      </c>
      <c r="M1729" s="4" t="str">
        <f>IF(OR(Копия_20206[[#This Row],[Number of stores]]&gt;$U$7,Копия_20206[[#This Row],[Number of stores]]&lt;$U$6),"outlier","not outlier")</f>
        <v>not outlier</v>
      </c>
    </row>
    <row r="1730" spans="1:13" x14ac:dyDescent="0.25">
      <c r="A1730">
        <v>2022</v>
      </c>
      <c r="B1730">
        <v>8</v>
      </c>
      <c r="C1730" s="1" t="s">
        <v>29</v>
      </c>
      <c r="D1730" s="1" t="s">
        <v>20</v>
      </c>
      <c r="E1730" s="1" t="s">
        <v>21</v>
      </c>
      <c r="F1730" s="5">
        <v>3.8999999999999998E-3</v>
      </c>
      <c r="G1730" s="5">
        <v>1.7209080000000001</v>
      </c>
      <c r="H1730" s="5">
        <v>1.1000000000000001E-3</v>
      </c>
      <c r="I1730">
        <v>5</v>
      </c>
      <c r="J1730" s="4" t="str">
        <f>IF(OR(Копия_20206[[#This Row],[Units (in 1000)]]&gt;$R$7,Копия_20206[[#This Row],[Units (in 1000)]]&lt;$R$6),"outlier","not outlier")</f>
        <v>not outlier</v>
      </c>
      <c r="K1730" s="4" t="str">
        <f>IF(OR(Копия_20206[[#This Row],[Value (in 1000 rub)]]&gt;$S$7,Копия_20206[[#This Row],[Value (in 1000 rub)]]&lt;$S$6),"outlier","not outlier")</f>
        <v>not outlier</v>
      </c>
      <c r="L1730" s="4" t="str">
        <f>IF(OR(Копия_20206[[#This Row],[Volume (in 1000 kg)]]&gt;$T$7,Копия_20206[[#This Row],[Volume (in 1000 kg)]]&lt;$T$6),"outlier","not outlier")</f>
        <v>not outlier</v>
      </c>
      <c r="M1730" s="4" t="str">
        <f>IF(OR(Копия_20206[[#This Row],[Number of stores]]&gt;$U$7,Копия_20206[[#This Row],[Number of stores]]&lt;$U$6),"outlier","not outlier")</f>
        <v>not outlier</v>
      </c>
    </row>
    <row r="1731" spans="1:13" x14ac:dyDescent="0.25">
      <c r="A1731">
        <v>2022</v>
      </c>
      <c r="B1731">
        <v>8</v>
      </c>
      <c r="C1731" s="1" t="s">
        <v>29</v>
      </c>
      <c r="D1731" s="1" t="s">
        <v>20</v>
      </c>
      <c r="E1731" s="1" t="s">
        <v>35</v>
      </c>
      <c r="F1731" s="5">
        <v>2.29E-2</v>
      </c>
      <c r="G1731" s="5">
        <v>7.5275290000000004</v>
      </c>
      <c r="H1731" s="5">
        <v>6.8999999999999999E-3</v>
      </c>
      <c r="I1731">
        <v>20</v>
      </c>
      <c r="J1731" s="4" t="str">
        <f>IF(OR(Копия_20206[[#This Row],[Units (in 1000)]]&gt;$R$7,Копия_20206[[#This Row],[Units (in 1000)]]&lt;$R$6),"outlier","not outlier")</f>
        <v>not outlier</v>
      </c>
      <c r="K1731" s="4" t="str">
        <f>IF(OR(Копия_20206[[#This Row],[Value (in 1000 rub)]]&gt;$S$7,Копия_20206[[#This Row],[Value (in 1000 rub)]]&lt;$S$6),"outlier","not outlier")</f>
        <v>not outlier</v>
      </c>
      <c r="L1731" s="4" t="str">
        <f>IF(OR(Копия_20206[[#This Row],[Volume (in 1000 kg)]]&gt;$T$7,Копия_20206[[#This Row],[Volume (in 1000 kg)]]&lt;$T$6),"outlier","not outlier")</f>
        <v>not outlier</v>
      </c>
      <c r="M1731" s="4" t="str">
        <f>IF(OR(Копия_20206[[#This Row],[Number of stores]]&gt;$U$7,Копия_20206[[#This Row],[Number of stores]]&lt;$U$6),"outlier","not outlier")</f>
        <v>not outlier</v>
      </c>
    </row>
    <row r="1732" spans="1:13" x14ac:dyDescent="0.25">
      <c r="A1732">
        <v>2022</v>
      </c>
      <c r="B1732">
        <v>8</v>
      </c>
      <c r="C1732" s="1" t="s">
        <v>29</v>
      </c>
      <c r="D1732" s="1" t="s">
        <v>20</v>
      </c>
      <c r="E1732" s="1" t="s">
        <v>12</v>
      </c>
      <c r="F1732" s="5">
        <v>1.9689000000000001</v>
      </c>
      <c r="G1732" s="5">
        <v>514.08347100000003</v>
      </c>
      <c r="H1732" s="5">
        <v>0.78759999999999997</v>
      </c>
      <c r="I1732">
        <v>413</v>
      </c>
      <c r="J1732" s="4" t="str">
        <f>IF(OR(Копия_20206[[#This Row],[Units (in 1000)]]&gt;$R$7,Копия_20206[[#This Row],[Units (in 1000)]]&lt;$R$6),"outlier","not outlier")</f>
        <v>not outlier</v>
      </c>
      <c r="K1732" s="4" t="str">
        <f>IF(OR(Копия_20206[[#This Row],[Value (in 1000 rub)]]&gt;$S$7,Копия_20206[[#This Row],[Value (in 1000 rub)]]&lt;$S$6),"outlier","not outlier")</f>
        <v>not outlier</v>
      </c>
      <c r="L1732" s="4" t="str">
        <f>IF(OR(Копия_20206[[#This Row],[Volume (in 1000 kg)]]&gt;$T$7,Копия_20206[[#This Row],[Volume (in 1000 kg)]]&lt;$T$6),"outlier","not outlier")</f>
        <v>not outlier</v>
      </c>
      <c r="M1732" s="4" t="str">
        <f>IF(OR(Копия_20206[[#This Row],[Number of stores]]&gt;$U$7,Копия_20206[[#This Row],[Number of stores]]&lt;$U$6),"outlier","not outlier")</f>
        <v>not outlier</v>
      </c>
    </row>
    <row r="1733" spans="1:13" x14ac:dyDescent="0.25">
      <c r="A1733">
        <v>2022</v>
      </c>
      <c r="B1733">
        <v>9</v>
      </c>
      <c r="C1733" s="1" t="s">
        <v>8</v>
      </c>
      <c r="D1733" s="1" t="s">
        <v>20</v>
      </c>
      <c r="E1733" s="1" t="s">
        <v>21</v>
      </c>
      <c r="F1733" s="5">
        <v>5.4999999999999997E-3</v>
      </c>
      <c r="G1733" s="5">
        <v>1.1916530000000001</v>
      </c>
      <c r="H1733" s="5">
        <v>1.5E-3</v>
      </c>
      <c r="I1733">
        <v>2</v>
      </c>
      <c r="J1733" s="4" t="str">
        <f>IF(OR(Копия_20206[[#This Row],[Units (in 1000)]]&gt;$R$7,Копия_20206[[#This Row],[Units (in 1000)]]&lt;$R$6),"outlier","not outlier")</f>
        <v>not outlier</v>
      </c>
      <c r="K1733" s="4" t="str">
        <f>IF(OR(Копия_20206[[#This Row],[Value (in 1000 rub)]]&gt;$S$7,Копия_20206[[#This Row],[Value (in 1000 rub)]]&lt;$S$6),"outlier","not outlier")</f>
        <v>not outlier</v>
      </c>
      <c r="L1733" s="4" t="str">
        <f>IF(OR(Копия_20206[[#This Row],[Volume (in 1000 kg)]]&gt;$T$7,Копия_20206[[#This Row],[Volume (in 1000 kg)]]&lt;$T$6),"outlier","not outlier")</f>
        <v>not outlier</v>
      </c>
      <c r="M1733" s="4" t="str">
        <f>IF(OR(Копия_20206[[#This Row],[Number of stores]]&gt;$U$7,Копия_20206[[#This Row],[Number of stores]]&lt;$U$6),"outlier","not outlier")</f>
        <v>not outlier</v>
      </c>
    </row>
    <row r="1734" spans="1:13" x14ac:dyDescent="0.25">
      <c r="A1734">
        <v>2022</v>
      </c>
      <c r="B1734">
        <v>9</v>
      </c>
      <c r="C1734" s="1" t="s">
        <v>8</v>
      </c>
      <c r="D1734" s="1" t="s">
        <v>20</v>
      </c>
      <c r="E1734" s="1" t="s">
        <v>12</v>
      </c>
      <c r="F1734" s="5">
        <v>3.7585999999999999</v>
      </c>
      <c r="G1734" s="5">
        <v>578.31913099999997</v>
      </c>
      <c r="H1734" s="5">
        <v>1.5034000000000001</v>
      </c>
      <c r="I1734">
        <v>164</v>
      </c>
      <c r="J1734" s="4" t="str">
        <f>IF(OR(Копия_20206[[#This Row],[Units (in 1000)]]&gt;$R$7,Копия_20206[[#This Row],[Units (in 1000)]]&lt;$R$6),"outlier","not outlier")</f>
        <v>not outlier</v>
      </c>
      <c r="K1734" s="4" t="str">
        <f>IF(OR(Копия_20206[[#This Row],[Value (in 1000 rub)]]&gt;$S$7,Копия_20206[[#This Row],[Value (in 1000 rub)]]&lt;$S$6),"outlier","not outlier")</f>
        <v>not outlier</v>
      </c>
      <c r="L1734" s="4" t="str">
        <f>IF(OR(Копия_20206[[#This Row],[Volume (in 1000 kg)]]&gt;$T$7,Копия_20206[[#This Row],[Volume (in 1000 kg)]]&lt;$T$6),"outlier","not outlier")</f>
        <v>not outlier</v>
      </c>
      <c r="M1734" s="4" t="str">
        <f>IF(OR(Копия_20206[[#This Row],[Number of stores]]&gt;$U$7,Копия_20206[[#This Row],[Number of stores]]&lt;$U$6),"outlier","not outlier")</f>
        <v>not outlier</v>
      </c>
    </row>
    <row r="1735" spans="1:13" x14ac:dyDescent="0.25">
      <c r="A1735">
        <v>2022</v>
      </c>
      <c r="B1735">
        <v>9</v>
      </c>
      <c r="C1735" s="1" t="s">
        <v>25</v>
      </c>
      <c r="D1735" s="1" t="s">
        <v>20</v>
      </c>
      <c r="E1735" s="1" t="s">
        <v>21</v>
      </c>
      <c r="F1735" s="5">
        <v>4.4000000000000003E-3</v>
      </c>
      <c r="G1735" s="5">
        <v>1.132441</v>
      </c>
      <c r="H1735" s="5">
        <v>1.1999999999999999E-3</v>
      </c>
      <c r="I1735">
        <v>1</v>
      </c>
      <c r="J1735" s="4" t="str">
        <f>IF(OR(Копия_20206[[#This Row],[Units (in 1000)]]&gt;$R$7,Копия_20206[[#This Row],[Units (in 1000)]]&lt;$R$6),"outlier","not outlier")</f>
        <v>not outlier</v>
      </c>
      <c r="K1735" s="4" t="str">
        <f>IF(OR(Копия_20206[[#This Row],[Value (in 1000 rub)]]&gt;$S$7,Копия_20206[[#This Row],[Value (in 1000 rub)]]&lt;$S$6),"outlier","not outlier")</f>
        <v>not outlier</v>
      </c>
      <c r="L1735" s="4" t="str">
        <f>IF(OR(Копия_20206[[#This Row],[Volume (in 1000 kg)]]&gt;$T$7,Копия_20206[[#This Row],[Volume (in 1000 kg)]]&lt;$T$6),"outlier","not outlier")</f>
        <v>not outlier</v>
      </c>
      <c r="M1735" s="4" t="str">
        <f>IF(OR(Копия_20206[[#This Row],[Number of stores]]&gt;$U$7,Копия_20206[[#This Row],[Number of stores]]&lt;$U$6),"outlier","not outlier")</f>
        <v>not outlier</v>
      </c>
    </row>
    <row r="1736" spans="1:13" x14ac:dyDescent="0.25">
      <c r="A1736">
        <v>2022</v>
      </c>
      <c r="B1736">
        <v>9</v>
      </c>
      <c r="C1736" s="1" t="s">
        <v>25</v>
      </c>
      <c r="D1736" s="1" t="s">
        <v>20</v>
      </c>
      <c r="E1736" s="1" t="s">
        <v>35</v>
      </c>
      <c r="F1736" s="5">
        <v>2E-3</v>
      </c>
      <c r="G1736" s="5">
        <v>0.67433299999999996</v>
      </c>
      <c r="H1736" s="5">
        <v>5.9999999999999995E-4</v>
      </c>
      <c r="I1736">
        <v>3</v>
      </c>
      <c r="J1736" s="4" t="str">
        <f>IF(OR(Копия_20206[[#This Row],[Units (in 1000)]]&gt;$R$7,Копия_20206[[#This Row],[Units (in 1000)]]&lt;$R$6),"outlier","not outlier")</f>
        <v>not outlier</v>
      </c>
      <c r="K1736" s="4" t="str">
        <f>IF(OR(Копия_20206[[#This Row],[Value (in 1000 rub)]]&gt;$S$7,Копия_20206[[#This Row],[Value (in 1000 rub)]]&lt;$S$6),"outlier","not outlier")</f>
        <v>not outlier</v>
      </c>
      <c r="L1736" s="4" t="str">
        <f>IF(OR(Копия_20206[[#This Row],[Volume (in 1000 kg)]]&gt;$T$7,Копия_20206[[#This Row],[Volume (in 1000 kg)]]&lt;$T$6),"outlier","not outlier")</f>
        <v>not outlier</v>
      </c>
      <c r="M1736" s="4" t="str">
        <f>IF(OR(Копия_20206[[#This Row],[Number of stores]]&gt;$U$7,Копия_20206[[#This Row],[Number of stores]]&lt;$U$6),"outlier","not outlier")</f>
        <v>not outlier</v>
      </c>
    </row>
    <row r="1737" spans="1:13" x14ac:dyDescent="0.25">
      <c r="A1737">
        <v>2022</v>
      </c>
      <c r="B1737">
        <v>9</v>
      </c>
      <c r="C1737" s="1" t="s">
        <v>25</v>
      </c>
      <c r="D1737" s="1" t="s">
        <v>20</v>
      </c>
      <c r="E1737" s="1" t="s">
        <v>12</v>
      </c>
      <c r="F1737" s="5">
        <v>0.62770000000000004</v>
      </c>
      <c r="G1737" s="5">
        <v>100.602947</v>
      </c>
      <c r="H1737" s="5">
        <v>0.25109999999999999</v>
      </c>
      <c r="I1737">
        <v>322</v>
      </c>
      <c r="J1737" s="4" t="str">
        <f>IF(OR(Копия_20206[[#This Row],[Units (in 1000)]]&gt;$R$7,Копия_20206[[#This Row],[Units (in 1000)]]&lt;$R$6),"outlier","not outlier")</f>
        <v>not outlier</v>
      </c>
      <c r="K1737" s="4" t="str">
        <f>IF(OR(Копия_20206[[#This Row],[Value (in 1000 rub)]]&gt;$S$7,Копия_20206[[#This Row],[Value (in 1000 rub)]]&lt;$S$6),"outlier","not outlier")</f>
        <v>not outlier</v>
      </c>
      <c r="L1737" s="4" t="str">
        <f>IF(OR(Копия_20206[[#This Row],[Volume (in 1000 kg)]]&gt;$T$7,Копия_20206[[#This Row],[Volume (in 1000 kg)]]&lt;$T$6),"outlier","not outlier")</f>
        <v>not outlier</v>
      </c>
      <c r="M1737" s="4" t="str">
        <f>IF(OR(Копия_20206[[#This Row],[Number of stores]]&gt;$U$7,Копия_20206[[#This Row],[Number of stores]]&lt;$U$6),"outlier","not outlier")</f>
        <v>not outlier</v>
      </c>
    </row>
    <row r="1738" spans="1:13" x14ac:dyDescent="0.25">
      <c r="A1738">
        <v>2022</v>
      </c>
      <c r="B1738">
        <v>9</v>
      </c>
      <c r="C1738" s="1" t="s">
        <v>29</v>
      </c>
      <c r="D1738" s="1" t="s">
        <v>20</v>
      </c>
      <c r="E1738" s="1" t="s">
        <v>21</v>
      </c>
      <c r="F1738" s="5">
        <v>1.2999999999999999E-3</v>
      </c>
      <c r="G1738" s="5">
        <v>0.68620099999999995</v>
      </c>
      <c r="H1738" s="5">
        <v>4.0000000000000002E-4</v>
      </c>
      <c r="I1738">
        <v>2</v>
      </c>
      <c r="J1738" s="4" t="str">
        <f>IF(OR(Копия_20206[[#This Row],[Units (in 1000)]]&gt;$R$7,Копия_20206[[#This Row],[Units (in 1000)]]&lt;$R$6),"outlier","not outlier")</f>
        <v>not outlier</v>
      </c>
      <c r="K1738" s="4" t="str">
        <f>IF(OR(Копия_20206[[#This Row],[Value (in 1000 rub)]]&gt;$S$7,Копия_20206[[#This Row],[Value (in 1000 rub)]]&lt;$S$6),"outlier","not outlier")</f>
        <v>not outlier</v>
      </c>
      <c r="L1738" s="4" t="str">
        <f>IF(OR(Копия_20206[[#This Row],[Volume (in 1000 kg)]]&gt;$T$7,Копия_20206[[#This Row],[Volume (in 1000 kg)]]&lt;$T$6),"outlier","not outlier")</f>
        <v>not outlier</v>
      </c>
      <c r="M1738" s="4" t="str">
        <f>IF(OR(Копия_20206[[#This Row],[Number of stores]]&gt;$U$7,Копия_20206[[#This Row],[Number of stores]]&lt;$U$6),"outlier","not outlier")</f>
        <v>not outlier</v>
      </c>
    </row>
    <row r="1739" spans="1:13" x14ac:dyDescent="0.25">
      <c r="A1739">
        <v>2022</v>
      </c>
      <c r="B1739">
        <v>9</v>
      </c>
      <c r="C1739" s="1" t="s">
        <v>29</v>
      </c>
      <c r="D1739" s="1" t="s">
        <v>20</v>
      </c>
      <c r="E1739" s="1" t="s">
        <v>35</v>
      </c>
      <c r="F1739" s="5">
        <v>1.03E-2</v>
      </c>
      <c r="G1739" s="5">
        <v>3.4660829999999998</v>
      </c>
      <c r="H1739" s="5">
        <v>3.0999999999999999E-3</v>
      </c>
      <c r="I1739">
        <v>12</v>
      </c>
      <c r="J1739" s="4" t="str">
        <f>IF(OR(Копия_20206[[#This Row],[Units (in 1000)]]&gt;$R$7,Копия_20206[[#This Row],[Units (in 1000)]]&lt;$R$6),"outlier","not outlier")</f>
        <v>not outlier</v>
      </c>
      <c r="K1739" s="4" t="str">
        <f>IF(OR(Копия_20206[[#This Row],[Value (in 1000 rub)]]&gt;$S$7,Копия_20206[[#This Row],[Value (in 1000 rub)]]&lt;$S$6),"outlier","not outlier")</f>
        <v>not outlier</v>
      </c>
      <c r="L1739" s="4" t="str">
        <f>IF(OR(Копия_20206[[#This Row],[Volume (in 1000 kg)]]&gt;$T$7,Копия_20206[[#This Row],[Volume (in 1000 kg)]]&lt;$T$6),"outlier","not outlier")</f>
        <v>not outlier</v>
      </c>
      <c r="M1739" s="4" t="str">
        <f>IF(OR(Копия_20206[[#This Row],[Number of stores]]&gt;$U$7,Копия_20206[[#This Row],[Number of stores]]&lt;$U$6),"outlier","not outlier")</f>
        <v>not outlier</v>
      </c>
    </row>
    <row r="1740" spans="1:13" x14ac:dyDescent="0.25">
      <c r="A1740">
        <v>2022</v>
      </c>
      <c r="B1740">
        <v>9</v>
      </c>
      <c r="C1740" s="1" t="s">
        <v>29</v>
      </c>
      <c r="D1740" s="1" t="s">
        <v>20</v>
      </c>
      <c r="E1740" s="1" t="s">
        <v>12</v>
      </c>
      <c r="F1740" s="5">
        <v>1.7531000000000001</v>
      </c>
      <c r="G1740" s="5">
        <v>477.69954100000001</v>
      </c>
      <c r="H1740" s="5">
        <v>0.70130000000000003</v>
      </c>
      <c r="I1740">
        <v>375</v>
      </c>
      <c r="J1740" s="4" t="str">
        <f>IF(OR(Копия_20206[[#This Row],[Units (in 1000)]]&gt;$R$7,Копия_20206[[#This Row],[Units (in 1000)]]&lt;$R$6),"outlier","not outlier")</f>
        <v>not outlier</v>
      </c>
      <c r="K1740" s="4" t="str">
        <f>IF(OR(Копия_20206[[#This Row],[Value (in 1000 rub)]]&gt;$S$7,Копия_20206[[#This Row],[Value (in 1000 rub)]]&lt;$S$6),"outlier","not outlier")</f>
        <v>not outlier</v>
      </c>
      <c r="L1740" s="4" t="str">
        <f>IF(OR(Копия_20206[[#This Row],[Volume (in 1000 kg)]]&gt;$T$7,Копия_20206[[#This Row],[Volume (in 1000 kg)]]&lt;$T$6),"outlier","not outlier")</f>
        <v>not outlier</v>
      </c>
      <c r="M1740" s="4" t="str">
        <f>IF(OR(Копия_20206[[#This Row],[Number of stores]]&gt;$U$7,Копия_20206[[#This Row],[Number of stores]]&lt;$U$6),"outlier","not outlier")</f>
        <v>not outlier</v>
      </c>
    </row>
    <row r="1741" spans="1:13" x14ac:dyDescent="0.25">
      <c r="A1741">
        <v>2022</v>
      </c>
      <c r="B1741">
        <v>10</v>
      </c>
      <c r="C1741" s="1" t="s">
        <v>8</v>
      </c>
      <c r="D1741" s="1" t="s">
        <v>20</v>
      </c>
      <c r="E1741" s="1" t="s">
        <v>21</v>
      </c>
      <c r="F1741" s="5">
        <v>2E-3</v>
      </c>
      <c r="G1741" s="5">
        <v>0.47594500000000001</v>
      </c>
      <c r="H1741" s="5">
        <v>5.0000000000000001E-4</v>
      </c>
      <c r="I1741">
        <v>1</v>
      </c>
      <c r="J1741" s="4" t="str">
        <f>IF(OR(Копия_20206[[#This Row],[Units (in 1000)]]&gt;$R$7,Копия_20206[[#This Row],[Units (in 1000)]]&lt;$R$6),"outlier","not outlier")</f>
        <v>not outlier</v>
      </c>
      <c r="K1741" s="4" t="str">
        <f>IF(OR(Копия_20206[[#This Row],[Value (in 1000 rub)]]&gt;$S$7,Копия_20206[[#This Row],[Value (in 1000 rub)]]&lt;$S$6),"outlier","not outlier")</f>
        <v>not outlier</v>
      </c>
      <c r="L1741" s="4" t="str">
        <f>IF(OR(Копия_20206[[#This Row],[Volume (in 1000 kg)]]&gt;$T$7,Копия_20206[[#This Row],[Volume (in 1000 kg)]]&lt;$T$6),"outlier","not outlier")</f>
        <v>not outlier</v>
      </c>
      <c r="M1741" s="4" t="str">
        <f>IF(OR(Копия_20206[[#This Row],[Number of stores]]&gt;$U$7,Копия_20206[[#This Row],[Number of stores]]&lt;$U$6),"outlier","not outlier")</f>
        <v>not outlier</v>
      </c>
    </row>
    <row r="1742" spans="1:13" x14ac:dyDescent="0.25">
      <c r="A1742">
        <v>2022</v>
      </c>
      <c r="B1742">
        <v>10</v>
      </c>
      <c r="C1742" s="1" t="s">
        <v>8</v>
      </c>
      <c r="D1742" s="1" t="s">
        <v>20</v>
      </c>
      <c r="E1742" s="1" t="s">
        <v>12</v>
      </c>
      <c r="F1742" s="5">
        <v>2.8843999999999999</v>
      </c>
      <c r="G1742" s="5">
        <v>443.89737100000002</v>
      </c>
      <c r="H1742" s="5">
        <v>1.1536999999999999</v>
      </c>
      <c r="I1742">
        <v>162</v>
      </c>
      <c r="J1742" s="4" t="str">
        <f>IF(OR(Копия_20206[[#This Row],[Units (in 1000)]]&gt;$R$7,Копия_20206[[#This Row],[Units (in 1000)]]&lt;$R$6),"outlier","not outlier")</f>
        <v>not outlier</v>
      </c>
      <c r="K1742" s="4" t="str">
        <f>IF(OR(Копия_20206[[#This Row],[Value (in 1000 rub)]]&gt;$S$7,Копия_20206[[#This Row],[Value (in 1000 rub)]]&lt;$S$6),"outlier","not outlier")</f>
        <v>not outlier</v>
      </c>
      <c r="L1742" s="4" t="str">
        <f>IF(OR(Копия_20206[[#This Row],[Volume (in 1000 kg)]]&gt;$T$7,Копия_20206[[#This Row],[Volume (in 1000 kg)]]&lt;$T$6),"outlier","not outlier")</f>
        <v>not outlier</v>
      </c>
      <c r="M1742" s="4" t="str">
        <f>IF(OR(Копия_20206[[#This Row],[Number of stores]]&gt;$U$7,Копия_20206[[#This Row],[Number of stores]]&lt;$U$6),"outlier","not outlier")</f>
        <v>not outlier</v>
      </c>
    </row>
    <row r="1743" spans="1:13" x14ac:dyDescent="0.25">
      <c r="A1743">
        <v>2022</v>
      </c>
      <c r="B1743">
        <v>10</v>
      </c>
      <c r="C1743" s="1" t="s">
        <v>25</v>
      </c>
      <c r="D1743" s="1" t="s">
        <v>20</v>
      </c>
      <c r="E1743" s="1" t="s">
        <v>21</v>
      </c>
      <c r="F1743" s="5">
        <v>8.0000000000000002E-3</v>
      </c>
      <c r="G1743" s="5">
        <v>2.6375890000000002</v>
      </c>
      <c r="H1743" s="5">
        <v>2.3E-3</v>
      </c>
      <c r="I1743">
        <v>2</v>
      </c>
      <c r="J1743" s="4" t="str">
        <f>IF(OR(Копия_20206[[#This Row],[Units (in 1000)]]&gt;$R$7,Копия_20206[[#This Row],[Units (in 1000)]]&lt;$R$6),"outlier","not outlier")</f>
        <v>not outlier</v>
      </c>
      <c r="K1743" s="4" t="str">
        <f>IF(OR(Копия_20206[[#This Row],[Value (in 1000 rub)]]&gt;$S$7,Копия_20206[[#This Row],[Value (in 1000 rub)]]&lt;$S$6),"outlier","not outlier")</f>
        <v>not outlier</v>
      </c>
      <c r="L1743" s="4" t="str">
        <f>IF(OR(Копия_20206[[#This Row],[Volume (in 1000 kg)]]&gt;$T$7,Копия_20206[[#This Row],[Volume (in 1000 kg)]]&lt;$T$6),"outlier","not outlier")</f>
        <v>not outlier</v>
      </c>
      <c r="M1743" s="4" t="str">
        <f>IF(OR(Копия_20206[[#This Row],[Number of stores]]&gt;$U$7,Копия_20206[[#This Row],[Number of stores]]&lt;$U$6),"outlier","not outlier")</f>
        <v>not outlier</v>
      </c>
    </row>
    <row r="1744" spans="1:13" x14ac:dyDescent="0.25">
      <c r="A1744">
        <v>2022</v>
      </c>
      <c r="B1744">
        <v>10</v>
      </c>
      <c r="C1744" s="1" t="s">
        <v>25</v>
      </c>
      <c r="D1744" s="1" t="s">
        <v>20</v>
      </c>
      <c r="E1744" s="1" t="s">
        <v>35</v>
      </c>
      <c r="F1744" s="5">
        <v>2E-3</v>
      </c>
      <c r="G1744" s="5">
        <v>0.673736</v>
      </c>
      <c r="H1744" s="5">
        <v>5.9999999999999995E-4</v>
      </c>
      <c r="I1744">
        <v>3</v>
      </c>
      <c r="J1744" s="4" t="str">
        <f>IF(OR(Копия_20206[[#This Row],[Units (in 1000)]]&gt;$R$7,Копия_20206[[#This Row],[Units (in 1000)]]&lt;$R$6),"outlier","not outlier")</f>
        <v>not outlier</v>
      </c>
      <c r="K1744" s="4" t="str">
        <f>IF(OR(Копия_20206[[#This Row],[Value (in 1000 rub)]]&gt;$S$7,Копия_20206[[#This Row],[Value (in 1000 rub)]]&lt;$S$6),"outlier","not outlier")</f>
        <v>not outlier</v>
      </c>
      <c r="L1744" s="4" t="str">
        <f>IF(OR(Копия_20206[[#This Row],[Volume (in 1000 kg)]]&gt;$T$7,Копия_20206[[#This Row],[Volume (in 1000 kg)]]&lt;$T$6),"outlier","not outlier")</f>
        <v>not outlier</v>
      </c>
      <c r="M1744" s="4" t="str">
        <f>IF(OR(Копия_20206[[#This Row],[Number of stores]]&gt;$U$7,Копия_20206[[#This Row],[Number of stores]]&lt;$U$6),"outlier","not outlier")</f>
        <v>not outlier</v>
      </c>
    </row>
    <row r="1745" spans="1:13" x14ac:dyDescent="0.25">
      <c r="A1745">
        <v>2022</v>
      </c>
      <c r="B1745">
        <v>10</v>
      </c>
      <c r="C1745" s="1" t="s">
        <v>25</v>
      </c>
      <c r="D1745" s="1" t="s">
        <v>20</v>
      </c>
      <c r="E1745" s="1" t="s">
        <v>12</v>
      </c>
      <c r="F1745" s="5">
        <v>0.83360000000000001</v>
      </c>
      <c r="G1745" s="5">
        <v>142.36648600000001</v>
      </c>
      <c r="H1745" s="5">
        <v>0.33350000000000002</v>
      </c>
      <c r="I1745">
        <v>312</v>
      </c>
      <c r="J1745" s="4" t="str">
        <f>IF(OR(Копия_20206[[#This Row],[Units (in 1000)]]&gt;$R$7,Копия_20206[[#This Row],[Units (in 1000)]]&lt;$R$6),"outlier","not outlier")</f>
        <v>not outlier</v>
      </c>
      <c r="K1745" s="4" t="str">
        <f>IF(OR(Копия_20206[[#This Row],[Value (in 1000 rub)]]&gt;$S$7,Копия_20206[[#This Row],[Value (in 1000 rub)]]&lt;$S$6),"outlier","not outlier")</f>
        <v>not outlier</v>
      </c>
      <c r="L1745" s="4" t="str">
        <f>IF(OR(Копия_20206[[#This Row],[Volume (in 1000 kg)]]&gt;$T$7,Копия_20206[[#This Row],[Volume (in 1000 kg)]]&lt;$T$6),"outlier","not outlier")</f>
        <v>not outlier</v>
      </c>
      <c r="M1745" s="4" t="str">
        <f>IF(OR(Копия_20206[[#This Row],[Number of stores]]&gt;$U$7,Копия_20206[[#This Row],[Number of stores]]&lt;$U$6),"outlier","not outlier")</f>
        <v>not outlier</v>
      </c>
    </row>
    <row r="1746" spans="1:13" x14ac:dyDescent="0.25">
      <c r="A1746">
        <v>2022</v>
      </c>
      <c r="B1746">
        <v>10</v>
      </c>
      <c r="C1746" s="1" t="s">
        <v>29</v>
      </c>
      <c r="D1746" s="1" t="s">
        <v>20</v>
      </c>
      <c r="E1746" s="1" t="s">
        <v>21</v>
      </c>
      <c r="F1746" s="5">
        <v>1.9800000000000002E-2</v>
      </c>
      <c r="G1746" s="5">
        <v>3.0197769999999999</v>
      </c>
      <c r="H1746" s="5">
        <v>5.5999999999999999E-3</v>
      </c>
      <c r="I1746">
        <v>2</v>
      </c>
      <c r="J1746" s="4" t="str">
        <f>IF(OR(Копия_20206[[#This Row],[Units (in 1000)]]&gt;$R$7,Копия_20206[[#This Row],[Units (in 1000)]]&lt;$R$6),"outlier","not outlier")</f>
        <v>not outlier</v>
      </c>
      <c r="K1746" s="4" t="str">
        <f>IF(OR(Копия_20206[[#This Row],[Value (in 1000 rub)]]&gt;$S$7,Копия_20206[[#This Row],[Value (in 1000 rub)]]&lt;$S$6),"outlier","not outlier")</f>
        <v>not outlier</v>
      </c>
      <c r="L1746" s="4" t="str">
        <f>IF(OR(Копия_20206[[#This Row],[Volume (in 1000 kg)]]&gt;$T$7,Копия_20206[[#This Row],[Volume (in 1000 kg)]]&lt;$T$6),"outlier","not outlier")</f>
        <v>not outlier</v>
      </c>
      <c r="M1746" s="4" t="str">
        <f>IF(OR(Копия_20206[[#This Row],[Number of stores]]&gt;$U$7,Копия_20206[[#This Row],[Number of stores]]&lt;$U$6),"outlier","not outlier")</f>
        <v>not outlier</v>
      </c>
    </row>
    <row r="1747" spans="1:13" x14ac:dyDescent="0.25">
      <c r="A1747">
        <v>2022</v>
      </c>
      <c r="B1747">
        <v>10</v>
      </c>
      <c r="C1747" s="1" t="s">
        <v>29</v>
      </c>
      <c r="D1747" s="1" t="s">
        <v>20</v>
      </c>
      <c r="E1747" s="1" t="s">
        <v>35</v>
      </c>
      <c r="F1747" s="5">
        <v>1.7000000000000001E-2</v>
      </c>
      <c r="G1747" s="5">
        <v>5.180294</v>
      </c>
      <c r="H1747" s="5">
        <v>5.1000000000000004E-3</v>
      </c>
      <c r="I1747">
        <v>13</v>
      </c>
      <c r="J1747" s="4" t="str">
        <f>IF(OR(Копия_20206[[#This Row],[Units (in 1000)]]&gt;$R$7,Копия_20206[[#This Row],[Units (in 1000)]]&lt;$R$6),"outlier","not outlier")</f>
        <v>not outlier</v>
      </c>
      <c r="K1747" s="4" t="str">
        <f>IF(OR(Копия_20206[[#This Row],[Value (in 1000 rub)]]&gt;$S$7,Копия_20206[[#This Row],[Value (in 1000 rub)]]&lt;$S$6),"outlier","not outlier")</f>
        <v>not outlier</v>
      </c>
      <c r="L1747" s="4" t="str">
        <f>IF(OR(Копия_20206[[#This Row],[Volume (in 1000 kg)]]&gt;$T$7,Копия_20206[[#This Row],[Volume (in 1000 kg)]]&lt;$T$6),"outlier","not outlier")</f>
        <v>not outlier</v>
      </c>
      <c r="M1747" s="4" t="str">
        <f>IF(OR(Копия_20206[[#This Row],[Number of stores]]&gt;$U$7,Копия_20206[[#This Row],[Number of stores]]&lt;$U$6),"outlier","not outlier")</f>
        <v>not outlier</v>
      </c>
    </row>
    <row r="1748" spans="1:13" x14ac:dyDescent="0.25">
      <c r="A1748">
        <v>2022</v>
      </c>
      <c r="B1748">
        <v>10</v>
      </c>
      <c r="C1748" s="1" t="s">
        <v>29</v>
      </c>
      <c r="D1748" s="1" t="s">
        <v>20</v>
      </c>
      <c r="E1748" s="1" t="s">
        <v>12</v>
      </c>
      <c r="F1748" s="5">
        <v>2.9449000000000001</v>
      </c>
      <c r="G1748" s="5">
        <v>724.66623500000003</v>
      </c>
      <c r="H1748" s="5">
        <v>1.1778999999999999</v>
      </c>
      <c r="I1748">
        <v>459</v>
      </c>
      <c r="J1748" s="4" t="str">
        <f>IF(OR(Копия_20206[[#This Row],[Units (in 1000)]]&gt;$R$7,Копия_20206[[#This Row],[Units (in 1000)]]&lt;$R$6),"outlier","not outlier")</f>
        <v>not outlier</v>
      </c>
      <c r="K1748" s="4" t="str">
        <f>IF(OR(Копия_20206[[#This Row],[Value (in 1000 rub)]]&gt;$S$7,Копия_20206[[#This Row],[Value (in 1000 rub)]]&lt;$S$6),"outlier","not outlier")</f>
        <v>not outlier</v>
      </c>
      <c r="L1748" s="4" t="str">
        <f>IF(OR(Копия_20206[[#This Row],[Volume (in 1000 kg)]]&gt;$T$7,Копия_20206[[#This Row],[Volume (in 1000 kg)]]&lt;$T$6),"outlier","not outlier")</f>
        <v>not outlier</v>
      </c>
      <c r="M1748" s="4" t="str">
        <f>IF(OR(Копия_20206[[#This Row],[Number of stores]]&gt;$U$7,Копия_20206[[#This Row],[Number of stores]]&lt;$U$6),"outlier","not outlier")</f>
        <v>not outlier</v>
      </c>
    </row>
    <row r="1749" spans="1:13" x14ac:dyDescent="0.25">
      <c r="A1749">
        <v>2022</v>
      </c>
      <c r="B1749">
        <v>11</v>
      </c>
      <c r="C1749" s="1" t="s">
        <v>8</v>
      </c>
      <c r="D1749" s="1" t="s">
        <v>20</v>
      </c>
      <c r="E1749" s="1" t="s">
        <v>21</v>
      </c>
      <c r="F1749" s="5">
        <v>2.7000000000000001E-3</v>
      </c>
      <c r="G1749" s="5">
        <v>0.74899300000000002</v>
      </c>
      <c r="H1749" s="5">
        <v>6.9999999999999999E-4</v>
      </c>
      <c r="I1749">
        <v>3</v>
      </c>
      <c r="J1749" s="4" t="str">
        <f>IF(OR(Копия_20206[[#This Row],[Units (in 1000)]]&gt;$R$7,Копия_20206[[#This Row],[Units (in 1000)]]&lt;$R$6),"outlier","not outlier")</f>
        <v>not outlier</v>
      </c>
      <c r="K1749" s="4" t="str">
        <f>IF(OR(Копия_20206[[#This Row],[Value (in 1000 rub)]]&gt;$S$7,Копия_20206[[#This Row],[Value (in 1000 rub)]]&lt;$S$6),"outlier","not outlier")</f>
        <v>not outlier</v>
      </c>
      <c r="L1749" s="4" t="str">
        <f>IF(OR(Копия_20206[[#This Row],[Volume (in 1000 kg)]]&gt;$T$7,Копия_20206[[#This Row],[Volume (in 1000 kg)]]&lt;$T$6),"outlier","not outlier")</f>
        <v>not outlier</v>
      </c>
      <c r="M1749" s="4" t="str">
        <f>IF(OR(Копия_20206[[#This Row],[Number of stores]]&gt;$U$7,Копия_20206[[#This Row],[Number of stores]]&lt;$U$6),"outlier","not outlier")</f>
        <v>not outlier</v>
      </c>
    </row>
    <row r="1750" spans="1:13" x14ac:dyDescent="0.25">
      <c r="A1750">
        <v>2022</v>
      </c>
      <c r="B1750">
        <v>11</v>
      </c>
      <c r="C1750" s="1" t="s">
        <v>8</v>
      </c>
      <c r="D1750" s="1" t="s">
        <v>20</v>
      </c>
      <c r="E1750" s="1" t="s">
        <v>12</v>
      </c>
      <c r="F1750" s="5">
        <v>1.9312</v>
      </c>
      <c r="G1750" s="5">
        <v>324.04318699999999</v>
      </c>
      <c r="H1750" s="5">
        <v>0.77249999999999996</v>
      </c>
      <c r="I1750">
        <v>163</v>
      </c>
      <c r="J1750" s="4" t="str">
        <f>IF(OR(Копия_20206[[#This Row],[Units (in 1000)]]&gt;$R$7,Копия_20206[[#This Row],[Units (in 1000)]]&lt;$R$6),"outlier","not outlier")</f>
        <v>not outlier</v>
      </c>
      <c r="K1750" s="4" t="str">
        <f>IF(OR(Копия_20206[[#This Row],[Value (in 1000 rub)]]&gt;$S$7,Копия_20206[[#This Row],[Value (in 1000 rub)]]&lt;$S$6),"outlier","not outlier")</f>
        <v>not outlier</v>
      </c>
      <c r="L1750" s="4" t="str">
        <f>IF(OR(Копия_20206[[#This Row],[Volume (in 1000 kg)]]&gt;$T$7,Копия_20206[[#This Row],[Volume (in 1000 kg)]]&lt;$T$6),"outlier","not outlier")</f>
        <v>not outlier</v>
      </c>
      <c r="M1750" s="4" t="str">
        <f>IF(OR(Копия_20206[[#This Row],[Number of stores]]&gt;$U$7,Копия_20206[[#This Row],[Number of stores]]&lt;$U$6),"outlier","not outlier")</f>
        <v>not outlier</v>
      </c>
    </row>
    <row r="1751" spans="1:13" x14ac:dyDescent="0.25">
      <c r="A1751">
        <v>2022</v>
      </c>
      <c r="B1751">
        <v>11</v>
      </c>
      <c r="C1751" s="1" t="s">
        <v>25</v>
      </c>
      <c r="D1751" s="1" t="s">
        <v>20</v>
      </c>
      <c r="E1751" s="1" t="s">
        <v>21</v>
      </c>
      <c r="F1751" s="5">
        <v>1.4E-3</v>
      </c>
      <c r="G1751" s="5">
        <v>0.84991099999999997</v>
      </c>
      <c r="H1751" s="5">
        <v>4.0000000000000002E-4</v>
      </c>
      <c r="I1751">
        <v>2</v>
      </c>
      <c r="J1751" s="4" t="str">
        <f>IF(OR(Копия_20206[[#This Row],[Units (in 1000)]]&gt;$R$7,Копия_20206[[#This Row],[Units (in 1000)]]&lt;$R$6),"outlier","not outlier")</f>
        <v>not outlier</v>
      </c>
      <c r="K1751" s="4" t="str">
        <f>IF(OR(Копия_20206[[#This Row],[Value (in 1000 rub)]]&gt;$S$7,Копия_20206[[#This Row],[Value (in 1000 rub)]]&lt;$S$6),"outlier","not outlier")</f>
        <v>not outlier</v>
      </c>
      <c r="L1751" s="4" t="str">
        <f>IF(OR(Копия_20206[[#This Row],[Volume (in 1000 kg)]]&gt;$T$7,Копия_20206[[#This Row],[Volume (in 1000 kg)]]&lt;$T$6),"outlier","not outlier")</f>
        <v>not outlier</v>
      </c>
      <c r="M1751" s="4" t="str">
        <f>IF(OR(Копия_20206[[#This Row],[Number of stores]]&gt;$U$7,Копия_20206[[#This Row],[Number of stores]]&lt;$U$6),"outlier","not outlier")</f>
        <v>not outlier</v>
      </c>
    </row>
    <row r="1752" spans="1:13" x14ac:dyDescent="0.25">
      <c r="A1752">
        <v>2022</v>
      </c>
      <c r="B1752">
        <v>11</v>
      </c>
      <c r="C1752" s="1" t="s">
        <v>25</v>
      </c>
      <c r="D1752" s="1" t="s">
        <v>20</v>
      </c>
      <c r="E1752" s="1" t="s">
        <v>35</v>
      </c>
      <c r="F1752" s="5">
        <v>6.9999999999999999E-4</v>
      </c>
      <c r="G1752" s="5">
        <v>0.22941900000000001</v>
      </c>
      <c r="H1752" s="5">
        <v>2.0000000000000001E-4</v>
      </c>
      <c r="I1752">
        <v>1</v>
      </c>
      <c r="J1752" s="4" t="str">
        <f>IF(OR(Копия_20206[[#This Row],[Units (in 1000)]]&gt;$R$7,Копия_20206[[#This Row],[Units (in 1000)]]&lt;$R$6),"outlier","not outlier")</f>
        <v>not outlier</v>
      </c>
      <c r="K1752" s="4" t="str">
        <f>IF(OR(Копия_20206[[#This Row],[Value (in 1000 rub)]]&gt;$S$7,Копия_20206[[#This Row],[Value (in 1000 rub)]]&lt;$S$6),"outlier","not outlier")</f>
        <v>not outlier</v>
      </c>
      <c r="L1752" s="4" t="str">
        <f>IF(OR(Копия_20206[[#This Row],[Volume (in 1000 kg)]]&gt;$T$7,Копия_20206[[#This Row],[Volume (in 1000 kg)]]&lt;$T$6),"outlier","not outlier")</f>
        <v>not outlier</v>
      </c>
      <c r="M1752" s="4" t="str">
        <f>IF(OR(Копия_20206[[#This Row],[Number of stores]]&gt;$U$7,Копия_20206[[#This Row],[Number of stores]]&lt;$U$6),"outlier","not outlier")</f>
        <v>not outlier</v>
      </c>
    </row>
    <row r="1753" spans="1:13" x14ac:dyDescent="0.25">
      <c r="A1753">
        <v>2022</v>
      </c>
      <c r="B1753">
        <v>11</v>
      </c>
      <c r="C1753" s="1" t="s">
        <v>25</v>
      </c>
      <c r="D1753" s="1" t="s">
        <v>20</v>
      </c>
      <c r="E1753" s="1" t="s">
        <v>12</v>
      </c>
      <c r="F1753" s="5">
        <v>0.434</v>
      </c>
      <c r="G1753" s="5">
        <v>106.645087</v>
      </c>
      <c r="H1753" s="5">
        <v>0.1736</v>
      </c>
      <c r="I1753">
        <v>174</v>
      </c>
      <c r="J1753" s="4" t="str">
        <f>IF(OR(Копия_20206[[#This Row],[Units (in 1000)]]&gt;$R$7,Копия_20206[[#This Row],[Units (in 1000)]]&lt;$R$6),"outlier","not outlier")</f>
        <v>not outlier</v>
      </c>
      <c r="K1753" s="4" t="str">
        <f>IF(OR(Копия_20206[[#This Row],[Value (in 1000 rub)]]&gt;$S$7,Копия_20206[[#This Row],[Value (in 1000 rub)]]&lt;$S$6),"outlier","not outlier")</f>
        <v>not outlier</v>
      </c>
      <c r="L1753" s="4" t="str">
        <f>IF(OR(Копия_20206[[#This Row],[Volume (in 1000 kg)]]&gt;$T$7,Копия_20206[[#This Row],[Volume (in 1000 kg)]]&lt;$T$6),"outlier","not outlier")</f>
        <v>not outlier</v>
      </c>
      <c r="M1753" s="4" t="str">
        <f>IF(OR(Копия_20206[[#This Row],[Number of stores]]&gt;$U$7,Копия_20206[[#This Row],[Number of stores]]&lt;$U$6),"outlier","not outlier")</f>
        <v>not outlier</v>
      </c>
    </row>
    <row r="1754" spans="1:13" x14ac:dyDescent="0.25">
      <c r="A1754">
        <v>2022</v>
      </c>
      <c r="B1754">
        <v>11</v>
      </c>
      <c r="C1754" s="1" t="s">
        <v>29</v>
      </c>
      <c r="D1754" s="1" t="s">
        <v>20</v>
      </c>
      <c r="E1754" s="1" t="s">
        <v>21</v>
      </c>
      <c r="F1754" s="5">
        <v>6.0000000000000001E-3</v>
      </c>
      <c r="G1754" s="5">
        <v>1.1382099999999999</v>
      </c>
      <c r="H1754" s="5">
        <v>1.6999999999999999E-3</v>
      </c>
      <c r="I1754">
        <v>2</v>
      </c>
      <c r="J1754" s="4" t="str">
        <f>IF(OR(Копия_20206[[#This Row],[Units (in 1000)]]&gt;$R$7,Копия_20206[[#This Row],[Units (in 1000)]]&lt;$R$6),"outlier","not outlier")</f>
        <v>not outlier</v>
      </c>
      <c r="K1754" s="4" t="str">
        <f>IF(OR(Копия_20206[[#This Row],[Value (in 1000 rub)]]&gt;$S$7,Копия_20206[[#This Row],[Value (in 1000 rub)]]&lt;$S$6),"outlier","not outlier")</f>
        <v>not outlier</v>
      </c>
      <c r="L1754" s="4" t="str">
        <f>IF(OR(Копия_20206[[#This Row],[Volume (in 1000 kg)]]&gt;$T$7,Копия_20206[[#This Row],[Volume (in 1000 kg)]]&lt;$T$6),"outlier","not outlier")</f>
        <v>not outlier</v>
      </c>
      <c r="M1754" s="4" t="str">
        <f>IF(OR(Копия_20206[[#This Row],[Number of stores]]&gt;$U$7,Копия_20206[[#This Row],[Number of stores]]&lt;$U$6),"outlier","not outlier")</f>
        <v>not outlier</v>
      </c>
    </row>
    <row r="1755" spans="1:13" x14ac:dyDescent="0.25">
      <c r="A1755">
        <v>2022</v>
      </c>
      <c r="B1755">
        <v>11</v>
      </c>
      <c r="C1755" s="1" t="s">
        <v>29</v>
      </c>
      <c r="D1755" s="1" t="s">
        <v>20</v>
      </c>
      <c r="E1755" s="1" t="s">
        <v>35</v>
      </c>
      <c r="F1755" s="5">
        <v>1.3299999999999999E-2</v>
      </c>
      <c r="G1755" s="5">
        <v>3.815782</v>
      </c>
      <c r="H1755" s="5">
        <v>4.0000000000000001E-3</v>
      </c>
      <c r="I1755">
        <v>18</v>
      </c>
      <c r="J1755" s="4" t="str">
        <f>IF(OR(Копия_20206[[#This Row],[Units (in 1000)]]&gt;$R$7,Копия_20206[[#This Row],[Units (in 1000)]]&lt;$R$6),"outlier","not outlier")</f>
        <v>not outlier</v>
      </c>
      <c r="K1755" s="4" t="str">
        <f>IF(OR(Копия_20206[[#This Row],[Value (in 1000 rub)]]&gt;$S$7,Копия_20206[[#This Row],[Value (in 1000 rub)]]&lt;$S$6),"outlier","not outlier")</f>
        <v>not outlier</v>
      </c>
      <c r="L1755" s="4" t="str">
        <f>IF(OR(Копия_20206[[#This Row],[Volume (in 1000 kg)]]&gt;$T$7,Копия_20206[[#This Row],[Volume (in 1000 kg)]]&lt;$T$6),"outlier","not outlier")</f>
        <v>not outlier</v>
      </c>
      <c r="M1755" s="4" t="str">
        <f>IF(OR(Копия_20206[[#This Row],[Number of stores]]&gt;$U$7,Копия_20206[[#This Row],[Number of stores]]&lt;$U$6),"outlier","not outlier")</f>
        <v>not outlier</v>
      </c>
    </row>
    <row r="1756" spans="1:13" x14ac:dyDescent="0.25">
      <c r="A1756">
        <v>2022</v>
      </c>
      <c r="B1756">
        <v>11</v>
      </c>
      <c r="C1756" s="1" t="s">
        <v>29</v>
      </c>
      <c r="D1756" s="1" t="s">
        <v>20</v>
      </c>
      <c r="E1756" s="1" t="s">
        <v>12</v>
      </c>
      <c r="F1756" s="5">
        <v>2.6168</v>
      </c>
      <c r="G1756" s="5">
        <v>672.52049199999999</v>
      </c>
      <c r="H1756" s="5">
        <v>1.0467</v>
      </c>
      <c r="I1756">
        <v>564</v>
      </c>
      <c r="J1756" s="4" t="str">
        <f>IF(OR(Копия_20206[[#This Row],[Units (in 1000)]]&gt;$R$7,Копия_20206[[#This Row],[Units (in 1000)]]&lt;$R$6),"outlier","not outlier")</f>
        <v>not outlier</v>
      </c>
      <c r="K1756" s="4" t="str">
        <f>IF(OR(Копия_20206[[#This Row],[Value (in 1000 rub)]]&gt;$S$7,Копия_20206[[#This Row],[Value (in 1000 rub)]]&lt;$S$6),"outlier","not outlier")</f>
        <v>not outlier</v>
      </c>
      <c r="L1756" s="4" t="str">
        <f>IF(OR(Копия_20206[[#This Row],[Volume (in 1000 kg)]]&gt;$T$7,Копия_20206[[#This Row],[Volume (in 1000 kg)]]&lt;$T$6),"outlier","not outlier")</f>
        <v>not outlier</v>
      </c>
      <c r="M1756" s="4" t="str">
        <f>IF(OR(Копия_20206[[#This Row],[Number of stores]]&gt;$U$7,Копия_20206[[#This Row],[Number of stores]]&lt;$U$6),"outlier","not outlier")</f>
        <v>not outlier</v>
      </c>
    </row>
    <row r="1757" spans="1:13" x14ac:dyDescent="0.25">
      <c r="A1757">
        <v>2022</v>
      </c>
      <c r="B1757">
        <v>12</v>
      </c>
      <c r="C1757" s="1" t="s">
        <v>8</v>
      </c>
      <c r="D1757" s="1" t="s">
        <v>20</v>
      </c>
      <c r="E1757" s="1" t="s">
        <v>12</v>
      </c>
      <c r="F1757" s="5">
        <v>1.4713000000000001</v>
      </c>
      <c r="G1757" s="5">
        <v>268.38488000000001</v>
      </c>
      <c r="H1757" s="5">
        <v>0.58850000000000002</v>
      </c>
      <c r="I1757">
        <v>113</v>
      </c>
      <c r="J1757" s="4" t="str">
        <f>IF(OR(Копия_20206[[#This Row],[Units (in 1000)]]&gt;$R$7,Копия_20206[[#This Row],[Units (in 1000)]]&lt;$R$6),"outlier","not outlier")</f>
        <v>not outlier</v>
      </c>
      <c r="K1757" s="4" t="str">
        <f>IF(OR(Копия_20206[[#This Row],[Value (in 1000 rub)]]&gt;$S$7,Копия_20206[[#This Row],[Value (in 1000 rub)]]&lt;$S$6),"outlier","not outlier")</f>
        <v>not outlier</v>
      </c>
      <c r="L1757" s="4" t="str">
        <f>IF(OR(Копия_20206[[#This Row],[Volume (in 1000 kg)]]&gt;$T$7,Копия_20206[[#This Row],[Volume (in 1000 kg)]]&lt;$T$6),"outlier","not outlier")</f>
        <v>not outlier</v>
      </c>
      <c r="M1757" s="4" t="str">
        <f>IF(OR(Копия_20206[[#This Row],[Number of stores]]&gt;$U$7,Копия_20206[[#This Row],[Number of stores]]&lt;$U$6),"outlier","not outlier")</f>
        <v>not outlier</v>
      </c>
    </row>
    <row r="1758" spans="1:13" x14ac:dyDescent="0.25">
      <c r="A1758">
        <v>2022</v>
      </c>
      <c r="B1758">
        <v>12</v>
      </c>
      <c r="C1758" s="1" t="s">
        <v>25</v>
      </c>
      <c r="D1758" s="1" t="s">
        <v>20</v>
      </c>
      <c r="E1758" s="1" t="s">
        <v>12</v>
      </c>
      <c r="F1758" s="5">
        <v>0.45610000000000001</v>
      </c>
      <c r="G1758" s="5">
        <v>100.668722</v>
      </c>
      <c r="H1758" s="5">
        <v>0.18240000000000001</v>
      </c>
      <c r="I1758">
        <v>244</v>
      </c>
      <c r="J1758" s="4" t="str">
        <f>IF(OR(Копия_20206[[#This Row],[Units (in 1000)]]&gt;$R$7,Копия_20206[[#This Row],[Units (in 1000)]]&lt;$R$6),"outlier","not outlier")</f>
        <v>not outlier</v>
      </c>
      <c r="K1758" s="4" t="str">
        <f>IF(OR(Копия_20206[[#This Row],[Value (in 1000 rub)]]&gt;$S$7,Копия_20206[[#This Row],[Value (in 1000 rub)]]&lt;$S$6),"outlier","not outlier")</f>
        <v>not outlier</v>
      </c>
      <c r="L1758" s="4" t="str">
        <f>IF(OR(Копия_20206[[#This Row],[Volume (in 1000 kg)]]&gt;$T$7,Копия_20206[[#This Row],[Volume (in 1000 kg)]]&lt;$T$6),"outlier","not outlier")</f>
        <v>not outlier</v>
      </c>
      <c r="M1758" s="4" t="str">
        <f>IF(OR(Копия_20206[[#This Row],[Number of stores]]&gt;$U$7,Копия_20206[[#This Row],[Number of stores]]&lt;$U$6),"outlier","not outlier")</f>
        <v>not outlier</v>
      </c>
    </row>
    <row r="1759" spans="1:13" x14ac:dyDescent="0.25">
      <c r="A1759">
        <v>2022</v>
      </c>
      <c r="B1759">
        <v>12</v>
      </c>
      <c r="C1759" s="1" t="s">
        <v>29</v>
      </c>
      <c r="D1759" s="1" t="s">
        <v>20</v>
      </c>
      <c r="E1759" s="1" t="s">
        <v>35</v>
      </c>
      <c r="F1759" s="5">
        <v>1.55E-2</v>
      </c>
      <c r="G1759" s="5">
        <v>4.6194110000000004</v>
      </c>
      <c r="H1759" s="5">
        <v>4.5999999999999999E-3</v>
      </c>
      <c r="I1759">
        <v>14</v>
      </c>
      <c r="J1759" s="4" t="str">
        <f>IF(OR(Копия_20206[[#This Row],[Units (in 1000)]]&gt;$R$7,Копия_20206[[#This Row],[Units (in 1000)]]&lt;$R$6),"outlier","not outlier")</f>
        <v>not outlier</v>
      </c>
      <c r="K1759" s="4" t="str">
        <f>IF(OR(Копия_20206[[#This Row],[Value (in 1000 rub)]]&gt;$S$7,Копия_20206[[#This Row],[Value (in 1000 rub)]]&lt;$S$6),"outlier","not outlier")</f>
        <v>not outlier</v>
      </c>
      <c r="L1759" s="4" t="str">
        <f>IF(OR(Копия_20206[[#This Row],[Volume (in 1000 kg)]]&gt;$T$7,Копия_20206[[#This Row],[Volume (in 1000 kg)]]&lt;$T$6),"outlier","not outlier")</f>
        <v>not outlier</v>
      </c>
      <c r="M1759" s="4" t="str">
        <f>IF(OR(Копия_20206[[#This Row],[Number of stores]]&gt;$U$7,Копия_20206[[#This Row],[Number of stores]]&lt;$U$6),"outlier","not outlier")</f>
        <v>not outlier</v>
      </c>
    </row>
    <row r="1760" spans="1:13" x14ac:dyDescent="0.25">
      <c r="A1760">
        <v>2022</v>
      </c>
      <c r="B1760">
        <v>12</v>
      </c>
      <c r="C1760" s="1" t="s">
        <v>29</v>
      </c>
      <c r="D1760" s="1" t="s">
        <v>20</v>
      </c>
      <c r="E1760" s="1" t="s">
        <v>12</v>
      </c>
      <c r="F1760" s="5">
        <v>3.6888000000000001</v>
      </c>
      <c r="G1760" s="5">
        <v>790.26899400000002</v>
      </c>
      <c r="H1760" s="5">
        <v>1.4754</v>
      </c>
      <c r="I1760">
        <v>1083</v>
      </c>
      <c r="J1760" s="4" t="str">
        <f>IF(OR(Копия_20206[[#This Row],[Units (in 1000)]]&gt;$R$7,Копия_20206[[#This Row],[Units (in 1000)]]&lt;$R$6),"outlier","not outlier")</f>
        <v>not outlier</v>
      </c>
      <c r="K1760" s="4" t="str">
        <f>IF(OR(Копия_20206[[#This Row],[Value (in 1000 rub)]]&gt;$S$7,Копия_20206[[#This Row],[Value (in 1000 rub)]]&lt;$S$6),"outlier","not outlier")</f>
        <v>not outlier</v>
      </c>
      <c r="L1760" s="4" t="str">
        <f>IF(OR(Копия_20206[[#This Row],[Volume (in 1000 kg)]]&gt;$T$7,Копия_20206[[#This Row],[Volume (in 1000 kg)]]&lt;$T$6),"outlier","not outlier")</f>
        <v>not outlier</v>
      </c>
      <c r="M1760" s="4" t="str">
        <f>IF(OR(Копия_20206[[#This Row],[Number of stores]]&gt;$U$7,Копия_20206[[#This Row],[Number of stores]]&lt;$U$6),"outlier","not outlier")</f>
        <v>not outlier</v>
      </c>
    </row>
    <row r="1761" spans="1:13" x14ac:dyDescent="0.25">
      <c r="A1761">
        <v>2022</v>
      </c>
      <c r="B1761">
        <v>2</v>
      </c>
      <c r="C1761" s="1" t="s">
        <v>29</v>
      </c>
      <c r="D1761" s="1" t="s">
        <v>47</v>
      </c>
      <c r="E1761" s="1" t="s">
        <v>11</v>
      </c>
      <c r="F1761" s="5">
        <v>4.6976000000000004</v>
      </c>
      <c r="G1761" s="5">
        <v>410.97030899999999</v>
      </c>
      <c r="H1761" s="5">
        <v>1.6440999999999999</v>
      </c>
      <c r="I1761">
        <v>2630</v>
      </c>
      <c r="J1761" s="4" t="str">
        <f>IF(OR(Копия_20206[[#This Row],[Units (in 1000)]]&gt;$R$7,Копия_20206[[#This Row],[Units (in 1000)]]&lt;$R$6),"outlier","not outlier")</f>
        <v>not outlier</v>
      </c>
      <c r="K1761" s="4" t="str">
        <f>IF(OR(Копия_20206[[#This Row],[Value (in 1000 rub)]]&gt;$S$7,Копия_20206[[#This Row],[Value (in 1000 rub)]]&lt;$S$6),"outlier","not outlier")</f>
        <v>not outlier</v>
      </c>
      <c r="L1761" s="4" t="str">
        <f>IF(OR(Копия_20206[[#This Row],[Volume (in 1000 kg)]]&gt;$T$7,Копия_20206[[#This Row],[Volume (in 1000 kg)]]&lt;$T$6),"outlier","not outlier")</f>
        <v>not outlier</v>
      </c>
      <c r="M1761" s="4" t="str">
        <f>IF(OR(Копия_20206[[#This Row],[Number of stores]]&gt;$U$7,Копия_20206[[#This Row],[Number of stores]]&lt;$U$6),"outlier","not outlier")</f>
        <v>not outlier</v>
      </c>
    </row>
    <row r="1762" spans="1:13" x14ac:dyDescent="0.25">
      <c r="A1762">
        <v>2022</v>
      </c>
      <c r="B1762">
        <v>3</v>
      </c>
      <c r="C1762" s="1" t="s">
        <v>8</v>
      </c>
      <c r="D1762" s="1" t="s">
        <v>47</v>
      </c>
      <c r="E1762" s="1" t="s">
        <v>11</v>
      </c>
      <c r="F1762" s="5">
        <v>0.83189999999999997</v>
      </c>
      <c r="G1762" s="5">
        <v>75.031017000000006</v>
      </c>
      <c r="H1762" s="5">
        <v>0.29110000000000003</v>
      </c>
      <c r="I1762">
        <v>117</v>
      </c>
      <c r="J1762" s="4" t="str">
        <f>IF(OR(Копия_20206[[#This Row],[Units (in 1000)]]&gt;$R$7,Копия_20206[[#This Row],[Units (in 1000)]]&lt;$R$6),"outlier","not outlier")</f>
        <v>not outlier</v>
      </c>
      <c r="K1762" s="4" t="str">
        <f>IF(OR(Копия_20206[[#This Row],[Value (in 1000 rub)]]&gt;$S$7,Копия_20206[[#This Row],[Value (in 1000 rub)]]&lt;$S$6),"outlier","not outlier")</f>
        <v>not outlier</v>
      </c>
      <c r="L1762" s="4" t="str">
        <f>IF(OR(Копия_20206[[#This Row],[Volume (in 1000 kg)]]&gt;$T$7,Копия_20206[[#This Row],[Volume (in 1000 kg)]]&lt;$T$6),"outlier","not outlier")</f>
        <v>not outlier</v>
      </c>
      <c r="M1762" s="4" t="str">
        <f>IF(OR(Копия_20206[[#This Row],[Number of stores]]&gt;$U$7,Копия_20206[[#This Row],[Number of stores]]&lt;$U$6),"outlier","not outlier")</f>
        <v>not outlier</v>
      </c>
    </row>
    <row r="1763" spans="1:13" x14ac:dyDescent="0.25">
      <c r="A1763">
        <v>2022</v>
      </c>
      <c r="B1763">
        <v>3</v>
      </c>
      <c r="C1763" s="1" t="s">
        <v>25</v>
      </c>
      <c r="D1763" s="1" t="s">
        <v>47</v>
      </c>
      <c r="E1763" s="1" t="s">
        <v>11</v>
      </c>
      <c r="F1763" s="5">
        <v>1.5232000000000001</v>
      </c>
      <c r="G1763" s="5">
        <v>136.05799400000001</v>
      </c>
      <c r="H1763" s="5">
        <v>0.53310000000000002</v>
      </c>
      <c r="I1763">
        <v>642</v>
      </c>
      <c r="J1763" s="4" t="str">
        <f>IF(OR(Копия_20206[[#This Row],[Units (in 1000)]]&gt;$R$7,Копия_20206[[#This Row],[Units (in 1000)]]&lt;$R$6),"outlier","not outlier")</f>
        <v>not outlier</v>
      </c>
      <c r="K1763" s="4" t="str">
        <f>IF(OR(Копия_20206[[#This Row],[Value (in 1000 rub)]]&gt;$S$7,Копия_20206[[#This Row],[Value (in 1000 rub)]]&lt;$S$6),"outlier","not outlier")</f>
        <v>not outlier</v>
      </c>
      <c r="L1763" s="4" t="str">
        <f>IF(OR(Копия_20206[[#This Row],[Volume (in 1000 kg)]]&gt;$T$7,Копия_20206[[#This Row],[Volume (in 1000 kg)]]&lt;$T$6),"outlier","not outlier")</f>
        <v>not outlier</v>
      </c>
      <c r="M1763" s="4" t="str">
        <f>IF(OR(Копия_20206[[#This Row],[Number of stores]]&gt;$U$7,Копия_20206[[#This Row],[Number of stores]]&lt;$U$6),"outlier","not outlier")</f>
        <v>not outlier</v>
      </c>
    </row>
    <row r="1764" spans="1:13" x14ac:dyDescent="0.25">
      <c r="A1764">
        <v>2022</v>
      </c>
      <c r="B1764">
        <v>3</v>
      </c>
      <c r="C1764" s="1" t="s">
        <v>29</v>
      </c>
      <c r="D1764" s="1" t="s">
        <v>47</v>
      </c>
      <c r="E1764" s="1" t="s">
        <v>11</v>
      </c>
      <c r="F1764" s="5">
        <v>10.7233</v>
      </c>
      <c r="G1764" s="5">
        <v>982.05882899999995</v>
      </c>
      <c r="H1764" s="5">
        <v>3.7530999999999999</v>
      </c>
      <c r="I1764">
        <v>3545</v>
      </c>
      <c r="J1764" s="4" t="str">
        <f>IF(OR(Копия_20206[[#This Row],[Units (in 1000)]]&gt;$R$7,Копия_20206[[#This Row],[Units (in 1000)]]&lt;$R$6),"outlier","not outlier")</f>
        <v>not outlier</v>
      </c>
      <c r="K1764" s="4" t="str">
        <f>IF(OR(Копия_20206[[#This Row],[Value (in 1000 rub)]]&gt;$S$7,Копия_20206[[#This Row],[Value (in 1000 rub)]]&lt;$S$6),"outlier","not outlier")</f>
        <v>not outlier</v>
      </c>
      <c r="L1764" s="4" t="str">
        <f>IF(OR(Копия_20206[[#This Row],[Volume (in 1000 kg)]]&gt;$T$7,Копия_20206[[#This Row],[Volume (in 1000 kg)]]&lt;$T$6),"outlier","not outlier")</f>
        <v>not outlier</v>
      </c>
      <c r="M1764" s="4" t="str">
        <f>IF(OR(Копия_20206[[#This Row],[Number of stores]]&gt;$U$7,Копия_20206[[#This Row],[Number of stores]]&lt;$U$6),"outlier","not outlier")</f>
        <v>outlier</v>
      </c>
    </row>
    <row r="1765" spans="1:13" x14ac:dyDescent="0.25">
      <c r="A1765">
        <v>2022</v>
      </c>
      <c r="B1765">
        <v>4</v>
      </c>
      <c r="C1765" s="1" t="s">
        <v>8</v>
      </c>
      <c r="D1765" s="1" t="s">
        <v>47</v>
      </c>
      <c r="E1765" s="1" t="s">
        <v>11</v>
      </c>
      <c r="F1765" s="5">
        <v>0.79239999999999999</v>
      </c>
      <c r="G1765" s="5">
        <v>73.897713999999993</v>
      </c>
      <c r="H1765" s="5">
        <v>0.27739999999999998</v>
      </c>
      <c r="I1765">
        <v>117</v>
      </c>
      <c r="J1765" s="4" t="str">
        <f>IF(OR(Копия_20206[[#This Row],[Units (in 1000)]]&gt;$R$7,Копия_20206[[#This Row],[Units (in 1000)]]&lt;$R$6),"outlier","not outlier")</f>
        <v>not outlier</v>
      </c>
      <c r="K1765" s="4" t="str">
        <f>IF(OR(Копия_20206[[#This Row],[Value (in 1000 rub)]]&gt;$S$7,Копия_20206[[#This Row],[Value (in 1000 rub)]]&lt;$S$6),"outlier","not outlier")</f>
        <v>not outlier</v>
      </c>
      <c r="L1765" s="4" t="str">
        <f>IF(OR(Копия_20206[[#This Row],[Volume (in 1000 kg)]]&gt;$T$7,Копия_20206[[#This Row],[Volume (in 1000 kg)]]&lt;$T$6),"outlier","not outlier")</f>
        <v>not outlier</v>
      </c>
      <c r="M1765" s="4" t="str">
        <f>IF(OR(Копия_20206[[#This Row],[Number of stores]]&gt;$U$7,Копия_20206[[#This Row],[Number of stores]]&lt;$U$6),"outlier","not outlier")</f>
        <v>not outlier</v>
      </c>
    </row>
    <row r="1766" spans="1:13" x14ac:dyDescent="0.25">
      <c r="A1766">
        <v>2022</v>
      </c>
      <c r="B1766">
        <v>4</v>
      </c>
      <c r="C1766" s="1" t="s">
        <v>25</v>
      </c>
      <c r="D1766" s="1" t="s">
        <v>47</v>
      </c>
      <c r="E1766" s="1" t="s">
        <v>11</v>
      </c>
      <c r="F1766" s="5">
        <v>1.6755</v>
      </c>
      <c r="G1766" s="5">
        <v>152.96133399999999</v>
      </c>
      <c r="H1766" s="5">
        <v>0.58640000000000003</v>
      </c>
      <c r="I1766">
        <v>814</v>
      </c>
      <c r="J1766" s="4" t="str">
        <f>IF(OR(Копия_20206[[#This Row],[Units (in 1000)]]&gt;$R$7,Копия_20206[[#This Row],[Units (in 1000)]]&lt;$R$6),"outlier","not outlier")</f>
        <v>not outlier</v>
      </c>
      <c r="K1766" s="4" t="str">
        <f>IF(OR(Копия_20206[[#This Row],[Value (in 1000 rub)]]&gt;$S$7,Копия_20206[[#This Row],[Value (in 1000 rub)]]&lt;$S$6),"outlier","not outlier")</f>
        <v>not outlier</v>
      </c>
      <c r="L1766" s="4" t="str">
        <f>IF(OR(Копия_20206[[#This Row],[Volume (in 1000 kg)]]&gt;$T$7,Копия_20206[[#This Row],[Volume (in 1000 kg)]]&lt;$T$6),"outlier","not outlier")</f>
        <v>not outlier</v>
      </c>
      <c r="M1766" s="4" t="str">
        <f>IF(OR(Копия_20206[[#This Row],[Number of stores]]&gt;$U$7,Копия_20206[[#This Row],[Number of stores]]&lt;$U$6),"outlier","not outlier")</f>
        <v>not outlier</v>
      </c>
    </row>
    <row r="1767" spans="1:13" x14ac:dyDescent="0.25">
      <c r="A1767">
        <v>2022</v>
      </c>
      <c r="B1767">
        <v>4</v>
      </c>
      <c r="C1767" s="1" t="s">
        <v>29</v>
      </c>
      <c r="D1767" s="1" t="s">
        <v>47</v>
      </c>
      <c r="E1767" s="1" t="s">
        <v>11</v>
      </c>
      <c r="F1767" s="5">
        <v>10.287599999999999</v>
      </c>
      <c r="G1767" s="5">
        <v>955.543497</v>
      </c>
      <c r="H1767" s="5">
        <v>3.6006999999999998</v>
      </c>
      <c r="I1767">
        <v>3276</v>
      </c>
      <c r="J1767" s="4" t="str">
        <f>IF(OR(Копия_20206[[#This Row],[Units (in 1000)]]&gt;$R$7,Копия_20206[[#This Row],[Units (in 1000)]]&lt;$R$6),"outlier","not outlier")</f>
        <v>not outlier</v>
      </c>
      <c r="K1767" s="4" t="str">
        <f>IF(OR(Копия_20206[[#This Row],[Value (in 1000 rub)]]&gt;$S$7,Копия_20206[[#This Row],[Value (in 1000 rub)]]&lt;$S$6),"outlier","not outlier")</f>
        <v>not outlier</v>
      </c>
      <c r="L1767" s="4" t="str">
        <f>IF(OR(Копия_20206[[#This Row],[Volume (in 1000 kg)]]&gt;$T$7,Копия_20206[[#This Row],[Volume (in 1000 kg)]]&lt;$T$6),"outlier","not outlier")</f>
        <v>not outlier</v>
      </c>
      <c r="M1767" s="4" t="str">
        <f>IF(OR(Копия_20206[[#This Row],[Number of stores]]&gt;$U$7,Копия_20206[[#This Row],[Number of stores]]&lt;$U$6),"outlier","not outlier")</f>
        <v>outlier</v>
      </c>
    </row>
    <row r="1768" spans="1:13" x14ac:dyDescent="0.25">
      <c r="A1768">
        <v>2022</v>
      </c>
      <c r="B1768">
        <v>5</v>
      </c>
      <c r="C1768" s="1" t="s">
        <v>8</v>
      </c>
      <c r="D1768" s="1" t="s">
        <v>47</v>
      </c>
      <c r="E1768" s="1" t="s">
        <v>11</v>
      </c>
      <c r="F1768" s="5">
        <v>0.79859999999999998</v>
      </c>
      <c r="G1768" s="5">
        <v>74.260341999999994</v>
      </c>
      <c r="H1768" s="5">
        <v>0.27950000000000003</v>
      </c>
      <c r="I1768">
        <v>109</v>
      </c>
      <c r="J1768" s="4" t="str">
        <f>IF(OR(Копия_20206[[#This Row],[Units (in 1000)]]&gt;$R$7,Копия_20206[[#This Row],[Units (in 1000)]]&lt;$R$6),"outlier","not outlier")</f>
        <v>not outlier</v>
      </c>
      <c r="K1768" s="4" t="str">
        <f>IF(OR(Копия_20206[[#This Row],[Value (in 1000 rub)]]&gt;$S$7,Копия_20206[[#This Row],[Value (in 1000 rub)]]&lt;$S$6),"outlier","not outlier")</f>
        <v>not outlier</v>
      </c>
      <c r="L1768" s="4" t="str">
        <f>IF(OR(Копия_20206[[#This Row],[Volume (in 1000 kg)]]&gt;$T$7,Копия_20206[[#This Row],[Volume (in 1000 kg)]]&lt;$T$6),"outlier","not outlier")</f>
        <v>not outlier</v>
      </c>
      <c r="M1768" s="4" t="str">
        <f>IF(OR(Копия_20206[[#This Row],[Number of stores]]&gt;$U$7,Копия_20206[[#This Row],[Number of stores]]&lt;$U$6),"outlier","not outlier")</f>
        <v>not outlier</v>
      </c>
    </row>
    <row r="1769" spans="1:13" x14ac:dyDescent="0.25">
      <c r="A1769">
        <v>2022</v>
      </c>
      <c r="B1769">
        <v>5</v>
      </c>
      <c r="C1769" s="1" t="s">
        <v>25</v>
      </c>
      <c r="D1769" s="1" t="s">
        <v>47</v>
      </c>
      <c r="E1769" s="1" t="s">
        <v>11</v>
      </c>
      <c r="F1769" s="5">
        <v>1.4164000000000001</v>
      </c>
      <c r="G1769" s="5">
        <v>129.82277099999999</v>
      </c>
      <c r="H1769" s="5">
        <v>0.49569999999999997</v>
      </c>
      <c r="I1769">
        <v>529</v>
      </c>
      <c r="J1769" s="4" t="str">
        <f>IF(OR(Копия_20206[[#This Row],[Units (in 1000)]]&gt;$R$7,Копия_20206[[#This Row],[Units (in 1000)]]&lt;$R$6),"outlier","not outlier")</f>
        <v>not outlier</v>
      </c>
      <c r="K1769" s="4" t="str">
        <f>IF(OR(Копия_20206[[#This Row],[Value (in 1000 rub)]]&gt;$S$7,Копия_20206[[#This Row],[Value (in 1000 rub)]]&lt;$S$6),"outlier","not outlier")</f>
        <v>not outlier</v>
      </c>
      <c r="L1769" s="4" t="str">
        <f>IF(OR(Копия_20206[[#This Row],[Volume (in 1000 kg)]]&gt;$T$7,Копия_20206[[#This Row],[Volume (in 1000 kg)]]&lt;$T$6),"outlier","not outlier")</f>
        <v>not outlier</v>
      </c>
      <c r="M1769" s="4" t="str">
        <f>IF(OR(Копия_20206[[#This Row],[Number of stores]]&gt;$U$7,Копия_20206[[#This Row],[Number of stores]]&lt;$U$6),"outlier","not outlier")</f>
        <v>not outlier</v>
      </c>
    </row>
    <row r="1770" spans="1:13" x14ac:dyDescent="0.25">
      <c r="A1770">
        <v>2022</v>
      </c>
      <c r="B1770">
        <v>5</v>
      </c>
      <c r="C1770" s="1" t="s">
        <v>29</v>
      </c>
      <c r="D1770" s="1" t="s">
        <v>47</v>
      </c>
      <c r="E1770" s="1" t="s">
        <v>11</v>
      </c>
      <c r="F1770" s="5">
        <v>10.0082</v>
      </c>
      <c r="G1770" s="5">
        <v>934.25620000000004</v>
      </c>
      <c r="H1770" s="5">
        <v>3.5028999999999999</v>
      </c>
      <c r="I1770">
        <v>3211</v>
      </c>
      <c r="J1770" s="4" t="str">
        <f>IF(OR(Копия_20206[[#This Row],[Units (in 1000)]]&gt;$R$7,Копия_20206[[#This Row],[Units (in 1000)]]&lt;$R$6),"outlier","not outlier")</f>
        <v>not outlier</v>
      </c>
      <c r="K1770" s="4" t="str">
        <f>IF(OR(Копия_20206[[#This Row],[Value (in 1000 rub)]]&gt;$S$7,Копия_20206[[#This Row],[Value (in 1000 rub)]]&lt;$S$6),"outlier","not outlier")</f>
        <v>not outlier</v>
      </c>
      <c r="L1770" s="4" t="str">
        <f>IF(OR(Копия_20206[[#This Row],[Volume (in 1000 kg)]]&gt;$T$7,Копия_20206[[#This Row],[Volume (in 1000 kg)]]&lt;$T$6),"outlier","not outlier")</f>
        <v>not outlier</v>
      </c>
      <c r="M1770" s="4" t="str">
        <f>IF(OR(Копия_20206[[#This Row],[Number of stores]]&gt;$U$7,Копия_20206[[#This Row],[Number of stores]]&lt;$U$6),"outlier","not outlier")</f>
        <v>outlier</v>
      </c>
    </row>
    <row r="1771" spans="1:13" x14ac:dyDescent="0.25">
      <c r="A1771">
        <v>2022</v>
      </c>
      <c r="B1771">
        <v>6</v>
      </c>
      <c r="C1771" s="1" t="s">
        <v>8</v>
      </c>
      <c r="D1771" s="1" t="s">
        <v>47</v>
      </c>
      <c r="E1771" s="1" t="s">
        <v>11</v>
      </c>
      <c r="F1771" s="5">
        <v>0.69420000000000004</v>
      </c>
      <c r="G1771" s="5">
        <v>64.158081999999993</v>
      </c>
      <c r="H1771" s="5">
        <v>0.2429</v>
      </c>
      <c r="I1771">
        <v>111</v>
      </c>
      <c r="J1771" s="4" t="str">
        <f>IF(OR(Копия_20206[[#This Row],[Units (in 1000)]]&gt;$R$7,Копия_20206[[#This Row],[Units (in 1000)]]&lt;$R$6),"outlier","not outlier")</f>
        <v>not outlier</v>
      </c>
      <c r="K1771" s="4" t="str">
        <f>IF(OR(Копия_20206[[#This Row],[Value (in 1000 rub)]]&gt;$S$7,Копия_20206[[#This Row],[Value (in 1000 rub)]]&lt;$S$6),"outlier","not outlier")</f>
        <v>not outlier</v>
      </c>
      <c r="L1771" s="4" t="str">
        <f>IF(OR(Копия_20206[[#This Row],[Volume (in 1000 kg)]]&gt;$T$7,Копия_20206[[#This Row],[Volume (in 1000 kg)]]&lt;$T$6),"outlier","not outlier")</f>
        <v>not outlier</v>
      </c>
      <c r="M1771" s="4" t="str">
        <f>IF(OR(Копия_20206[[#This Row],[Number of stores]]&gt;$U$7,Копия_20206[[#This Row],[Number of stores]]&lt;$U$6),"outlier","not outlier")</f>
        <v>not outlier</v>
      </c>
    </row>
    <row r="1772" spans="1:13" x14ac:dyDescent="0.25">
      <c r="A1772">
        <v>2022</v>
      </c>
      <c r="B1772">
        <v>6</v>
      </c>
      <c r="C1772" s="1" t="s">
        <v>25</v>
      </c>
      <c r="D1772" s="1" t="s">
        <v>47</v>
      </c>
      <c r="E1772" s="1" t="s">
        <v>11</v>
      </c>
      <c r="F1772" s="5">
        <v>1.3515999999999999</v>
      </c>
      <c r="G1772" s="5">
        <v>123.076725</v>
      </c>
      <c r="H1772" s="5">
        <v>0.47310000000000002</v>
      </c>
      <c r="I1772">
        <v>569</v>
      </c>
      <c r="J1772" s="4" t="str">
        <f>IF(OR(Копия_20206[[#This Row],[Units (in 1000)]]&gt;$R$7,Копия_20206[[#This Row],[Units (in 1000)]]&lt;$R$6),"outlier","not outlier")</f>
        <v>not outlier</v>
      </c>
      <c r="K1772" s="4" t="str">
        <f>IF(OR(Копия_20206[[#This Row],[Value (in 1000 rub)]]&gt;$S$7,Копия_20206[[#This Row],[Value (in 1000 rub)]]&lt;$S$6),"outlier","not outlier")</f>
        <v>not outlier</v>
      </c>
      <c r="L1772" s="4" t="str">
        <f>IF(OR(Копия_20206[[#This Row],[Volume (in 1000 kg)]]&gt;$T$7,Копия_20206[[#This Row],[Volume (in 1000 kg)]]&lt;$T$6),"outlier","not outlier")</f>
        <v>not outlier</v>
      </c>
      <c r="M1772" s="4" t="str">
        <f>IF(OR(Копия_20206[[#This Row],[Number of stores]]&gt;$U$7,Копия_20206[[#This Row],[Number of stores]]&lt;$U$6),"outlier","not outlier")</f>
        <v>not outlier</v>
      </c>
    </row>
    <row r="1773" spans="1:13" x14ac:dyDescent="0.25">
      <c r="A1773">
        <v>2022</v>
      </c>
      <c r="B1773">
        <v>6</v>
      </c>
      <c r="C1773" s="1" t="s">
        <v>29</v>
      </c>
      <c r="D1773" s="1" t="s">
        <v>47</v>
      </c>
      <c r="E1773" s="1" t="s">
        <v>11</v>
      </c>
      <c r="F1773" s="5">
        <v>8.1940000000000008</v>
      </c>
      <c r="G1773" s="5">
        <v>763.41112499999997</v>
      </c>
      <c r="H1773" s="5">
        <v>2.8679000000000001</v>
      </c>
      <c r="I1773">
        <v>2990</v>
      </c>
      <c r="J1773" s="4" t="str">
        <f>IF(OR(Копия_20206[[#This Row],[Units (in 1000)]]&gt;$R$7,Копия_20206[[#This Row],[Units (in 1000)]]&lt;$R$6),"outlier","not outlier")</f>
        <v>not outlier</v>
      </c>
      <c r="K1773" s="4" t="str">
        <f>IF(OR(Копия_20206[[#This Row],[Value (in 1000 rub)]]&gt;$S$7,Копия_20206[[#This Row],[Value (in 1000 rub)]]&lt;$S$6),"outlier","not outlier")</f>
        <v>not outlier</v>
      </c>
      <c r="L1773" s="4" t="str">
        <f>IF(OR(Копия_20206[[#This Row],[Volume (in 1000 kg)]]&gt;$T$7,Копия_20206[[#This Row],[Volume (in 1000 kg)]]&lt;$T$6),"outlier","not outlier")</f>
        <v>not outlier</v>
      </c>
      <c r="M1773" s="4" t="str">
        <f>IF(OR(Копия_20206[[#This Row],[Number of stores]]&gt;$U$7,Копия_20206[[#This Row],[Number of stores]]&lt;$U$6),"outlier","not outlier")</f>
        <v>outlier</v>
      </c>
    </row>
    <row r="1774" spans="1:13" x14ac:dyDescent="0.25">
      <c r="A1774">
        <v>2022</v>
      </c>
      <c r="B1774">
        <v>7</v>
      </c>
      <c r="C1774" s="1" t="s">
        <v>8</v>
      </c>
      <c r="D1774" s="1" t="s">
        <v>47</v>
      </c>
      <c r="E1774" s="1" t="s">
        <v>11</v>
      </c>
      <c r="F1774" s="5">
        <v>0.80969999999999998</v>
      </c>
      <c r="G1774" s="5">
        <v>70.919377999999995</v>
      </c>
      <c r="H1774" s="5">
        <v>0.2833</v>
      </c>
      <c r="I1774">
        <v>114</v>
      </c>
      <c r="J1774" s="4" t="str">
        <f>IF(OR(Копия_20206[[#This Row],[Units (in 1000)]]&gt;$R$7,Копия_20206[[#This Row],[Units (in 1000)]]&lt;$R$6),"outlier","not outlier")</f>
        <v>not outlier</v>
      </c>
      <c r="K1774" s="4" t="str">
        <f>IF(OR(Копия_20206[[#This Row],[Value (in 1000 rub)]]&gt;$S$7,Копия_20206[[#This Row],[Value (in 1000 rub)]]&lt;$S$6),"outlier","not outlier")</f>
        <v>not outlier</v>
      </c>
      <c r="L1774" s="4" t="str">
        <f>IF(OR(Копия_20206[[#This Row],[Volume (in 1000 kg)]]&gt;$T$7,Копия_20206[[#This Row],[Volume (in 1000 kg)]]&lt;$T$6),"outlier","not outlier")</f>
        <v>not outlier</v>
      </c>
      <c r="M1774" s="4" t="str">
        <f>IF(OR(Копия_20206[[#This Row],[Number of stores]]&gt;$U$7,Копия_20206[[#This Row],[Number of stores]]&lt;$U$6),"outlier","not outlier")</f>
        <v>not outlier</v>
      </c>
    </row>
    <row r="1775" spans="1:13" x14ac:dyDescent="0.25">
      <c r="A1775">
        <v>2022</v>
      </c>
      <c r="B1775">
        <v>7</v>
      </c>
      <c r="C1775" s="1" t="s">
        <v>25</v>
      </c>
      <c r="D1775" s="1" t="s">
        <v>47</v>
      </c>
      <c r="E1775" s="1" t="s">
        <v>11</v>
      </c>
      <c r="F1775" s="5">
        <v>1.2556</v>
      </c>
      <c r="G1775" s="5">
        <v>115.030749</v>
      </c>
      <c r="H1775" s="5">
        <v>0.4395</v>
      </c>
      <c r="I1775">
        <v>554</v>
      </c>
      <c r="J1775" s="4" t="str">
        <f>IF(OR(Копия_20206[[#This Row],[Units (in 1000)]]&gt;$R$7,Копия_20206[[#This Row],[Units (in 1000)]]&lt;$R$6),"outlier","not outlier")</f>
        <v>not outlier</v>
      </c>
      <c r="K1775" s="4" t="str">
        <f>IF(OR(Копия_20206[[#This Row],[Value (in 1000 rub)]]&gt;$S$7,Копия_20206[[#This Row],[Value (in 1000 rub)]]&lt;$S$6),"outlier","not outlier")</f>
        <v>not outlier</v>
      </c>
      <c r="L1775" s="4" t="str">
        <f>IF(OR(Копия_20206[[#This Row],[Volume (in 1000 kg)]]&gt;$T$7,Копия_20206[[#This Row],[Volume (in 1000 kg)]]&lt;$T$6),"outlier","not outlier")</f>
        <v>not outlier</v>
      </c>
      <c r="M1775" s="4" t="str">
        <f>IF(OR(Копия_20206[[#This Row],[Number of stores]]&gt;$U$7,Копия_20206[[#This Row],[Number of stores]]&lt;$U$6),"outlier","not outlier")</f>
        <v>not outlier</v>
      </c>
    </row>
    <row r="1776" spans="1:13" x14ac:dyDescent="0.25">
      <c r="A1776">
        <v>2022</v>
      </c>
      <c r="B1776">
        <v>7</v>
      </c>
      <c r="C1776" s="1" t="s">
        <v>29</v>
      </c>
      <c r="D1776" s="1" t="s">
        <v>47</v>
      </c>
      <c r="E1776" s="1" t="s">
        <v>11</v>
      </c>
      <c r="F1776" s="5">
        <v>9.1713000000000005</v>
      </c>
      <c r="G1776" s="5">
        <v>848.26989500000002</v>
      </c>
      <c r="H1776" s="5">
        <v>3.2099000000000002</v>
      </c>
      <c r="I1776">
        <v>3168</v>
      </c>
      <c r="J1776" s="4" t="str">
        <f>IF(OR(Копия_20206[[#This Row],[Units (in 1000)]]&gt;$R$7,Копия_20206[[#This Row],[Units (in 1000)]]&lt;$R$6),"outlier","not outlier")</f>
        <v>not outlier</v>
      </c>
      <c r="K1776" s="4" t="str">
        <f>IF(OR(Копия_20206[[#This Row],[Value (in 1000 rub)]]&gt;$S$7,Копия_20206[[#This Row],[Value (in 1000 rub)]]&lt;$S$6),"outlier","not outlier")</f>
        <v>not outlier</v>
      </c>
      <c r="L1776" s="4" t="str">
        <f>IF(OR(Копия_20206[[#This Row],[Volume (in 1000 kg)]]&gt;$T$7,Копия_20206[[#This Row],[Volume (in 1000 kg)]]&lt;$T$6),"outlier","not outlier")</f>
        <v>not outlier</v>
      </c>
      <c r="M1776" s="4" t="str">
        <f>IF(OR(Копия_20206[[#This Row],[Number of stores]]&gt;$U$7,Копия_20206[[#This Row],[Number of stores]]&lt;$U$6),"outlier","not outlier")</f>
        <v>outlier</v>
      </c>
    </row>
    <row r="1777" spans="1:13" x14ac:dyDescent="0.25">
      <c r="A1777">
        <v>2022</v>
      </c>
      <c r="B1777">
        <v>8</v>
      </c>
      <c r="C1777" s="1" t="s">
        <v>8</v>
      </c>
      <c r="D1777" s="1" t="s">
        <v>47</v>
      </c>
      <c r="E1777" s="1" t="s">
        <v>11</v>
      </c>
      <c r="F1777" s="5">
        <v>0.97130000000000005</v>
      </c>
      <c r="G1777" s="5">
        <v>82.145392999999999</v>
      </c>
      <c r="H1777" s="5">
        <v>0.34</v>
      </c>
      <c r="I1777">
        <v>115</v>
      </c>
      <c r="J1777" s="4" t="str">
        <f>IF(OR(Копия_20206[[#This Row],[Units (in 1000)]]&gt;$R$7,Копия_20206[[#This Row],[Units (in 1000)]]&lt;$R$6),"outlier","not outlier")</f>
        <v>not outlier</v>
      </c>
      <c r="K1777" s="4" t="str">
        <f>IF(OR(Копия_20206[[#This Row],[Value (in 1000 rub)]]&gt;$S$7,Копия_20206[[#This Row],[Value (in 1000 rub)]]&lt;$S$6),"outlier","not outlier")</f>
        <v>not outlier</v>
      </c>
      <c r="L1777" s="4" t="str">
        <f>IF(OR(Копия_20206[[#This Row],[Volume (in 1000 kg)]]&gt;$T$7,Копия_20206[[#This Row],[Volume (in 1000 kg)]]&lt;$T$6),"outlier","not outlier")</f>
        <v>not outlier</v>
      </c>
      <c r="M1777" s="4" t="str">
        <f>IF(OR(Копия_20206[[#This Row],[Number of stores]]&gt;$U$7,Копия_20206[[#This Row],[Number of stores]]&lt;$U$6),"outlier","not outlier")</f>
        <v>not outlier</v>
      </c>
    </row>
    <row r="1778" spans="1:13" x14ac:dyDescent="0.25">
      <c r="A1778">
        <v>2022</v>
      </c>
      <c r="B1778">
        <v>8</v>
      </c>
      <c r="C1778" s="1" t="s">
        <v>25</v>
      </c>
      <c r="D1778" s="1" t="s">
        <v>47</v>
      </c>
      <c r="E1778" s="1" t="s">
        <v>11</v>
      </c>
      <c r="F1778" s="5">
        <v>1.9097999999999999</v>
      </c>
      <c r="G1778" s="5">
        <v>164.086365</v>
      </c>
      <c r="H1778" s="5">
        <v>0.66839999999999999</v>
      </c>
      <c r="I1778">
        <v>856</v>
      </c>
      <c r="J1778" s="4" t="str">
        <f>IF(OR(Копия_20206[[#This Row],[Units (in 1000)]]&gt;$R$7,Копия_20206[[#This Row],[Units (in 1000)]]&lt;$R$6),"outlier","not outlier")</f>
        <v>not outlier</v>
      </c>
      <c r="K1778" s="4" t="str">
        <f>IF(OR(Копия_20206[[#This Row],[Value (in 1000 rub)]]&gt;$S$7,Копия_20206[[#This Row],[Value (in 1000 rub)]]&lt;$S$6),"outlier","not outlier")</f>
        <v>not outlier</v>
      </c>
      <c r="L1778" s="4" t="str">
        <f>IF(OR(Копия_20206[[#This Row],[Volume (in 1000 kg)]]&gt;$T$7,Копия_20206[[#This Row],[Volume (in 1000 kg)]]&lt;$T$6),"outlier","not outlier")</f>
        <v>not outlier</v>
      </c>
      <c r="M1778" s="4" t="str">
        <f>IF(OR(Копия_20206[[#This Row],[Number of stores]]&gt;$U$7,Копия_20206[[#This Row],[Number of stores]]&lt;$U$6),"outlier","not outlier")</f>
        <v>not outlier</v>
      </c>
    </row>
    <row r="1779" spans="1:13" x14ac:dyDescent="0.25">
      <c r="A1779">
        <v>2022</v>
      </c>
      <c r="B1779">
        <v>8</v>
      </c>
      <c r="C1779" s="1" t="s">
        <v>29</v>
      </c>
      <c r="D1779" s="1" t="s">
        <v>47</v>
      </c>
      <c r="E1779" s="1" t="s">
        <v>11</v>
      </c>
      <c r="F1779" s="5">
        <v>12.331200000000001</v>
      </c>
      <c r="G1779" s="5">
        <v>1072.2411139999999</v>
      </c>
      <c r="H1779" s="5">
        <v>4.3159000000000001</v>
      </c>
      <c r="I1779">
        <v>3741</v>
      </c>
      <c r="J1779" s="4" t="str">
        <f>IF(OR(Копия_20206[[#This Row],[Units (in 1000)]]&gt;$R$7,Копия_20206[[#This Row],[Units (in 1000)]]&lt;$R$6),"outlier","not outlier")</f>
        <v>not outlier</v>
      </c>
      <c r="K1779" s="4" t="str">
        <f>IF(OR(Копия_20206[[#This Row],[Value (in 1000 rub)]]&gt;$S$7,Копия_20206[[#This Row],[Value (in 1000 rub)]]&lt;$S$6),"outlier","not outlier")</f>
        <v>not outlier</v>
      </c>
      <c r="L1779" s="4" t="str">
        <f>IF(OR(Копия_20206[[#This Row],[Volume (in 1000 kg)]]&gt;$T$7,Копия_20206[[#This Row],[Volume (in 1000 kg)]]&lt;$T$6),"outlier","not outlier")</f>
        <v>not outlier</v>
      </c>
      <c r="M1779" s="4" t="str">
        <f>IF(OR(Копия_20206[[#This Row],[Number of stores]]&gt;$U$7,Копия_20206[[#This Row],[Number of stores]]&lt;$U$6),"outlier","not outlier")</f>
        <v>outlier</v>
      </c>
    </row>
    <row r="1780" spans="1:13" x14ac:dyDescent="0.25">
      <c r="A1780">
        <v>2022</v>
      </c>
      <c r="B1780">
        <v>9</v>
      </c>
      <c r="C1780" s="1" t="s">
        <v>8</v>
      </c>
      <c r="D1780" s="1" t="s">
        <v>47</v>
      </c>
      <c r="E1780" s="1" t="s">
        <v>11</v>
      </c>
      <c r="F1780" s="5">
        <v>0.84909999999999997</v>
      </c>
      <c r="G1780" s="5">
        <v>78.136527999999998</v>
      </c>
      <c r="H1780" s="5">
        <v>0.29720000000000002</v>
      </c>
      <c r="I1780">
        <v>114</v>
      </c>
      <c r="J1780" s="4" t="str">
        <f>IF(OR(Копия_20206[[#This Row],[Units (in 1000)]]&gt;$R$7,Копия_20206[[#This Row],[Units (in 1000)]]&lt;$R$6),"outlier","not outlier")</f>
        <v>not outlier</v>
      </c>
      <c r="K1780" s="4" t="str">
        <f>IF(OR(Копия_20206[[#This Row],[Value (in 1000 rub)]]&gt;$S$7,Копия_20206[[#This Row],[Value (in 1000 rub)]]&lt;$S$6),"outlier","not outlier")</f>
        <v>not outlier</v>
      </c>
      <c r="L1780" s="4" t="str">
        <f>IF(OR(Копия_20206[[#This Row],[Volume (in 1000 kg)]]&gt;$T$7,Копия_20206[[#This Row],[Volume (in 1000 kg)]]&lt;$T$6),"outlier","not outlier")</f>
        <v>not outlier</v>
      </c>
      <c r="M1780" s="4" t="str">
        <f>IF(OR(Копия_20206[[#This Row],[Number of stores]]&gt;$U$7,Копия_20206[[#This Row],[Number of stores]]&lt;$U$6),"outlier","not outlier")</f>
        <v>not outlier</v>
      </c>
    </row>
    <row r="1781" spans="1:13" x14ac:dyDescent="0.25">
      <c r="A1781">
        <v>2022</v>
      </c>
      <c r="B1781">
        <v>9</v>
      </c>
      <c r="C1781" s="1" t="s">
        <v>25</v>
      </c>
      <c r="D1781" s="1" t="s">
        <v>47</v>
      </c>
      <c r="E1781" s="1" t="s">
        <v>11</v>
      </c>
      <c r="F1781" s="5">
        <v>1.9004000000000001</v>
      </c>
      <c r="G1781" s="5">
        <v>167.379323</v>
      </c>
      <c r="H1781" s="5">
        <v>0.66510000000000002</v>
      </c>
      <c r="I1781">
        <v>984</v>
      </c>
      <c r="J1781" s="4" t="str">
        <f>IF(OR(Копия_20206[[#This Row],[Units (in 1000)]]&gt;$R$7,Копия_20206[[#This Row],[Units (in 1000)]]&lt;$R$6),"outlier","not outlier")</f>
        <v>not outlier</v>
      </c>
      <c r="K1781" s="4" t="str">
        <f>IF(OR(Копия_20206[[#This Row],[Value (in 1000 rub)]]&gt;$S$7,Копия_20206[[#This Row],[Value (in 1000 rub)]]&lt;$S$6),"outlier","not outlier")</f>
        <v>not outlier</v>
      </c>
      <c r="L1781" s="4" t="str">
        <f>IF(OR(Копия_20206[[#This Row],[Volume (in 1000 kg)]]&gt;$T$7,Копия_20206[[#This Row],[Volume (in 1000 kg)]]&lt;$T$6),"outlier","not outlier")</f>
        <v>not outlier</v>
      </c>
      <c r="M1781" s="4" t="str">
        <f>IF(OR(Копия_20206[[#This Row],[Number of stores]]&gt;$U$7,Копия_20206[[#This Row],[Number of stores]]&lt;$U$6),"outlier","not outlier")</f>
        <v>not outlier</v>
      </c>
    </row>
    <row r="1782" spans="1:13" x14ac:dyDescent="0.25">
      <c r="A1782">
        <v>2022</v>
      </c>
      <c r="B1782">
        <v>9</v>
      </c>
      <c r="C1782" s="1" t="s">
        <v>29</v>
      </c>
      <c r="D1782" s="1" t="s">
        <v>47</v>
      </c>
      <c r="E1782" s="1" t="s">
        <v>11</v>
      </c>
      <c r="F1782" s="5">
        <v>11.807499999999999</v>
      </c>
      <c r="G1782" s="5">
        <v>1071.843543</v>
      </c>
      <c r="H1782" s="5">
        <v>4.1326000000000001</v>
      </c>
      <c r="I1782">
        <v>3759</v>
      </c>
      <c r="J1782" s="4" t="str">
        <f>IF(OR(Копия_20206[[#This Row],[Units (in 1000)]]&gt;$R$7,Копия_20206[[#This Row],[Units (in 1000)]]&lt;$R$6),"outlier","not outlier")</f>
        <v>not outlier</v>
      </c>
      <c r="K1782" s="4" t="str">
        <f>IF(OR(Копия_20206[[#This Row],[Value (in 1000 rub)]]&gt;$S$7,Копия_20206[[#This Row],[Value (in 1000 rub)]]&lt;$S$6),"outlier","not outlier")</f>
        <v>not outlier</v>
      </c>
      <c r="L1782" s="4" t="str">
        <f>IF(OR(Копия_20206[[#This Row],[Volume (in 1000 kg)]]&gt;$T$7,Копия_20206[[#This Row],[Volume (in 1000 kg)]]&lt;$T$6),"outlier","not outlier")</f>
        <v>not outlier</v>
      </c>
      <c r="M1782" s="4" t="str">
        <f>IF(OR(Копия_20206[[#This Row],[Number of stores]]&gt;$U$7,Копия_20206[[#This Row],[Number of stores]]&lt;$U$6),"outlier","not outlier")</f>
        <v>outlier</v>
      </c>
    </row>
    <row r="1783" spans="1:13" x14ac:dyDescent="0.25">
      <c r="A1783">
        <v>2022</v>
      </c>
      <c r="B1783">
        <v>10</v>
      </c>
      <c r="C1783" s="1" t="s">
        <v>8</v>
      </c>
      <c r="D1783" s="1" t="s">
        <v>47</v>
      </c>
      <c r="E1783" s="1" t="s">
        <v>11</v>
      </c>
      <c r="F1783" s="5">
        <v>1.0964</v>
      </c>
      <c r="G1783" s="5">
        <v>99.100650000000002</v>
      </c>
      <c r="H1783" s="5">
        <v>0.38379999999999997</v>
      </c>
      <c r="I1783">
        <v>113</v>
      </c>
      <c r="J1783" s="4" t="str">
        <f>IF(OR(Копия_20206[[#This Row],[Units (in 1000)]]&gt;$R$7,Копия_20206[[#This Row],[Units (in 1000)]]&lt;$R$6),"outlier","not outlier")</f>
        <v>not outlier</v>
      </c>
      <c r="K1783" s="4" t="str">
        <f>IF(OR(Копия_20206[[#This Row],[Value (in 1000 rub)]]&gt;$S$7,Копия_20206[[#This Row],[Value (in 1000 rub)]]&lt;$S$6),"outlier","not outlier")</f>
        <v>not outlier</v>
      </c>
      <c r="L1783" s="4" t="str">
        <f>IF(OR(Копия_20206[[#This Row],[Volume (in 1000 kg)]]&gt;$T$7,Копия_20206[[#This Row],[Volume (in 1000 kg)]]&lt;$T$6),"outlier","not outlier")</f>
        <v>not outlier</v>
      </c>
      <c r="M1783" s="4" t="str">
        <f>IF(OR(Копия_20206[[#This Row],[Number of stores]]&gt;$U$7,Копия_20206[[#This Row],[Number of stores]]&lt;$U$6),"outlier","not outlier")</f>
        <v>not outlier</v>
      </c>
    </row>
    <row r="1784" spans="1:13" x14ac:dyDescent="0.25">
      <c r="A1784">
        <v>2022</v>
      </c>
      <c r="B1784">
        <v>10</v>
      </c>
      <c r="C1784" s="1" t="s">
        <v>25</v>
      </c>
      <c r="D1784" s="1" t="s">
        <v>47</v>
      </c>
      <c r="E1784" s="1" t="s">
        <v>11</v>
      </c>
      <c r="F1784" s="5">
        <v>2.4011</v>
      </c>
      <c r="G1784" s="5">
        <v>208.76339300000001</v>
      </c>
      <c r="H1784" s="5">
        <v>0.84040000000000004</v>
      </c>
      <c r="I1784">
        <v>1064</v>
      </c>
      <c r="J1784" s="4" t="str">
        <f>IF(OR(Копия_20206[[#This Row],[Units (in 1000)]]&gt;$R$7,Копия_20206[[#This Row],[Units (in 1000)]]&lt;$R$6),"outlier","not outlier")</f>
        <v>not outlier</v>
      </c>
      <c r="K1784" s="4" t="str">
        <f>IF(OR(Копия_20206[[#This Row],[Value (in 1000 rub)]]&gt;$S$7,Копия_20206[[#This Row],[Value (in 1000 rub)]]&lt;$S$6),"outlier","not outlier")</f>
        <v>not outlier</v>
      </c>
      <c r="L1784" s="4" t="str">
        <f>IF(OR(Копия_20206[[#This Row],[Volume (in 1000 kg)]]&gt;$T$7,Копия_20206[[#This Row],[Volume (in 1000 kg)]]&lt;$T$6),"outlier","not outlier")</f>
        <v>not outlier</v>
      </c>
      <c r="M1784" s="4" t="str">
        <f>IF(OR(Копия_20206[[#This Row],[Number of stores]]&gt;$U$7,Копия_20206[[#This Row],[Number of stores]]&lt;$U$6),"outlier","not outlier")</f>
        <v>not outlier</v>
      </c>
    </row>
    <row r="1785" spans="1:13" x14ac:dyDescent="0.25">
      <c r="A1785">
        <v>2022</v>
      </c>
      <c r="B1785">
        <v>10</v>
      </c>
      <c r="C1785" s="1" t="s">
        <v>29</v>
      </c>
      <c r="D1785" s="1" t="s">
        <v>47</v>
      </c>
      <c r="E1785" s="1" t="s">
        <v>11</v>
      </c>
      <c r="F1785" s="5">
        <v>14.578099999999999</v>
      </c>
      <c r="G1785" s="5">
        <v>1298.6762679999999</v>
      </c>
      <c r="H1785" s="5">
        <v>5.1024000000000003</v>
      </c>
      <c r="I1785">
        <v>3925</v>
      </c>
      <c r="J1785" s="4" t="str">
        <f>IF(OR(Копия_20206[[#This Row],[Units (in 1000)]]&gt;$R$7,Копия_20206[[#This Row],[Units (in 1000)]]&lt;$R$6),"outlier","not outlier")</f>
        <v>not outlier</v>
      </c>
      <c r="K1785" s="4" t="str">
        <f>IF(OR(Копия_20206[[#This Row],[Value (in 1000 rub)]]&gt;$S$7,Копия_20206[[#This Row],[Value (in 1000 rub)]]&lt;$S$6),"outlier","not outlier")</f>
        <v>not outlier</v>
      </c>
      <c r="L1785" s="4" t="str">
        <f>IF(OR(Копия_20206[[#This Row],[Volume (in 1000 kg)]]&gt;$T$7,Копия_20206[[#This Row],[Volume (in 1000 kg)]]&lt;$T$6),"outlier","not outlier")</f>
        <v>not outlier</v>
      </c>
      <c r="M1785" s="4" t="str">
        <f>IF(OR(Копия_20206[[#This Row],[Number of stores]]&gt;$U$7,Копия_20206[[#This Row],[Number of stores]]&lt;$U$6),"outlier","not outlier")</f>
        <v>outlier</v>
      </c>
    </row>
    <row r="1786" spans="1:13" x14ac:dyDescent="0.25">
      <c r="A1786">
        <v>2022</v>
      </c>
      <c r="B1786">
        <v>11</v>
      </c>
      <c r="C1786" s="1" t="s">
        <v>8</v>
      </c>
      <c r="D1786" s="1" t="s">
        <v>47</v>
      </c>
      <c r="E1786" s="1" t="s">
        <v>11</v>
      </c>
      <c r="F1786" s="5">
        <v>1.1889000000000001</v>
      </c>
      <c r="G1786" s="5">
        <v>106.11928</v>
      </c>
      <c r="H1786" s="5">
        <v>0.41610000000000003</v>
      </c>
      <c r="I1786">
        <v>114</v>
      </c>
      <c r="J1786" s="4" t="str">
        <f>IF(OR(Копия_20206[[#This Row],[Units (in 1000)]]&gt;$R$7,Копия_20206[[#This Row],[Units (in 1000)]]&lt;$R$6),"outlier","not outlier")</f>
        <v>not outlier</v>
      </c>
      <c r="K1786" s="4" t="str">
        <f>IF(OR(Копия_20206[[#This Row],[Value (in 1000 rub)]]&gt;$S$7,Копия_20206[[#This Row],[Value (in 1000 rub)]]&lt;$S$6),"outlier","not outlier")</f>
        <v>not outlier</v>
      </c>
      <c r="L1786" s="4" t="str">
        <f>IF(OR(Копия_20206[[#This Row],[Volume (in 1000 kg)]]&gt;$T$7,Копия_20206[[#This Row],[Volume (in 1000 kg)]]&lt;$T$6),"outlier","not outlier")</f>
        <v>not outlier</v>
      </c>
      <c r="M1786" s="4" t="str">
        <f>IF(OR(Копия_20206[[#This Row],[Number of stores]]&gt;$U$7,Копия_20206[[#This Row],[Number of stores]]&lt;$U$6),"outlier","not outlier")</f>
        <v>not outlier</v>
      </c>
    </row>
    <row r="1787" spans="1:13" x14ac:dyDescent="0.25">
      <c r="A1787">
        <v>2022</v>
      </c>
      <c r="B1787">
        <v>11</v>
      </c>
      <c r="C1787" s="1" t="s">
        <v>25</v>
      </c>
      <c r="D1787" s="1" t="s">
        <v>47</v>
      </c>
      <c r="E1787" s="1" t="s">
        <v>11</v>
      </c>
      <c r="F1787" s="5">
        <v>2.7107000000000001</v>
      </c>
      <c r="G1787" s="5">
        <v>224.93849299999999</v>
      </c>
      <c r="H1787" s="5">
        <v>0.94879999999999998</v>
      </c>
      <c r="I1787">
        <v>820</v>
      </c>
      <c r="J1787" s="4" t="str">
        <f>IF(OR(Копия_20206[[#This Row],[Units (in 1000)]]&gt;$R$7,Копия_20206[[#This Row],[Units (in 1000)]]&lt;$R$6),"outlier","not outlier")</f>
        <v>not outlier</v>
      </c>
      <c r="K1787" s="4" t="str">
        <f>IF(OR(Копия_20206[[#This Row],[Value (in 1000 rub)]]&gt;$S$7,Копия_20206[[#This Row],[Value (in 1000 rub)]]&lt;$S$6),"outlier","not outlier")</f>
        <v>not outlier</v>
      </c>
      <c r="L1787" s="4" t="str">
        <f>IF(OR(Копия_20206[[#This Row],[Volume (in 1000 kg)]]&gt;$T$7,Копия_20206[[#This Row],[Volume (in 1000 kg)]]&lt;$T$6),"outlier","not outlier")</f>
        <v>not outlier</v>
      </c>
      <c r="M1787" s="4" t="str">
        <f>IF(OR(Копия_20206[[#This Row],[Number of stores]]&gt;$U$7,Копия_20206[[#This Row],[Number of stores]]&lt;$U$6),"outlier","not outlier")</f>
        <v>not outlier</v>
      </c>
    </row>
    <row r="1788" spans="1:13" x14ac:dyDescent="0.25">
      <c r="A1788">
        <v>2022</v>
      </c>
      <c r="B1788">
        <v>11</v>
      </c>
      <c r="C1788" s="1" t="s">
        <v>29</v>
      </c>
      <c r="D1788" s="1" t="s">
        <v>47</v>
      </c>
      <c r="E1788" s="1" t="s">
        <v>11</v>
      </c>
      <c r="F1788" s="5">
        <v>16.013500000000001</v>
      </c>
      <c r="G1788" s="5">
        <v>1377.6806099999999</v>
      </c>
      <c r="H1788" s="5">
        <v>5.6047000000000002</v>
      </c>
      <c r="I1788">
        <v>4305</v>
      </c>
      <c r="J1788" s="4" t="str">
        <f>IF(OR(Копия_20206[[#This Row],[Units (in 1000)]]&gt;$R$7,Копия_20206[[#This Row],[Units (in 1000)]]&lt;$R$6),"outlier","not outlier")</f>
        <v>not outlier</v>
      </c>
      <c r="K1788" s="4" t="str">
        <f>IF(OR(Копия_20206[[#This Row],[Value (in 1000 rub)]]&gt;$S$7,Копия_20206[[#This Row],[Value (in 1000 rub)]]&lt;$S$6),"outlier","not outlier")</f>
        <v>not outlier</v>
      </c>
      <c r="L1788" s="4" t="str">
        <f>IF(OR(Копия_20206[[#This Row],[Volume (in 1000 kg)]]&gt;$T$7,Копия_20206[[#This Row],[Volume (in 1000 kg)]]&lt;$T$6),"outlier","not outlier")</f>
        <v>not outlier</v>
      </c>
      <c r="M1788" s="4" t="str">
        <f>IF(OR(Копия_20206[[#This Row],[Number of stores]]&gt;$U$7,Копия_20206[[#This Row],[Number of stores]]&lt;$U$6),"outlier","not outlier")</f>
        <v>outlier</v>
      </c>
    </row>
    <row r="1789" spans="1:13" x14ac:dyDescent="0.25">
      <c r="A1789">
        <v>2022</v>
      </c>
      <c r="B1789">
        <v>12</v>
      </c>
      <c r="C1789" s="1" t="s">
        <v>8</v>
      </c>
      <c r="D1789" s="1" t="s">
        <v>47</v>
      </c>
      <c r="E1789" s="1" t="s">
        <v>11</v>
      </c>
      <c r="F1789" s="5">
        <v>1.1106</v>
      </c>
      <c r="G1789" s="5">
        <v>98.254187000000002</v>
      </c>
      <c r="H1789" s="5">
        <v>0.3886</v>
      </c>
      <c r="I1789">
        <v>109</v>
      </c>
      <c r="J1789" s="4" t="str">
        <f>IF(OR(Копия_20206[[#This Row],[Units (in 1000)]]&gt;$R$7,Копия_20206[[#This Row],[Units (in 1000)]]&lt;$R$6),"outlier","not outlier")</f>
        <v>not outlier</v>
      </c>
      <c r="K1789" s="4" t="str">
        <f>IF(OR(Копия_20206[[#This Row],[Value (in 1000 rub)]]&gt;$S$7,Копия_20206[[#This Row],[Value (in 1000 rub)]]&lt;$S$6),"outlier","not outlier")</f>
        <v>not outlier</v>
      </c>
      <c r="L1789" s="4" t="str">
        <f>IF(OR(Копия_20206[[#This Row],[Volume (in 1000 kg)]]&gt;$T$7,Копия_20206[[#This Row],[Volume (in 1000 kg)]]&lt;$T$6),"outlier","not outlier")</f>
        <v>not outlier</v>
      </c>
      <c r="M1789" s="4" t="str">
        <f>IF(OR(Копия_20206[[#This Row],[Number of stores]]&gt;$U$7,Копия_20206[[#This Row],[Number of stores]]&lt;$U$6),"outlier","not outlier")</f>
        <v>not outlier</v>
      </c>
    </row>
    <row r="1790" spans="1:13" x14ac:dyDescent="0.25">
      <c r="A1790">
        <v>2022</v>
      </c>
      <c r="B1790">
        <v>12</v>
      </c>
      <c r="C1790" s="1" t="s">
        <v>25</v>
      </c>
      <c r="D1790" s="1" t="s">
        <v>47</v>
      </c>
      <c r="E1790" s="1" t="s">
        <v>11</v>
      </c>
      <c r="F1790" s="5">
        <v>2.3782999999999999</v>
      </c>
      <c r="G1790" s="5">
        <v>211.17560700000001</v>
      </c>
      <c r="H1790" s="5">
        <v>0.83240000000000003</v>
      </c>
      <c r="I1790">
        <v>1073</v>
      </c>
      <c r="J1790" s="4" t="str">
        <f>IF(OR(Копия_20206[[#This Row],[Units (in 1000)]]&gt;$R$7,Копия_20206[[#This Row],[Units (in 1000)]]&lt;$R$6),"outlier","not outlier")</f>
        <v>not outlier</v>
      </c>
      <c r="K1790" s="4" t="str">
        <f>IF(OR(Копия_20206[[#This Row],[Value (in 1000 rub)]]&gt;$S$7,Копия_20206[[#This Row],[Value (in 1000 rub)]]&lt;$S$6),"outlier","not outlier")</f>
        <v>not outlier</v>
      </c>
      <c r="L1790" s="4" t="str">
        <f>IF(OR(Копия_20206[[#This Row],[Volume (in 1000 kg)]]&gt;$T$7,Копия_20206[[#This Row],[Volume (in 1000 kg)]]&lt;$T$6),"outlier","not outlier")</f>
        <v>not outlier</v>
      </c>
      <c r="M1790" s="4" t="str">
        <f>IF(OR(Копия_20206[[#This Row],[Number of stores]]&gt;$U$7,Копия_20206[[#This Row],[Number of stores]]&lt;$U$6),"outlier","not outlier")</f>
        <v>not outlier</v>
      </c>
    </row>
    <row r="1791" spans="1:13" x14ac:dyDescent="0.25">
      <c r="A1791">
        <v>2022</v>
      </c>
      <c r="B1791">
        <v>12</v>
      </c>
      <c r="C1791" s="1" t="s">
        <v>29</v>
      </c>
      <c r="D1791" s="1" t="s">
        <v>47</v>
      </c>
      <c r="E1791" s="1" t="s">
        <v>11</v>
      </c>
      <c r="F1791" s="5">
        <v>13.8492</v>
      </c>
      <c r="G1791" s="5">
        <v>1260.041579</v>
      </c>
      <c r="H1791" s="5">
        <v>4.8472</v>
      </c>
      <c r="I1791">
        <v>3776</v>
      </c>
      <c r="J1791" s="4" t="str">
        <f>IF(OR(Копия_20206[[#This Row],[Units (in 1000)]]&gt;$R$7,Копия_20206[[#This Row],[Units (in 1000)]]&lt;$R$6),"outlier","not outlier")</f>
        <v>not outlier</v>
      </c>
      <c r="K1791" s="4" t="str">
        <f>IF(OR(Копия_20206[[#This Row],[Value (in 1000 rub)]]&gt;$S$7,Копия_20206[[#This Row],[Value (in 1000 rub)]]&lt;$S$6),"outlier","not outlier")</f>
        <v>not outlier</v>
      </c>
      <c r="L1791" s="4" t="str">
        <f>IF(OR(Копия_20206[[#This Row],[Volume (in 1000 kg)]]&gt;$T$7,Копия_20206[[#This Row],[Volume (in 1000 kg)]]&lt;$T$6),"outlier","not outlier")</f>
        <v>not outlier</v>
      </c>
      <c r="M1791" s="4" t="str">
        <f>IF(OR(Копия_20206[[#This Row],[Number of stores]]&gt;$U$7,Копия_20206[[#This Row],[Number of stores]]&lt;$U$6),"outlier","not outlier")</f>
        <v>outlier</v>
      </c>
    </row>
    <row r="1792" spans="1:13" x14ac:dyDescent="0.25">
      <c r="A1792">
        <v>2022</v>
      </c>
      <c r="B1792">
        <v>1</v>
      </c>
      <c r="C1792" s="1" t="s">
        <v>8</v>
      </c>
      <c r="D1792" s="1" t="s">
        <v>24</v>
      </c>
      <c r="E1792" s="1" t="s">
        <v>18</v>
      </c>
      <c r="F1792" s="5">
        <v>0.2026</v>
      </c>
      <c r="G1792" s="5">
        <v>34.905171000000003</v>
      </c>
      <c r="H1792" s="5">
        <v>3.85E-2</v>
      </c>
      <c r="I1792">
        <v>80</v>
      </c>
      <c r="J1792" s="4" t="str">
        <f>IF(OR(Копия_20206[[#This Row],[Units (in 1000)]]&gt;$R$7,Копия_20206[[#This Row],[Units (in 1000)]]&lt;$R$6),"outlier","not outlier")</f>
        <v>not outlier</v>
      </c>
      <c r="K1792" s="4" t="str">
        <f>IF(OR(Копия_20206[[#This Row],[Value (in 1000 rub)]]&gt;$S$7,Копия_20206[[#This Row],[Value (in 1000 rub)]]&lt;$S$6),"outlier","not outlier")</f>
        <v>not outlier</v>
      </c>
      <c r="L1792" s="4" t="str">
        <f>IF(OR(Копия_20206[[#This Row],[Volume (in 1000 kg)]]&gt;$T$7,Копия_20206[[#This Row],[Volume (in 1000 kg)]]&lt;$T$6),"outlier","not outlier")</f>
        <v>not outlier</v>
      </c>
      <c r="M1792" s="4" t="str">
        <f>IF(OR(Копия_20206[[#This Row],[Number of stores]]&gt;$U$7,Копия_20206[[#This Row],[Number of stores]]&lt;$U$6),"outlier","not outlier")</f>
        <v>not outlier</v>
      </c>
    </row>
    <row r="1793" spans="1:13" x14ac:dyDescent="0.25">
      <c r="A1793">
        <v>2022</v>
      </c>
      <c r="B1793">
        <v>1</v>
      </c>
      <c r="C1793" s="1" t="s">
        <v>8</v>
      </c>
      <c r="D1793" s="1" t="s">
        <v>24</v>
      </c>
      <c r="E1793" s="1" t="s">
        <v>11</v>
      </c>
      <c r="F1793" s="5">
        <v>1.4E-3</v>
      </c>
      <c r="G1793" s="5">
        <v>0.14202799999999999</v>
      </c>
      <c r="H1793" s="5">
        <v>5.0000000000000001E-4</v>
      </c>
      <c r="I1793">
        <v>1</v>
      </c>
      <c r="J1793" s="4" t="str">
        <f>IF(OR(Копия_20206[[#This Row],[Units (in 1000)]]&gt;$R$7,Копия_20206[[#This Row],[Units (in 1000)]]&lt;$R$6),"outlier","not outlier")</f>
        <v>not outlier</v>
      </c>
      <c r="K1793" s="4" t="str">
        <f>IF(OR(Копия_20206[[#This Row],[Value (in 1000 rub)]]&gt;$S$7,Копия_20206[[#This Row],[Value (in 1000 rub)]]&lt;$S$6),"outlier","not outlier")</f>
        <v>not outlier</v>
      </c>
      <c r="L1793" s="4" t="str">
        <f>IF(OR(Копия_20206[[#This Row],[Volume (in 1000 kg)]]&gt;$T$7,Копия_20206[[#This Row],[Volume (in 1000 kg)]]&lt;$T$6),"outlier","not outlier")</f>
        <v>not outlier</v>
      </c>
      <c r="M1793" s="4" t="str">
        <f>IF(OR(Копия_20206[[#This Row],[Number of stores]]&gt;$U$7,Копия_20206[[#This Row],[Number of stores]]&lt;$U$6),"outlier","not outlier")</f>
        <v>not outlier</v>
      </c>
    </row>
    <row r="1794" spans="1:13" x14ac:dyDescent="0.25">
      <c r="A1794">
        <v>2022</v>
      </c>
      <c r="B1794">
        <v>2</v>
      </c>
      <c r="C1794" s="1" t="s">
        <v>8</v>
      </c>
      <c r="D1794" s="1" t="s">
        <v>24</v>
      </c>
      <c r="E1794" s="1" t="s">
        <v>18</v>
      </c>
      <c r="F1794" s="5">
        <v>0.19070000000000001</v>
      </c>
      <c r="G1794" s="5">
        <v>32.362732000000001</v>
      </c>
      <c r="H1794" s="5">
        <v>3.6200000000000003E-2</v>
      </c>
      <c r="I1794">
        <v>82</v>
      </c>
      <c r="J1794" s="4" t="str">
        <f>IF(OR(Копия_20206[[#This Row],[Units (in 1000)]]&gt;$R$7,Копия_20206[[#This Row],[Units (in 1000)]]&lt;$R$6),"outlier","not outlier")</f>
        <v>not outlier</v>
      </c>
      <c r="K1794" s="4" t="str">
        <f>IF(OR(Копия_20206[[#This Row],[Value (in 1000 rub)]]&gt;$S$7,Копия_20206[[#This Row],[Value (in 1000 rub)]]&lt;$S$6),"outlier","not outlier")</f>
        <v>not outlier</v>
      </c>
      <c r="L1794" s="4" t="str">
        <f>IF(OR(Копия_20206[[#This Row],[Volume (in 1000 kg)]]&gt;$T$7,Копия_20206[[#This Row],[Volume (in 1000 kg)]]&lt;$T$6),"outlier","not outlier")</f>
        <v>not outlier</v>
      </c>
      <c r="M1794" s="4" t="str">
        <f>IF(OR(Копия_20206[[#This Row],[Number of stores]]&gt;$U$7,Копия_20206[[#This Row],[Number of stores]]&lt;$U$6),"outlier","not outlier")</f>
        <v>not outlier</v>
      </c>
    </row>
    <row r="1795" spans="1:13" x14ac:dyDescent="0.25">
      <c r="A1795">
        <v>2022</v>
      </c>
      <c r="B1795">
        <v>2</v>
      </c>
      <c r="C1795" s="1" t="s">
        <v>8</v>
      </c>
      <c r="D1795" s="1" t="s">
        <v>24</v>
      </c>
      <c r="E1795" s="1" t="s">
        <v>11</v>
      </c>
      <c r="F1795" s="5">
        <v>4.4000000000000003E-3</v>
      </c>
      <c r="G1795" s="5">
        <v>0.40546199999999999</v>
      </c>
      <c r="H1795" s="5">
        <v>1.6999999999999999E-3</v>
      </c>
      <c r="I1795">
        <v>2</v>
      </c>
      <c r="J1795" s="4" t="str">
        <f>IF(OR(Копия_20206[[#This Row],[Units (in 1000)]]&gt;$R$7,Копия_20206[[#This Row],[Units (in 1000)]]&lt;$R$6),"outlier","not outlier")</f>
        <v>not outlier</v>
      </c>
      <c r="K1795" s="4" t="str">
        <f>IF(OR(Копия_20206[[#This Row],[Value (in 1000 rub)]]&gt;$S$7,Копия_20206[[#This Row],[Value (in 1000 rub)]]&lt;$S$6),"outlier","not outlier")</f>
        <v>not outlier</v>
      </c>
      <c r="L1795" s="4" t="str">
        <f>IF(OR(Копия_20206[[#This Row],[Volume (in 1000 kg)]]&gt;$T$7,Копия_20206[[#This Row],[Volume (in 1000 kg)]]&lt;$T$6),"outlier","not outlier")</f>
        <v>not outlier</v>
      </c>
      <c r="M1795" s="4" t="str">
        <f>IF(OR(Копия_20206[[#This Row],[Number of stores]]&gt;$U$7,Копия_20206[[#This Row],[Number of stores]]&lt;$U$6),"outlier","not outlier")</f>
        <v>not outlier</v>
      </c>
    </row>
    <row r="1796" spans="1:13" x14ac:dyDescent="0.25">
      <c r="A1796">
        <v>2022</v>
      </c>
      <c r="B1796">
        <v>12</v>
      </c>
      <c r="C1796" s="1" t="s">
        <v>8</v>
      </c>
      <c r="D1796" s="1" t="s">
        <v>53</v>
      </c>
      <c r="E1796" s="1" t="s">
        <v>18</v>
      </c>
      <c r="F1796" s="5">
        <v>0.58179999999999998</v>
      </c>
      <c r="G1796" s="5">
        <v>34.264124000000002</v>
      </c>
      <c r="H1796" s="5">
        <v>6.9800000000000001E-2</v>
      </c>
      <c r="I1796">
        <v>75</v>
      </c>
      <c r="J1796" s="4" t="str">
        <f>IF(OR(Копия_20206[[#This Row],[Units (in 1000)]]&gt;$R$7,Копия_20206[[#This Row],[Units (in 1000)]]&lt;$R$6),"outlier","not outlier")</f>
        <v>not outlier</v>
      </c>
      <c r="K1796" s="4" t="str">
        <f>IF(OR(Копия_20206[[#This Row],[Value (in 1000 rub)]]&gt;$S$7,Копия_20206[[#This Row],[Value (in 1000 rub)]]&lt;$S$6),"outlier","not outlier")</f>
        <v>not outlier</v>
      </c>
      <c r="L1796" s="4" t="str">
        <f>IF(OR(Копия_20206[[#This Row],[Volume (in 1000 kg)]]&gt;$T$7,Копия_20206[[#This Row],[Volume (in 1000 kg)]]&lt;$T$6),"outlier","not outlier")</f>
        <v>not outlier</v>
      </c>
      <c r="M1796" s="4" t="str">
        <f>IF(OR(Копия_20206[[#This Row],[Number of stores]]&gt;$U$7,Копия_20206[[#This Row],[Number of stores]]&lt;$U$6),"outlier","not outlier")</f>
        <v>not outlier</v>
      </c>
    </row>
    <row r="1797" spans="1:13" x14ac:dyDescent="0.25">
      <c r="A1797">
        <v>2022</v>
      </c>
      <c r="B1797">
        <v>1</v>
      </c>
      <c r="C1797" s="1" t="s">
        <v>8</v>
      </c>
      <c r="D1797" s="1" t="s">
        <v>22</v>
      </c>
      <c r="E1797" s="1" t="s">
        <v>12</v>
      </c>
      <c r="F1797" s="5">
        <v>0.1668</v>
      </c>
      <c r="G1797" s="5">
        <v>38.969667000000001</v>
      </c>
      <c r="H1797" s="5">
        <v>6.6699999999999995E-2</v>
      </c>
      <c r="I1797">
        <v>110</v>
      </c>
      <c r="J1797" s="4" t="str">
        <f>IF(OR(Копия_20206[[#This Row],[Units (in 1000)]]&gt;$R$7,Копия_20206[[#This Row],[Units (in 1000)]]&lt;$R$6),"outlier","not outlier")</f>
        <v>not outlier</v>
      </c>
      <c r="K1797" s="4" t="str">
        <f>IF(OR(Копия_20206[[#This Row],[Value (in 1000 rub)]]&gt;$S$7,Копия_20206[[#This Row],[Value (in 1000 rub)]]&lt;$S$6),"outlier","not outlier")</f>
        <v>not outlier</v>
      </c>
      <c r="L1797" s="4" t="str">
        <f>IF(OR(Копия_20206[[#This Row],[Volume (in 1000 kg)]]&gt;$T$7,Копия_20206[[#This Row],[Volume (in 1000 kg)]]&lt;$T$6),"outlier","not outlier")</f>
        <v>not outlier</v>
      </c>
      <c r="M1797" s="4" t="str">
        <f>IF(OR(Копия_20206[[#This Row],[Number of stores]]&gt;$U$7,Копия_20206[[#This Row],[Number of stores]]&lt;$U$6),"outlier","not outlier")</f>
        <v>not outlier</v>
      </c>
    </row>
    <row r="1798" spans="1:13" x14ac:dyDescent="0.25">
      <c r="A1798">
        <v>2022</v>
      </c>
      <c r="B1798">
        <v>2</v>
      </c>
      <c r="C1798" s="1" t="s">
        <v>8</v>
      </c>
      <c r="D1798" s="1" t="s">
        <v>22</v>
      </c>
      <c r="E1798" s="1" t="s">
        <v>12</v>
      </c>
      <c r="F1798" s="5">
        <v>0.157</v>
      </c>
      <c r="G1798" s="5">
        <v>34.985402000000001</v>
      </c>
      <c r="H1798" s="5">
        <v>6.2799999999999995E-2</v>
      </c>
      <c r="I1798">
        <v>108</v>
      </c>
      <c r="J1798" s="4" t="str">
        <f>IF(OR(Копия_20206[[#This Row],[Units (in 1000)]]&gt;$R$7,Копия_20206[[#This Row],[Units (in 1000)]]&lt;$R$6),"outlier","not outlier")</f>
        <v>not outlier</v>
      </c>
      <c r="K1798" s="4" t="str">
        <f>IF(OR(Копия_20206[[#This Row],[Value (in 1000 rub)]]&gt;$S$7,Копия_20206[[#This Row],[Value (in 1000 rub)]]&lt;$S$6),"outlier","not outlier")</f>
        <v>not outlier</v>
      </c>
      <c r="L1798" s="4" t="str">
        <f>IF(OR(Копия_20206[[#This Row],[Volume (in 1000 kg)]]&gt;$T$7,Копия_20206[[#This Row],[Volume (in 1000 kg)]]&lt;$T$6),"outlier","not outlier")</f>
        <v>not outlier</v>
      </c>
      <c r="M1798" s="4" t="str">
        <f>IF(OR(Копия_20206[[#This Row],[Number of stores]]&gt;$U$7,Копия_20206[[#This Row],[Number of stores]]&lt;$U$6),"outlier","not outlier")</f>
        <v>not outlier</v>
      </c>
    </row>
    <row r="1799" spans="1:13" x14ac:dyDescent="0.25">
      <c r="A1799">
        <v>2022</v>
      </c>
      <c r="B1799">
        <v>3</v>
      </c>
      <c r="C1799" s="1" t="s">
        <v>8</v>
      </c>
      <c r="D1799" s="1" t="s">
        <v>22</v>
      </c>
      <c r="E1799" s="1" t="s">
        <v>12</v>
      </c>
      <c r="F1799" s="5">
        <v>0.28070000000000001</v>
      </c>
      <c r="G1799" s="5">
        <v>64.890698</v>
      </c>
      <c r="H1799" s="5">
        <v>0.1123</v>
      </c>
      <c r="I1799">
        <v>128</v>
      </c>
      <c r="J1799" s="4" t="str">
        <f>IF(OR(Копия_20206[[#This Row],[Units (in 1000)]]&gt;$R$7,Копия_20206[[#This Row],[Units (in 1000)]]&lt;$R$6),"outlier","not outlier")</f>
        <v>not outlier</v>
      </c>
      <c r="K1799" s="4" t="str">
        <f>IF(OR(Копия_20206[[#This Row],[Value (in 1000 rub)]]&gt;$S$7,Копия_20206[[#This Row],[Value (in 1000 rub)]]&lt;$S$6),"outlier","not outlier")</f>
        <v>not outlier</v>
      </c>
      <c r="L1799" s="4" t="str">
        <f>IF(OR(Копия_20206[[#This Row],[Volume (in 1000 kg)]]&gt;$T$7,Копия_20206[[#This Row],[Volume (in 1000 kg)]]&lt;$T$6),"outlier","not outlier")</f>
        <v>not outlier</v>
      </c>
      <c r="M1799" s="4" t="str">
        <f>IF(OR(Копия_20206[[#This Row],[Number of stores]]&gt;$U$7,Копия_20206[[#This Row],[Number of stores]]&lt;$U$6),"outlier","not outlier")</f>
        <v>not outlier</v>
      </c>
    </row>
    <row r="1800" spans="1:13" x14ac:dyDescent="0.25">
      <c r="A1800">
        <v>2022</v>
      </c>
      <c r="B1800">
        <v>4</v>
      </c>
      <c r="C1800" s="1" t="s">
        <v>8</v>
      </c>
      <c r="D1800" s="1" t="s">
        <v>22</v>
      </c>
      <c r="E1800" s="1" t="s">
        <v>12</v>
      </c>
      <c r="F1800" s="5">
        <v>0.22070000000000001</v>
      </c>
      <c r="G1800" s="5">
        <v>52.923910999999997</v>
      </c>
      <c r="H1800" s="5">
        <v>8.8300000000000003E-2</v>
      </c>
      <c r="I1800">
        <v>125</v>
      </c>
      <c r="J1800" s="4" t="str">
        <f>IF(OR(Копия_20206[[#This Row],[Units (in 1000)]]&gt;$R$7,Копия_20206[[#This Row],[Units (in 1000)]]&lt;$R$6),"outlier","not outlier")</f>
        <v>not outlier</v>
      </c>
      <c r="K1800" s="4" t="str">
        <f>IF(OR(Копия_20206[[#This Row],[Value (in 1000 rub)]]&gt;$S$7,Копия_20206[[#This Row],[Value (in 1000 rub)]]&lt;$S$6),"outlier","not outlier")</f>
        <v>not outlier</v>
      </c>
      <c r="L1800" s="4" t="str">
        <f>IF(OR(Копия_20206[[#This Row],[Volume (in 1000 kg)]]&gt;$T$7,Копия_20206[[#This Row],[Volume (in 1000 kg)]]&lt;$T$6),"outlier","not outlier")</f>
        <v>not outlier</v>
      </c>
      <c r="M1800" s="4" t="str">
        <f>IF(OR(Копия_20206[[#This Row],[Number of stores]]&gt;$U$7,Копия_20206[[#This Row],[Number of stores]]&lt;$U$6),"outlier","not outlier")</f>
        <v>not outlier</v>
      </c>
    </row>
    <row r="1801" spans="1:13" x14ac:dyDescent="0.25">
      <c r="A1801">
        <v>2022</v>
      </c>
      <c r="B1801">
        <v>5</v>
      </c>
      <c r="C1801" s="1" t="s">
        <v>8</v>
      </c>
      <c r="D1801" s="1" t="s">
        <v>22</v>
      </c>
      <c r="E1801" s="1" t="s">
        <v>12</v>
      </c>
      <c r="F1801" s="5">
        <v>0.1885</v>
      </c>
      <c r="G1801" s="5">
        <v>45.304416000000003</v>
      </c>
      <c r="H1801" s="5">
        <v>7.5399999999999995E-2</v>
      </c>
      <c r="I1801">
        <v>117</v>
      </c>
      <c r="J1801" s="4" t="str">
        <f>IF(OR(Копия_20206[[#This Row],[Units (in 1000)]]&gt;$R$7,Копия_20206[[#This Row],[Units (in 1000)]]&lt;$R$6),"outlier","not outlier")</f>
        <v>not outlier</v>
      </c>
      <c r="K1801" s="4" t="str">
        <f>IF(OR(Копия_20206[[#This Row],[Value (in 1000 rub)]]&gt;$S$7,Копия_20206[[#This Row],[Value (in 1000 rub)]]&lt;$S$6),"outlier","not outlier")</f>
        <v>not outlier</v>
      </c>
      <c r="L1801" s="4" t="str">
        <f>IF(OR(Копия_20206[[#This Row],[Volume (in 1000 kg)]]&gt;$T$7,Копия_20206[[#This Row],[Volume (in 1000 kg)]]&lt;$T$6),"outlier","not outlier")</f>
        <v>not outlier</v>
      </c>
      <c r="M1801" s="4" t="str">
        <f>IF(OR(Копия_20206[[#This Row],[Number of stores]]&gt;$U$7,Копия_20206[[#This Row],[Number of stores]]&lt;$U$6),"outlier","not outlier")</f>
        <v>not outlier</v>
      </c>
    </row>
    <row r="1802" spans="1:13" x14ac:dyDescent="0.25">
      <c r="A1802">
        <v>2022</v>
      </c>
      <c r="B1802">
        <v>6</v>
      </c>
      <c r="C1802" s="1" t="s">
        <v>8</v>
      </c>
      <c r="D1802" s="1" t="s">
        <v>22</v>
      </c>
      <c r="E1802" s="1" t="s">
        <v>12</v>
      </c>
      <c r="F1802" s="5">
        <v>0.20499999999999999</v>
      </c>
      <c r="G1802" s="5">
        <v>47.942005000000002</v>
      </c>
      <c r="H1802" s="5">
        <v>8.2000000000000003E-2</v>
      </c>
      <c r="I1802">
        <v>129</v>
      </c>
      <c r="J1802" s="4" t="str">
        <f>IF(OR(Копия_20206[[#This Row],[Units (in 1000)]]&gt;$R$7,Копия_20206[[#This Row],[Units (in 1000)]]&lt;$R$6),"outlier","not outlier")</f>
        <v>not outlier</v>
      </c>
      <c r="K1802" s="4" t="str">
        <f>IF(OR(Копия_20206[[#This Row],[Value (in 1000 rub)]]&gt;$S$7,Копия_20206[[#This Row],[Value (in 1000 rub)]]&lt;$S$6),"outlier","not outlier")</f>
        <v>not outlier</v>
      </c>
      <c r="L1802" s="4" t="str">
        <f>IF(OR(Копия_20206[[#This Row],[Volume (in 1000 kg)]]&gt;$T$7,Копия_20206[[#This Row],[Volume (in 1000 kg)]]&lt;$T$6),"outlier","not outlier")</f>
        <v>not outlier</v>
      </c>
      <c r="M1802" s="4" t="str">
        <f>IF(OR(Копия_20206[[#This Row],[Number of stores]]&gt;$U$7,Копия_20206[[#This Row],[Number of stores]]&lt;$U$6),"outlier","not outlier")</f>
        <v>not outlier</v>
      </c>
    </row>
    <row r="1803" spans="1:13" x14ac:dyDescent="0.25">
      <c r="A1803">
        <v>2022</v>
      </c>
      <c r="B1803">
        <v>7</v>
      </c>
      <c r="C1803" s="1" t="s">
        <v>8</v>
      </c>
      <c r="D1803" s="1" t="s">
        <v>22</v>
      </c>
      <c r="E1803" s="1" t="s">
        <v>12</v>
      </c>
      <c r="F1803" s="5">
        <v>0.44679999999999997</v>
      </c>
      <c r="G1803" s="5">
        <v>74.509653</v>
      </c>
      <c r="H1803" s="5">
        <v>0.1787</v>
      </c>
      <c r="I1803">
        <v>146</v>
      </c>
      <c r="J1803" s="4" t="str">
        <f>IF(OR(Копия_20206[[#This Row],[Units (in 1000)]]&gt;$R$7,Копия_20206[[#This Row],[Units (in 1000)]]&lt;$R$6),"outlier","not outlier")</f>
        <v>not outlier</v>
      </c>
      <c r="K1803" s="4" t="str">
        <f>IF(OR(Копия_20206[[#This Row],[Value (in 1000 rub)]]&gt;$S$7,Копия_20206[[#This Row],[Value (in 1000 rub)]]&lt;$S$6),"outlier","not outlier")</f>
        <v>not outlier</v>
      </c>
      <c r="L1803" s="4" t="str">
        <f>IF(OR(Копия_20206[[#This Row],[Volume (in 1000 kg)]]&gt;$T$7,Копия_20206[[#This Row],[Volume (in 1000 kg)]]&lt;$T$6),"outlier","not outlier")</f>
        <v>not outlier</v>
      </c>
      <c r="M1803" s="4" t="str">
        <f>IF(OR(Копия_20206[[#This Row],[Number of stores]]&gt;$U$7,Копия_20206[[#This Row],[Number of stores]]&lt;$U$6),"outlier","not outlier")</f>
        <v>not outlier</v>
      </c>
    </row>
    <row r="1804" spans="1:13" x14ac:dyDescent="0.25">
      <c r="A1804">
        <v>2022</v>
      </c>
      <c r="B1804">
        <v>8</v>
      </c>
      <c r="C1804" s="1" t="s">
        <v>8</v>
      </c>
      <c r="D1804" s="1" t="s">
        <v>22</v>
      </c>
      <c r="E1804" s="1" t="s">
        <v>12</v>
      </c>
      <c r="F1804" s="5">
        <v>0.39169999999999999</v>
      </c>
      <c r="G1804" s="5">
        <v>67.406085000000004</v>
      </c>
      <c r="H1804" s="5">
        <v>0.15670000000000001</v>
      </c>
      <c r="I1804">
        <v>147</v>
      </c>
      <c r="J1804" s="4" t="str">
        <f>IF(OR(Копия_20206[[#This Row],[Units (in 1000)]]&gt;$R$7,Копия_20206[[#This Row],[Units (in 1000)]]&lt;$R$6),"outlier","not outlier")</f>
        <v>not outlier</v>
      </c>
      <c r="K1804" s="4" t="str">
        <f>IF(OR(Копия_20206[[#This Row],[Value (in 1000 rub)]]&gt;$S$7,Копия_20206[[#This Row],[Value (in 1000 rub)]]&lt;$S$6),"outlier","not outlier")</f>
        <v>not outlier</v>
      </c>
      <c r="L1804" s="4" t="str">
        <f>IF(OR(Копия_20206[[#This Row],[Volume (in 1000 kg)]]&gt;$T$7,Копия_20206[[#This Row],[Volume (in 1000 kg)]]&lt;$T$6),"outlier","not outlier")</f>
        <v>not outlier</v>
      </c>
      <c r="M1804" s="4" t="str">
        <f>IF(OR(Копия_20206[[#This Row],[Number of stores]]&gt;$U$7,Копия_20206[[#This Row],[Number of stores]]&lt;$U$6),"outlier","not outlier")</f>
        <v>not outlier</v>
      </c>
    </row>
    <row r="1805" spans="1:13" x14ac:dyDescent="0.25">
      <c r="A1805">
        <v>2022</v>
      </c>
      <c r="B1805">
        <v>1</v>
      </c>
      <c r="C1805" s="1" t="s">
        <v>8</v>
      </c>
      <c r="D1805" s="1" t="s">
        <v>19</v>
      </c>
      <c r="E1805" s="1" t="s">
        <v>11</v>
      </c>
      <c r="F1805" s="5">
        <v>1.0881000000000001</v>
      </c>
      <c r="G1805" s="5">
        <v>171.23694399999999</v>
      </c>
      <c r="H1805" s="5">
        <v>0.40260000000000001</v>
      </c>
      <c r="I1805">
        <v>39</v>
      </c>
      <c r="J1805" s="4" t="str">
        <f>IF(OR(Копия_20206[[#This Row],[Units (in 1000)]]&gt;$R$7,Копия_20206[[#This Row],[Units (in 1000)]]&lt;$R$6),"outlier","not outlier")</f>
        <v>not outlier</v>
      </c>
      <c r="K1805" s="4" t="str">
        <f>IF(OR(Копия_20206[[#This Row],[Value (in 1000 rub)]]&gt;$S$7,Копия_20206[[#This Row],[Value (in 1000 rub)]]&lt;$S$6),"outlier","not outlier")</f>
        <v>not outlier</v>
      </c>
      <c r="L1805" s="4" t="str">
        <f>IF(OR(Копия_20206[[#This Row],[Volume (in 1000 kg)]]&gt;$T$7,Копия_20206[[#This Row],[Volume (in 1000 kg)]]&lt;$T$6),"outlier","not outlier")</f>
        <v>not outlier</v>
      </c>
      <c r="M1805" s="4" t="str">
        <f>IF(OR(Копия_20206[[#This Row],[Number of stores]]&gt;$U$7,Копия_20206[[#This Row],[Number of stores]]&lt;$U$6),"outlier","not outlier")</f>
        <v>not outlier</v>
      </c>
    </row>
    <row r="1806" spans="1:13" x14ac:dyDescent="0.25">
      <c r="A1806">
        <v>2022</v>
      </c>
      <c r="B1806">
        <v>1</v>
      </c>
      <c r="C1806" s="1" t="s">
        <v>29</v>
      </c>
      <c r="D1806" s="1" t="s">
        <v>19</v>
      </c>
      <c r="E1806" s="1" t="s">
        <v>11</v>
      </c>
      <c r="F1806" s="5">
        <v>1.3623000000000001</v>
      </c>
      <c r="G1806" s="5">
        <v>282.59374000000003</v>
      </c>
      <c r="H1806" s="5">
        <v>0.504</v>
      </c>
      <c r="I1806">
        <v>0</v>
      </c>
      <c r="J1806" s="4" t="str">
        <f>IF(OR(Копия_20206[[#This Row],[Units (in 1000)]]&gt;$R$7,Копия_20206[[#This Row],[Units (in 1000)]]&lt;$R$6),"outlier","not outlier")</f>
        <v>not outlier</v>
      </c>
      <c r="K1806" s="4" t="str">
        <f>IF(OR(Копия_20206[[#This Row],[Value (in 1000 rub)]]&gt;$S$7,Копия_20206[[#This Row],[Value (in 1000 rub)]]&lt;$S$6),"outlier","not outlier")</f>
        <v>not outlier</v>
      </c>
      <c r="L1806" s="4" t="str">
        <f>IF(OR(Копия_20206[[#This Row],[Volume (in 1000 kg)]]&gt;$T$7,Копия_20206[[#This Row],[Volume (in 1000 kg)]]&lt;$T$6),"outlier","not outlier")</f>
        <v>not outlier</v>
      </c>
      <c r="M1806" s="4" t="str">
        <f>IF(OR(Копия_20206[[#This Row],[Number of stores]]&gt;$U$7,Копия_20206[[#This Row],[Number of stores]]&lt;$U$6),"outlier","not outlier")</f>
        <v>not outlier</v>
      </c>
    </row>
    <row r="1807" spans="1:13" x14ac:dyDescent="0.25">
      <c r="A1807">
        <v>2022</v>
      </c>
      <c r="B1807">
        <v>2</v>
      </c>
      <c r="C1807" s="1" t="s">
        <v>8</v>
      </c>
      <c r="D1807" s="1" t="s">
        <v>19</v>
      </c>
      <c r="E1807" s="1" t="s">
        <v>11</v>
      </c>
      <c r="F1807" s="5">
        <v>0.41299999999999998</v>
      </c>
      <c r="G1807" s="5">
        <v>75.322764000000006</v>
      </c>
      <c r="H1807" s="5">
        <v>0.15279999999999999</v>
      </c>
      <c r="I1807">
        <v>34</v>
      </c>
      <c r="J1807" s="4" t="str">
        <f>IF(OR(Копия_20206[[#This Row],[Units (in 1000)]]&gt;$R$7,Копия_20206[[#This Row],[Units (in 1000)]]&lt;$R$6),"outlier","not outlier")</f>
        <v>not outlier</v>
      </c>
      <c r="K1807" s="4" t="str">
        <f>IF(OR(Копия_20206[[#This Row],[Value (in 1000 rub)]]&gt;$S$7,Копия_20206[[#This Row],[Value (in 1000 rub)]]&lt;$S$6),"outlier","not outlier")</f>
        <v>not outlier</v>
      </c>
      <c r="L1807" s="4" t="str">
        <f>IF(OR(Копия_20206[[#This Row],[Volume (in 1000 kg)]]&gt;$T$7,Копия_20206[[#This Row],[Volume (in 1000 kg)]]&lt;$T$6),"outlier","not outlier")</f>
        <v>not outlier</v>
      </c>
      <c r="M1807" s="4" t="str">
        <f>IF(OR(Копия_20206[[#This Row],[Number of stores]]&gt;$U$7,Копия_20206[[#This Row],[Number of stores]]&lt;$U$6),"outlier","not outlier")</f>
        <v>not outlier</v>
      </c>
    </row>
    <row r="1808" spans="1:13" x14ac:dyDescent="0.25">
      <c r="A1808">
        <v>2022</v>
      </c>
      <c r="B1808">
        <v>2</v>
      </c>
      <c r="C1808" s="1" t="s">
        <v>25</v>
      </c>
      <c r="D1808" s="1" t="s">
        <v>19</v>
      </c>
      <c r="E1808" s="1" t="s">
        <v>11</v>
      </c>
      <c r="F1808" s="5">
        <v>0.41889999999999999</v>
      </c>
      <c r="G1808" s="5">
        <v>83.905488000000005</v>
      </c>
      <c r="H1808" s="5">
        <v>0.155</v>
      </c>
      <c r="I1808">
        <v>0</v>
      </c>
      <c r="J1808" s="4" t="str">
        <f>IF(OR(Копия_20206[[#This Row],[Units (in 1000)]]&gt;$R$7,Копия_20206[[#This Row],[Units (in 1000)]]&lt;$R$6),"outlier","not outlier")</f>
        <v>not outlier</v>
      </c>
      <c r="K1808" s="4" t="str">
        <f>IF(OR(Копия_20206[[#This Row],[Value (in 1000 rub)]]&gt;$S$7,Копия_20206[[#This Row],[Value (in 1000 rub)]]&lt;$S$6),"outlier","not outlier")</f>
        <v>not outlier</v>
      </c>
      <c r="L1808" s="4" t="str">
        <f>IF(OR(Копия_20206[[#This Row],[Volume (in 1000 kg)]]&gt;$T$7,Копия_20206[[#This Row],[Volume (in 1000 kg)]]&lt;$T$6),"outlier","not outlier")</f>
        <v>not outlier</v>
      </c>
      <c r="M1808" s="4" t="str">
        <f>IF(OR(Копия_20206[[#This Row],[Number of stores]]&gt;$U$7,Копия_20206[[#This Row],[Number of stores]]&lt;$U$6),"outlier","not outlier")</f>
        <v>not outlier</v>
      </c>
    </row>
    <row r="1809" spans="1:13" x14ac:dyDescent="0.25">
      <c r="A1809">
        <v>2022</v>
      </c>
      <c r="B1809">
        <v>2</v>
      </c>
      <c r="C1809" s="1" t="s">
        <v>29</v>
      </c>
      <c r="D1809" s="1" t="s">
        <v>19</v>
      </c>
      <c r="E1809" s="1" t="s">
        <v>11</v>
      </c>
      <c r="F1809" s="5">
        <v>1.1930000000000001</v>
      </c>
      <c r="G1809" s="5">
        <v>256.50886700000001</v>
      </c>
      <c r="H1809" s="5">
        <v>0.44140000000000001</v>
      </c>
      <c r="I1809">
        <v>0</v>
      </c>
      <c r="J1809" s="4" t="str">
        <f>IF(OR(Копия_20206[[#This Row],[Units (in 1000)]]&gt;$R$7,Копия_20206[[#This Row],[Units (in 1000)]]&lt;$R$6),"outlier","not outlier")</f>
        <v>not outlier</v>
      </c>
      <c r="K1809" s="4" t="str">
        <f>IF(OR(Копия_20206[[#This Row],[Value (in 1000 rub)]]&gt;$S$7,Копия_20206[[#This Row],[Value (in 1000 rub)]]&lt;$S$6),"outlier","not outlier")</f>
        <v>not outlier</v>
      </c>
      <c r="L1809" s="4" t="str">
        <f>IF(OR(Копия_20206[[#This Row],[Volume (in 1000 kg)]]&gt;$T$7,Копия_20206[[#This Row],[Volume (in 1000 kg)]]&lt;$T$6),"outlier","not outlier")</f>
        <v>not outlier</v>
      </c>
      <c r="M1809" s="4" t="str">
        <f>IF(OR(Копия_20206[[#This Row],[Number of stores]]&gt;$U$7,Копия_20206[[#This Row],[Number of stores]]&lt;$U$6),"outlier","not outlier")</f>
        <v>not outlier</v>
      </c>
    </row>
    <row r="1810" spans="1:13" x14ac:dyDescent="0.25">
      <c r="A1810">
        <v>2022</v>
      </c>
      <c r="B1810">
        <v>3</v>
      </c>
      <c r="C1810" s="1" t="s">
        <v>8</v>
      </c>
      <c r="D1810" s="1" t="s">
        <v>19</v>
      </c>
      <c r="E1810" s="1" t="s">
        <v>11</v>
      </c>
      <c r="F1810" s="5">
        <v>0.79310000000000003</v>
      </c>
      <c r="G1810" s="5">
        <v>146.81078299999999</v>
      </c>
      <c r="H1810" s="5">
        <v>0.29349999999999998</v>
      </c>
      <c r="I1810">
        <v>30</v>
      </c>
      <c r="J1810" s="4" t="str">
        <f>IF(OR(Копия_20206[[#This Row],[Units (in 1000)]]&gt;$R$7,Копия_20206[[#This Row],[Units (in 1000)]]&lt;$R$6),"outlier","not outlier")</f>
        <v>not outlier</v>
      </c>
      <c r="K1810" s="4" t="str">
        <f>IF(OR(Копия_20206[[#This Row],[Value (in 1000 rub)]]&gt;$S$7,Копия_20206[[#This Row],[Value (in 1000 rub)]]&lt;$S$6),"outlier","not outlier")</f>
        <v>not outlier</v>
      </c>
      <c r="L1810" s="4" t="str">
        <f>IF(OR(Копия_20206[[#This Row],[Volume (in 1000 kg)]]&gt;$T$7,Копия_20206[[#This Row],[Volume (in 1000 kg)]]&lt;$T$6),"outlier","not outlier")</f>
        <v>not outlier</v>
      </c>
      <c r="M1810" s="4" t="str">
        <f>IF(OR(Копия_20206[[#This Row],[Number of stores]]&gt;$U$7,Копия_20206[[#This Row],[Number of stores]]&lt;$U$6),"outlier","not outlier")</f>
        <v>not outlier</v>
      </c>
    </row>
    <row r="1811" spans="1:13" x14ac:dyDescent="0.25">
      <c r="A1811">
        <v>2022</v>
      </c>
      <c r="B1811">
        <v>3</v>
      </c>
      <c r="C1811" s="1" t="s">
        <v>25</v>
      </c>
      <c r="D1811" s="1" t="s">
        <v>19</v>
      </c>
      <c r="E1811" s="1" t="s">
        <v>11</v>
      </c>
      <c r="F1811" s="5">
        <v>0.65029999999999999</v>
      </c>
      <c r="G1811" s="5">
        <v>131.263071</v>
      </c>
      <c r="H1811" s="5">
        <v>0.24060000000000001</v>
      </c>
      <c r="I1811">
        <v>0</v>
      </c>
      <c r="J1811" s="4" t="str">
        <f>IF(OR(Копия_20206[[#This Row],[Units (in 1000)]]&gt;$R$7,Копия_20206[[#This Row],[Units (in 1000)]]&lt;$R$6),"outlier","not outlier")</f>
        <v>not outlier</v>
      </c>
      <c r="K1811" s="4" t="str">
        <f>IF(OR(Копия_20206[[#This Row],[Value (in 1000 rub)]]&gt;$S$7,Копия_20206[[#This Row],[Value (in 1000 rub)]]&lt;$S$6),"outlier","not outlier")</f>
        <v>not outlier</v>
      </c>
      <c r="L1811" s="4" t="str">
        <f>IF(OR(Копия_20206[[#This Row],[Volume (in 1000 kg)]]&gt;$T$7,Копия_20206[[#This Row],[Volume (in 1000 kg)]]&lt;$T$6),"outlier","not outlier")</f>
        <v>not outlier</v>
      </c>
      <c r="M1811" s="4" t="str">
        <f>IF(OR(Копия_20206[[#This Row],[Number of stores]]&gt;$U$7,Копия_20206[[#This Row],[Number of stores]]&lt;$U$6),"outlier","not outlier")</f>
        <v>not outlier</v>
      </c>
    </row>
    <row r="1812" spans="1:13" x14ac:dyDescent="0.25">
      <c r="A1812">
        <v>2022</v>
      </c>
      <c r="B1812">
        <v>4</v>
      </c>
      <c r="C1812" s="1" t="s">
        <v>8</v>
      </c>
      <c r="D1812" s="1" t="s">
        <v>19</v>
      </c>
      <c r="E1812" s="1" t="s">
        <v>11</v>
      </c>
      <c r="F1812" s="5">
        <v>0.54100000000000004</v>
      </c>
      <c r="G1812" s="5">
        <v>104.95249200000001</v>
      </c>
      <c r="H1812" s="5">
        <v>0.2001</v>
      </c>
      <c r="I1812">
        <v>0</v>
      </c>
      <c r="J1812" s="4" t="str">
        <f>IF(OR(Копия_20206[[#This Row],[Units (in 1000)]]&gt;$R$7,Копия_20206[[#This Row],[Units (in 1000)]]&lt;$R$6),"outlier","not outlier")</f>
        <v>not outlier</v>
      </c>
      <c r="K1812" s="4" t="str">
        <f>IF(OR(Копия_20206[[#This Row],[Value (in 1000 rub)]]&gt;$S$7,Копия_20206[[#This Row],[Value (in 1000 rub)]]&lt;$S$6),"outlier","not outlier")</f>
        <v>not outlier</v>
      </c>
      <c r="L1812" s="4" t="str">
        <f>IF(OR(Копия_20206[[#This Row],[Volume (in 1000 kg)]]&gt;$T$7,Копия_20206[[#This Row],[Volume (in 1000 kg)]]&lt;$T$6),"outlier","not outlier")</f>
        <v>not outlier</v>
      </c>
      <c r="M1812" s="4" t="str">
        <f>IF(OR(Копия_20206[[#This Row],[Number of stores]]&gt;$U$7,Копия_20206[[#This Row],[Number of stores]]&lt;$U$6),"outlier","not outlier")</f>
        <v>not outlier</v>
      </c>
    </row>
    <row r="1813" spans="1:13" x14ac:dyDescent="0.25">
      <c r="A1813">
        <v>2022</v>
      </c>
      <c r="B1813">
        <v>4</v>
      </c>
      <c r="C1813" s="1" t="s">
        <v>29</v>
      </c>
      <c r="D1813" s="1" t="s">
        <v>19</v>
      </c>
      <c r="E1813" s="1" t="s">
        <v>11</v>
      </c>
      <c r="F1813" s="5">
        <v>2.4323999999999999</v>
      </c>
      <c r="G1813" s="5">
        <v>528.57777799999997</v>
      </c>
      <c r="H1813" s="5">
        <v>0.9</v>
      </c>
      <c r="I1813">
        <v>0</v>
      </c>
      <c r="J1813" s="4" t="str">
        <f>IF(OR(Копия_20206[[#This Row],[Units (in 1000)]]&gt;$R$7,Копия_20206[[#This Row],[Units (in 1000)]]&lt;$R$6),"outlier","not outlier")</f>
        <v>not outlier</v>
      </c>
      <c r="K1813" s="4" t="str">
        <f>IF(OR(Копия_20206[[#This Row],[Value (in 1000 rub)]]&gt;$S$7,Копия_20206[[#This Row],[Value (in 1000 rub)]]&lt;$S$6),"outlier","not outlier")</f>
        <v>not outlier</v>
      </c>
      <c r="L1813" s="4" t="str">
        <f>IF(OR(Копия_20206[[#This Row],[Volume (in 1000 kg)]]&gt;$T$7,Копия_20206[[#This Row],[Volume (in 1000 kg)]]&lt;$T$6),"outlier","not outlier")</f>
        <v>not outlier</v>
      </c>
      <c r="M1813" s="4" t="str">
        <f>IF(OR(Копия_20206[[#This Row],[Number of stores]]&gt;$U$7,Копия_20206[[#This Row],[Number of stores]]&lt;$U$6),"outlier","not outlier")</f>
        <v>not outlier</v>
      </c>
    </row>
    <row r="1814" spans="1:13" x14ac:dyDescent="0.25">
      <c r="A1814">
        <v>2022</v>
      </c>
      <c r="B1814">
        <v>5</v>
      </c>
      <c r="C1814" s="1" t="s">
        <v>8</v>
      </c>
      <c r="D1814" s="1" t="s">
        <v>19</v>
      </c>
      <c r="E1814" s="1" t="s">
        <v>11</v>
      </c>
      <c r="F1814" s="5">
        <v>0.45739999999999997</v>
      </c>
      <c r="G1814" s="5">
        <v>88.075675000000004</v>
      </c>
      <c r="H1814" s="5">
        <v>0.16919999999999999</v>
      </c>
      <c r="I1814">
        <v>0</v>
      </c>
      <c r="J1814" s="4" t="str">
        <f>IF(OR(Копия_20206[[#This Row],[Units (in 1000)]]&gt;$R$7,Копия_20206[[#This Row],[Units (in 1000)]]&lt;$R$6),"outlier","not outlier")</f>
        <v>not outlier</v>
      </c>
      <c r="K1814" s="4" t="str">
        <f>IF(OR(Копия_20206[[#This Row],[Value (in 1000 rub)]]&gt;$S$7,Копия_20206[[#This Row],[Value (in 1000 rub)]]&lt;$S$6),"outlier","not outlier")</f>
        <v>not outlier</v>
      </c>
      <c r="L1814" s="4" t="str">
        <f>IF(OR(Копия_20206[[#This Row],[Volume (in 1000 kg)]]&gt;$T$7,Копия_20206[[#This Row],[Volume (in 1000 kg)]]&lt;$T$6),"outlier","not outlier")</f>
        <v>not outlier</v>
      </c>
      <c r="M1814" s="4" t="str">
        <f>IF(OR(Копия_20206[[#This Row],[Number of stores]]&gt;$U$7,Копия_20206[[#This Row],[Number of stores]]&lt;$U$6),"outlier","not outlier")</f>
        <v>not outlier</v>
      </c>
    </row>
    <row r="1815" spans="1:13" x14ac:dyDescent="0.25">
      <c r="A1815">
        <v>2022</v>
      </c>
      <c r="B1815">
        <v>6</v>
      </c>
      <c r="C1815" s="1" t="s">
        <v>8</v>
      </c>
      <c r="D1815" s="1" t="s">
        <v>19</v>
      </c>
      <c r="E1815" s="1" t="s">
        <v>11</v>
      </c>
      <c r="F1815" s="5">
        <v>0.75600000000000001</v>
      </c>
      <c r="G1815" s="5">
        <v>130.46600599999999</v>
      </c>
      <c r="H1815" s="5">
        <v>0.2797</v>
      </c>
      <c r="I1815">
        <v>0</v>
      </c>
      <c r="J1815" s="4" t="str">
        <f>IF(OR(Копия_20206[[#This Row],[Units (in 1000)]]&gt;$R$7,Копия_20206[[#This Row],[Units (in 1000)]]&lt;$R$6),"outlier","not outlier")</f>
        <v>not outlier</v>
      </c>
      <c r="K1815" s="4" t="str">
        <f>IF(OR(Копия_20206[[#This Row],[Value (in 1000 rub)]]&gt;$S$7,Копия_20206[[#This Row],[Value (in 1000 rub)]]&lt;$S$6),"outlier","not outlier")</f>
        <v>not outlier</v>
      </c>
      <c r="L1815" s="4" t="str">
        <f>IF(OR(Копия_20206[[#This Row],[Volume (in 1000 kg)]]&gt;$T$7,Копия_20206[[#This Row],[Volume (in 1000 kg)]]&lt;$T$6),"outlier","not outlier")</f>
        <v>not outlier</v>
      </c>
      <c r="M1815" s="4" t="str">
        <f>IF(OR(Копия_20206[[#This Row],[Number of stores]]&gt;$U$7,Копия_20206[[#This Row],[Number of stores]]&lt;$U$6),"outlier","not outlier")</f>
        <v>not outlier</v>
      </c>
    </row>
    <row r="1816" spans="1:13" x14ac:dyDescent="0.25">
      <c r="A1816">
        <v>2022</v>
      </c>
      <c r="B1816">
        <v>6</v>
      </c>
      <c r="C1816" s="1" t="s">
        <v>29</v>
      </c>
      <c r="D1816" s="1" t="s">
        <v>19</v>
      </c>
      <c r="E1816" s="1" t="s">
        <v>11</v>
      </c>
      <c r="F1816" s="5">
        <v>1.2145999999999999</v>
      </c>
      <c r="G1816" s="5">
        <v>247.16329200000001</v>
      </c>
      <c r="H1816" s="5">
        <v>0.44940000000000002</v>
      </c>
      <c r="I1816">
        <v>0</v>
      </c>
      <c r="J1816" s="4" t="str">
        <f>IF(OR(Копия_20206[[#This Row],[Units (in 1000)]]&gt;$R$7,Копия_20206[[#This Row],[Units (in 1000)]]&lt;$R$6),"outlier","not outlier")</f>
        <v>not outlier</v>
      </c>
      <c r="K1816" s="4" t="str">
        <f>IF(OR(Копия_20206[[#This Row],[Value (in 1000 rub)]]&gt;$S$7,Копия_20206[[#This Row],[Value (in 1000 rub)]]&lt;$S$6),"outlier","not outlier")</f>
        <v>not outlier</v>
      </c>
      <c r="L1816" s="4" t="str">
        <f>IF(OR(Копия_20206[[#This Row],[Volume (in 1000 kg)]]&gt;$T$7,Копия_20206[[#This Row],[Volume (in 1000 kg)]]&lt;$T$6),"outlier","not outlier")</f>
        <v>not outlier</v>
      </c>
      <c r="M1816" s="4" t="str">
        <f>IF(OR(Копия_20206[[#This Row],[Number of stores]]&gt;$U$7,Копия_20206[[#This Row],[Number of stores]]&lt;$U$6),"outlier","not outlier")</f>
        <v>not outlier</v>
      </c>
    </row>
    <row r="1817" spans="1:13" x14ac:dyDescent="0.25">
      <c r="A1817">
        <v>2022</v>
      </c>
      <c r="B1817">
        <v>7</v>
      </c>
      <c r="C1817" s="1" t="s">
        <v>8</v>
      </c>
      <c r="D1817" s="1" t="s">
        <v>19</v>
      </c>
      <c r="E1817" s="1" t="s">
        <v>11</v>
      </c>
      <c r="F1817" s="5">
        <v>0.67610000000000003</v>
      </c>
      <c r="G1817" s="5">
        <v>116.102321</v>
      </c>
      <c r="H1817" s="5">
        <v>0.25019999999999998</v>
      </c>
      <c r="I1817">
        <v>0</v>
      </c>
      <c r="J1817" s="4" t="str">
        <f>IF(OR(Копия_20206[[#This Row],[Units (in 1000)]]&gt;$R$7,Копия_20206[[#This Row],[Units (in 1000)]]&lt;$R$6),"outlier","not outlier")</f>
        <v>not outlier</v>
      </c>
      <c r="K1817" s="4" t="str">
        <f>IF(OR(Копия_20206[[#This Row],[Value (in 1000 rub)]]&gt;$S$7,Копия_20206[[#This Row],[Value (in 1000 rub)]]&lt;$S$6),"outlier","not outlier")</f>
        <v>not outlier</v>
      </c>
      <c r="L1817" s="4" t="str">
        <f>IF(OR(Копия_20206[[#This Row],[Volume (in 1000 kg)]]&gt;$T$7,Копия_20206[[#This Row],[Volume (in 1000 kg)]]&lt;$T$6),"outlier","not outlier")</f>
        <v>not outlier</v>
      </c>
      <c r="M1817" s="4" t="str">
        <f>IF(OR(Копия_20206[[#This Row],[Number of stores]]&gt;$U$7,Копия_20206[[#This Row],[Number of stores]]&lt;$U$6),"outlier","not outlier")</f>
        <v>not outlier</v>
      </c>
    </row>
    <row r="1818" spans="1:13" x14ac:dyDescent="0.25">
      <c r="A1818">
        <v>2022</v>
      </c>
      <c r="B1818">
        <v>7</v>
      </c>
      <c r="C1818" s="1" t="s">
        <v>25</v>
      </c>
      <c r="D1818" s="1" t="s">
        <v>19</v>
      </c>
      <c r="E1818" s="1" t="s">
        <v>11</v>
      </c>
      <c r="F1818" s="5">
        <v>0.7056</v>
      </c>
      <c r="G1818" s="5">
        <v>148.367583</v>
      </c>
      <c r="H1818" s="5">
        <v>0.2611</v>
      </c>
      <c r="I1818">
        <v>0</v>
      </c>
      <c r="J1818" s="4" t="str">
        <f>IF(OR(Копия_20206[[#This Row],[Units (in 1000)]]&gt;$R$7,Копия_20206[[#This Row],[Units (in 1000)]]&lt;$R$6),"outlier","not outlier")</f>
        <v>not outlier</v>
      </c>
      <c r="K1818" s="4" t="str">
        <f>IF(OR(Копия_20206[[#This Row],[Value (in 1000 rub)]]&gt;$S$7,Копия_20206[[#This Row],[Value (in 1000 rub)]]&lt;$S$6),"outlier","not outlier")</f>
        <v>not outlier</v>
      </c>
      <c r="L1818" s="4" t="str">
        <f>IF(OR(Копия_20206[[#This Row],[Volume (in 1000 kg)]]&gt;$T$7,Копия_20206[[#This Row],[Volume (in 1000 kg)]]&lt;$T$6),"outlier","not outlier")</f>
        <v>not outlier</v>
      </c>
      <c r="M1818" s="4" t="str">
        <f>IF(OR(Копия_20206[[#This Row],[Number of stores]]&gt;$U$7,Копия_20206[[#This Row],[Number of stores]]&lt;$U$6),"outlier","not outlier")</f>
        <v>not outlier</v>
      </c>
    </row>
    <row r="1819" spans="1:13" x14ac:dyDescent="0.25">
      <c r="A1819">
        <v>2022</v>
      </c>
      <c r="B1819">
        <v>8</v>
      </c>
      <c r="C1819" s="1" t="s">
        <v>25</v>
      </c>
      <c r="D1819" s="1" t="s">
        <v>19</v>
      </c>
      <c r="E1819" s="1" t="s">
        <v>11</v>
      </c>
      <c r="F1819" s="5">
        <v>0.93340000000000001</v>
      </c>
      <c r="G1819" s="5">
        <v>200.05150499999999</v>
      </c>
      <c r="H1819" s="5">
        <v>0.34539999999999998</v>
      </c>
      <c r="I1819">
        <v>0</v>
      </c>
      <c r="J1819" s="4" t="str">
        <f>IF(OR(Копия_20206[[#This Row],[Units (in 1000)]]&gt;$R$7,Копия_20206[[#This Row],[Units (in 1000)]]&lt;$R$6),"outlier","not outlier")</f>
        <v>not outlier</v>
      </c>
      <c r="K1819" s="4" t="str">
        <f>IF(OR(Копия_20206[[#This Row],[Value (in 1000 rub)]]&gt;$S$7,Копия_20206[[#This Row],[Value (in 1000 rub)]]&lt;$S$6),"outlier","not outlier")</f>
        <v>not outlier</v>
      </c>
      <c r="L1819" s="4" t="str">
        <f>IF(OR(Копия_20206[[#This Row],[Volume (in 1000 kg)]]&gt;$T$7,Копия_20206[[#This Row],[Volume (in 1000 kg)]]&lt;$T$6),"outlier","not outlier")</f>
        <v>not outlier</v>
      </c>
      <c r="M1819" s="4" t="str">
        <f>IF(OR(Копия_20206[[#This Row],[Number of stores]]&gt;$U$7,Копия_20206[[#This Row],[Number of stores]]&lt;$U$6),"outlier","not outlier")</f>
        <v>not outlier</v>
      </c>
    </row>
    <row r="1820" spans="1:13" x14ac:dyDescent="0.25">
      <c r="A1820">
        <v>2022</v>
      </c>
      <c r="B1820">
        <v>9</v>
      </c>
      <c r="C1820" s="1" t="s">
        <v>8</v>
      </c>
      <c r="D1820" s="1" t="s">
        <v>19</v>
      </c>
      <c r="E1820" s="1" t="s">
        <v>11</v>
      </c>
      <c r="F1820" s="5">
        <v>0.2482</v>
      </c>
      <c r="G1820" s="5">
        <v>47.686528000000003</v>
      </c>
      <c r="H1820" s="5">
        <v>9.1800000000000007E-2</v>
      </c>
      <c r="I1820">
        <v>0</v>
      </c>
      <c r="J1820" s="4" t="str">
        <f>IF(OR(Копия_20206[[#This Row],[Units (in 1000)]]&gt;$R$7,Копия_20206[[#This Row],[Units (in 1000)]]&lt;$R$6),"outlier","not outlier")</f>
        <v>not outlier</v>
      </c>
      <c r="K1820" s="4" t="str">
        <f>IF(OR(Копия_20206[[#This Row],[Value (in 1000 rub)]]&gt;$S$7,Копия_20206[[#This Row],[Value (in 1000 rub)]]&lt;$S$6),"outlier","not outlier")</f>
        <v>not outlier</v>
      </c>
      <c r="L1820" s="4" t="str">
        <f>IF(OR(Копия_20206[[#This Row],[Volume (in 1000 kg)]]&gt;$T$7,Копия_20206[[#This Row],[Volume (in 1000 kg)]]&lt;$T$6),"outlier","not outlier")</f>
        <v>not outlier</v>
      </c>
      <c r="M1820" s="4" t="str">
        <f>IF(OR(Копия_20206[[#This Row],[Number of stores]]&gt;$U$7,Копия_20206[[#This Row],[Number of stores]]&lt;$U$6),"outlier","not outlier")</f>
        <v>not outlier</v>
      </c>
    </row>
    <row r="1821" spans="1:13" x14ac:dyDescent="0.25">
      <c r="A1821">
        <v>2022</v>
      </c>
      <c r="B1821">
        <v>9</v>
      </c>
      <c r="C1821" s="1" t="s">
        <v>25</v>
      </c>
      <c r="D1821" s="1" t="s">
        <v>19</v>
      </c>
      <c r="E1821" s="1" t="s">
        <v>11</v>
      </c>
      <c r="F1821" s="5">
        <v>0.40610000000000002</v>
      </c>
      <c r="G1821" s="5">
        <v>90.136533999999997</v>
      </c>
      <c r="H1821" s="5">
        <v>0.1502</v>
      </c>
      <c r="I1821">
        <v>0</v>
      </c>
      <c r="J1821" s="4" t="str">
        <f>IF(OR(Копия_20206[[#This Row],[Units (in 1000)]]&gt;$R$7,Копия_20206[[#This Row],[Units (in 1000)]]&lt;$R$6),"outlier","not outlier")</f>
        <v>not outlier</v>
      </c>
      <c r="K1821" s="4" t="str">
        <f>IF(OR(Копия_20206[[#This Row],[Value (in 1000 rub)]]&gt;$S$7,Копия_20206[[#This Row],[Value (in 1000 rub)]]&lt;$S$6),"outlier","not outlier")</f>
        <v>not outlier</v>
      </c>
      <c r="L1821" s="4" t="str">
        <f>IF(OR(Копия_20206[[#This Row],[Volume (in 1000 kg)]]&gt;$T$7,Копия_20206[[#This Row],[Volume (in 1000 kg)]]&lt;$T$6),"outlier","not outlier")</f>
        <v>not outlier</v>
      </c>
      <c r="M1821" s="4" t="str">
        <f>IF(OR(Копия_20206[[#This Row],[Number of stores]]&gt;$U$7,Копия_20206[[#This Row],[Number of stores]]&lt;$U$6),"outlier","not outlier")</f>
        <v>not outlier</v>
      </c>
    </row>
    <row r="1822" spans="1:13" x14ac:dyDescent="0.25">
      <c r="A1822">
        <v>2022</v>
      </c>
      <c r="B1822">
        <v>9</v>
      </c>
      <c r="C1822" s="1" t="s">
        <v>29</v>
      </c>
      <c r="D1822" s="1" t="s">
        <v>19</v>
      </c>
      <c r="E1822" s="1" t="s">
        <v>11</v>
      </c>
      <c r="F1822" s="5">
        <v>1.0606</v>
      </c>
      <c r="G1822" s="5">
        <v>220.256091</v>
      </c>
      <c r="H1822" s="5">
        <v>0.39240000000000003</v>
      </c>
      <c r="I1822">
        <v>0</v>
      </c>
      <c r="J1822" s="4" t="str">
        <f>IF(OR(Копия_20206[[#This Row],[Units (in 1000)]]&gt;$R$7,Копия_20206[[#This Row],[Units (in 1000)]]&lt;$R$6),"outlier","not outlier")</f>
        <v>not outlier</v>
      </c>
      <c r="K1822" s="4" t="str">
        <f>IF(OR(Копия_20206[[#This Row],[Value (in 1000 rub)]]&gt;$S$7,Копия_20206[[#This Row],[Value (in 1000 rub)]]&lt;$S$6),"outlier","not outlier")</f>
        <v>not outlier</v>
      </c>
      <c r="L1822" s="4" t="str">
        <f>IF(OR(Копия_20206[[#This Row],[Volume (in 1000 kg)]]&gt;$T$7,Копия_20206[[#This Row],[Volume (in 1000 kg)]]&lt;$T$6),"outlier","not outlier")</f>
        <v>not outlier</v>
      </c>
      <c r="M1822" s="4" t="str">
        <f>IF(OR(Копия_20206[[#This Row],[Number of stores]]&gt;$U$7,Копия_20206[[#This Row],[Number of stores]]&lt;$U$6),"outlier","not outlier")</f>
        <v>not outlier</v>
      </c>
    </row>
    <row r="1823" spans="1:13" x14ac:dyDescent="0.25">
      <c r="A1823">
        <v>2022</v>
      </c>
      <c r="B1823">
        <v>10</v>
      </c>
      <c r="C1823" s="1" t="s">
        <v>8</v>
      </c>
      <c r="D1823" s="1" t="s">
        <v>19</v>
      </c>
      <c r="E1823" s="1" t="s">
        <v>11</v>
      </c>
      <c r="F1823" s="5">
        <v>0.28249999999999997</v>
      </c>
      <c r="G1823" s="5">
        <v>51.100825999999998</v>
      </c>
      <c r="H1823" s="5">
        <v>0.1046</v>
      </c>
      <c r="I1823">
        <v>0</v>
      </c>
      <c r="J1823" s="4" t="str">
        <f>IF(OR(Копия_20206[[#This Row],[Units (in 1000)]]&gt;$R$7,Копия_20206[[#This Row],[Units (in 1000)]]&lt;$R$6),"outlier","not outlier")</f>
        <v>not outlier</v>
      </c>
      <c r="K1823" s="4" t="str">
        <f>IF(OR(Копия_20206[[#This Row],[Value (in 1000 rub)]]&gt;$S$7,Копия_20206[[#This Row],[Value (in 1000 rub)]]&lt;$S$6),"outlier","not outlier")</f>
        <v>not outlier</v>
      </c>
      <c r="L1823" s="4" t="str">
        <f>IF(OR(Копия_20206[[#This Row],[Volume (in 1000 kg)]]&gt;$T$7,Копия_20206[[#This Row],[Volume (in 1000 kg)]]&lt;$T$6),"outlier","not outlier")</f>
        <v>not outlier</v>
      </c>
      <c r="M1823" s="4" t="str">
        <f>IF(OR(Копия_20206[[#This Row],[Number of stores]]&gt;$U$7,Копия_20206[[#This Row],[Number of stores]]&lt;$U$6),"outlier","not outlier")</f>
        <v>not outlier</v>
      </c>
    </row>
    <row r="1824" spans="1:13" x14ac:dyDescent="0.25">
      <c r="A1824">
        <v>2022</v>
      </c>
      <c r="B1824">
        <v>10</v>
      </c>
      <c r="C1824" s="1" t="s">
        <v>25</v>
      </c>
      <c r="D1824" s="1" t="s">
        <v>19</v>
      </c>
      <c r="E1824" s="1" t="s">
        <v>11</v>
      </c>
      <c r="F1824" s="5">
        <v>0.81759999999999999</v>
      </c>
      <c r="G1824" s="5">
        <v>160.901353</v>
      </c>
      <c r="H1824" s="5">
        <v>0.30259999999999998</v>
      </c>
      <c r="I1824">
        <v>0</v>
      </c>
      <c r="J1824" s="4" t="str">
        <f>IF(OR(Копия_20206[[#This Row],[Units (in 1000)]]&gt;$R$7,Копия_20206[[#This Row],[Units (in 1000)]]&lt;$R$6),"outlier","not outlier")</f>
        <v>not outlier</v>
      </c>
      <c r="K1824" s="4" t="str">
        <f>IF(OR(Копия_20206[[#This Row],[Value (in 1000 rub)]]&gt;$S$7,Копия_20206[[#This Row],[Value (in 1000 rub)]]&lt;$S$6),"outlier","not outlier")</f>
        <v>not outlier</v>
      </c>
      <c r="L1824" s="4" t="str">
        <f>IF(OR(Копия_20206[[#This Row],[Volume (in 1000 kg)]]&gt;$T$7,Копия_20206[[#This Row],[Volume (in 1000 kg)]]&lt;$T$6),"outlier","not outlier")</f>
        <v>not outlier</v>
      </c>
      <c r="M1824" s="4" t="str">
        <f>IF(OR(Копия_20206[[#This Row],[Number of stores]]&gt;$U$7,Копия_20206[[#This Row],[Number of stores]]&lt;$U$6),"outlier","not outlier")</f>
        <v>not outlier</v>
      </c>
    </row>
    <row r="1825" spans="1:13" x14ac:dyDescent="0.25">
      <c r="A1825">
        <v>2022</v>
      </c>
      <c r="B1825">
        <v>10</v>
      </c>
      <c r="C1825" s="1" t="s">
        <v>29</v>
      </c>
      <c r="D1825" s="1" t="s">
        <v>19</v>
      </c>
      <c r="E1825" s="1" t="s">
        <v>11</v>
      </c>
      <c r="F1825" s="5">
        <v>1.2193000000000001</v>
      </c>
      <c r="G1825" s="5">
        <v>243.123197</v>
      </c>
      <c r="H1825" s="5">
        <v>0.4511</v>
      </c>
      <c r="I1825">
        <v>0</v>
      </c>
      <c r="J1825" s="4" t="str">
        <f>IF(OR(Копия_20206[[#This Row],[Units (in 1000)]]&gt;$R$7,Копия_20206[[#This Row],[Units (in 1000)]]&lt;$R$6),"outlier","not outlier")</f>
        <v>not outlier</v>
      </c>
      <c r="K1825" s="4" t="str">
        <f>IF(OR(Копия_20206[[#This Row],[Value (in 1000 rub)]]&gt;$S$7,Копия_20206[[#This Row],[Value (in 1000 rub)]]&lt;$S$6),"outlier","not outlier")</f>
        <v>not outlier</v>
      </c>
      <c r="L1825" s="4" t="str">
        <f>IF(OR(Копия_20206[[#This Row],[Volume (in 1000 kg)]]&gt;$T$7,Копия_20206[[#This Row],[Volume (in 1000 kg)]]&lt;$T$6),"outlier","not outlier")</f>
        <v>not outlier</v>
      </c>
      <c r="M1825" s="4" t="str">
        <f>IF(OR(Копия_20206[[#This Row],[Number of stores]]&gt;$U$7,Копия_20206[[#This Row],[Number of stores]]&lt;$U$6),"outlier","not outlier")</f>
        <v>not outlier</v>
      </c>
    </row>
    <row r="1826" spans="1:13" x14ac:dyDescent="0.25">
      <c r="A1826">
        <v>2022</v>
      </c>
      <c r="B1826">
        <v>11</v>
      </c>
      <c r="C1826" s="1" t="s">
        <v>8</v>
      </c>
      <c r="D1826" s="1" t="s">
        <v>19</v>
      </c>
      <c r="E1826" s="1" t="s">
        <v>11</v>
      </c>
      <c r="F1826" s="5">
        <v>0.38969999999999999</v>
      </c>
      <c r="G1826" s="5">
        <v>64.835729999999998</v>
      </c>
      <c r="H1826" s="5">
        <v>0.14419999999999999</v>
      </c>
      <c r="I1826">
        <v>22</v>
      </c>
      <c r="J1826" s="4" t="str">
        <f>IF(OR(Копия_20206[[#This Row],[Units (in 1000)]]&gt;$R$7,Копия_20206[[#This Row],[Units (in 1000)]]&lt;$R$6),"outlier","not outlier")</f>
        <v>not outlier</v>
      </c>
      <c r="K1826" s="4" t="str">
        <f>IF(OR(Копия_20206[[#This Row],[Value (in 1000 rub)]]&gt;$S$7,Копия_20206[[#This Row],[Value (in 1000 rub)]]&lt;$S$6),"outlier","not outlier")</f>
        <v>not outlier</v>
      </c>
      <c r="L1826" s="4" t="str">
        <f>IF(OR(Копия_20206[[#This Row],[Volume (in 1000 kg)]]&gt;$T$7,Копия_20206[[#This Row],[Volume (in 1000 kg)]]&lt;$T$6),"outlier","not outlier")</f>
        <v>not outlier</v>
      </c>
      <c r="M1826" s="4" t="str">
        <f>IF(OR(Копия_20206[[#This Row],[Number of stores]]&gt;$U$7,Копия_20206[[#This Row],[Number of stores]]&lt;$U$6),"outlier","not outlier")</f>
        <v>not outlier</v>
      </c>
    </row>
    <row r="1827" spans="1:13" x14ac:dyDescent="0.25">
      <c r="A1827">
        <v>2022</v>
      </c>
      <c r="B1827">
        <v>11</v>
      </c>
      <c r="C1827" s="1" t="s">
        <v>25</v>
      </c>
      <c r="D1827" s="1" t="s">
        <v>19</v>
      </c>
      <c r="E1827" s="1" t="s">
        <v>11</v>
      </c>
      <c r="F1827" s="5">
        <v>0.65780000000000005</v>
      </c>
      <c r="G1827" s="5">
        <v>138.358881</v>
      </c>
      <c r="H1827" s="5">
        <v>0.24329999999999999</v>
      </c>
      <c r="I1827">
        <v>0</v>
      </c>
      <c r="J1827" s="4" t="str">
        <f>IF(OR(Копия_20206[[#This Row],[Units (in 1000)]]&gt;$R$7,Копия_20206[[#This Row],[Units (in 1000)]]&lt;$R$6),"outlier","not outlier")</f>
        <v>not outlier</v>
      </c>
      <c r="K1827" s="4" t="str">
        <f>IF(OR(Копия_20206[[#This Row],[Value (in 1000 rub)]]&gt;$S$7,Копия_20206[[#This Row],[Value (in 1000 rub)]]&lt;$S$6),"outlier","not outlier")</f>
        <v>not outlier</v>
      </c>
      <c r="L1827" s="4" t="str">
        <f>IF(OR(Копия_20206[[#This Row],[Volume (in 1000 kg)]]&gt;$T$7,Копия_20206[[#This Row],[Volume (in 1000 kg)]]&lt;$T$6),"outlier","not outlier")</f>
        <v>not outlier</v>
      </c>
      <c r="M1827" s="4" t="str">
        <f>IF(OR(Копия_20206[[#This Row],[Number of stores]]&gt;$U$7,Копия_20206[[#This Row],[Number of stores]]&lt;$U$6),"outlier","not outlier")</f>
        <v>not outlier</v>
      </c>
    </row>
    <row r="1828" spans="1:13" x14ac:dyDescent="0.25">
      <c r="A1828">
        <v>2022</v>
      </c>
      <c r="B1828">
        <v>11</v>
      </c>
      <c r="C1828" s="1" t="s">
        <v>29</v>
      </c>
      <c r="D1828" s="1" t="s">
        <v>19</v>
      </c>
      <c r="E1828" s="1" t="s">
        <v>11</v>
      </c>
      <c r="F1828" s="5">
        <v>0.98860000000000003</v>
      </c>
      <c r="G1828" s="5">
        <v>209.659188</v>
      </c>
      <c r="H1828" s="5">
        <v>0.36580000000000001</v>
      </c>
      <c r="I1828">
        <v>0</v>
      </c>
      <c r="J1828" s="4" t="str">
        <f>IF(OR(Копия_20206[[#This Row],[Units (in 1000)]]&gt;$R$7,Копия_20206[[#This Row],[Units (in 1000)]]&lt;$R$6),"outlier","not outlier")</f>
        <v>not outlier</v>
      </c>
      <c r="K1828" s="4" t="str">
        <f>IF(OR(Копия_20206[[#This Row],[Value (in 1000 rub)]]&gt;$S$7,Копия_20206[[#This Row],[Value (in 1000 rub)]]&lt;$S$6),"outlier","not outlier")</f>
        <v>not outlier</v>
      </c>
      <c r="L1828" s="4" t="str">
        <f>IF(OR(Копия_20206[[#This Row],[Volume (in 1000 kg)]]&gt;$T$7,Копия_20206[[#This Row],[Volume (in 1000 kg)]]&lt;$T$6),"outlier","not outlier")</f>
        <v>not outlier</v>
      </c>
      <c r="M1828" s="4" t="str">
        <f>IF(OR(Копия_20206[[#This Row],[Number of stores]]&gt;$U$7,Копия_20206[[#This Row],[Number of stores]]&lt;$U$6),"outlier","not outlier")</f>
        <v>not outlier</v>
      </c>
    </row>
    <row r="1829" spans="1:13" x14ac:dyDescent="0.25">
      <c r="A1829">
        <v>2022</v>
      </c>
      <c r="B1829">
        <v>12</v>
      </c>
      <c r="C1829" s="1" t="s">
        <v>8</v>
      </c>
      <c r="D1829" s="1" t="s">
        <v>19</v>
      </c>
      <c r="E1829" s="1" t="s">
        <v>11</v>
      </c>
      <c r="F1829" s="5">
        <v>0.31440000000000001</v>
      </c>
      <c r="G1829" s="5">
        <v>53.442689999999999</v>
      </c>
      <c r="H1829" s="5">
        <v>0.1163</v>
      </c>
      <c r="I1829">
        <v>0</v>
      </c>
      <c r="J1829" s="4" t="str">
        <f>IF(OR(Копия_20206[[#This Row],[Units (in 1000)]]&gt;$R$7,Копия_20206[[#This Row],[Units (in 1000)]]&lt;$R$6),"outlier","not outlier")</f>
        <v>not outlier</v>
      </c>
      <c r="K1829" s="4" t="str">
        <f>IF(OR(Копия_20206[[#This Row],[Value (in 1000 rub)]]&gt;$S$7,Копия_20206[[#This Row],[Value (in 1000 rub)]]&lt;$S$6),"outlier","not outlier")</f>
        <v>not outlier</v>
      </c>
      <c r="L1829" s="4" t="str">
        <f>IF(OR(Копия_20206[[#This Row],[Volume (in 1000 kg)]]&gt;$T$7,Копия_20206[[#This Row],[Volume (in 1000 kg)]]&lt;$T$6),"outlier","not outlier")</f>
        <v>not outlier</v>
      </c>
      <c r="M1829" s="4" t="str">
        <f>IF(OR(Копия_20206[[#This Row],[Number of stores]]&gt;$U$7,Копия_20206[[#This Row],[Number of stores]]&lt;$U$6),"outlier","not outlier")</f>
        <v>not outlier</v>
      </c>
    </row>
    <row r="1830" spans="1:13" x14ac:dyDescent="0.25">
      <c r="A1830">
        <v>2022</v>
      </c>
      <c r="B1830">
        <v>12</v>
      </c>
      <c r="C1830" s="1" t="s">
        <v>25</v>
      </c>
      <c r="D1830" s="1" t="s">
        <v>19</v>
      </c>
      <c r="E1830" s="1" t="s">
        <v>11</v>
      </c>
      <c r="F1830" s="5">
        <v>0.63490000000000002</v>
      </c>
      <c r="G1830" s="5">
        <v>140.682445</v>
      </c>
      <c r="H1830" s="5">
        <v>0.2349</v>
      </c>
      <c r="I1830">
        <v>0</v>
      </c>
      <c r="J1830" s="4" t="str">
        <f>IF(OR(Копия_20206[[#This Row],[Units (in 1000)]]&gt;$R$7,Копия_20206[[#This Row],[Units (in 1000)]]&lt;$R$6),"outlier","not outlier")</f>
        <v>not outlier</v>
      </c>
      <c r="K1830" s="4" t="str">
        <f>IF(OR(Копия_20206[[#This Row],[Value (in 1000 rub)]]&gt;$S$7,Копия_20206[[#This Row],[Value (in 1000 rub)]]&lt;$S$6),"outlier","not outlier")</f>
        <v>not outlier</v>
      </c>
      <c r="L1830" s="4" t="str">
        <f>IF(OR(Копия_20206[[#This Row],[Volume (in 1000 kg)]]&gt;$T$7,Копия_20206[[#This Row],[Volume (in 1000 kg)]]&lt;$T$6),"outlier","not outlier")</f>
        <v>not outlier</v>
      </c>
      <c r="M1830" s="4" t="str">
        <f>IF(OR(Копия_20206[[#This Row],[Number of stores]]&gt;$U$7,Копия_20206[[#This Row],[Number of stores]]&lt;$U$6),"outlier","not outlier")</f>
        <v>not outlier</v>
      </c>
    </row>
    <row r="1831" spans="1:13" x14ac:dyDescent="0.25">
      <c r="A1831">
        <v>2022</v>
      </c>
      <c r="B1831">
        <v>12</v>
      </c>
      <c r="C1831" s="1" t="s">
        <v>29</v>
      </c>
      <c r="D1831" s="1" t="s">
        <v>19</v>
      </c>
      <c r="E1831" s="1" t="s">
        <v>11</v>
      </c>
      <c r="F1831" s="5">
        <v>1.2131000000000001</v>
      </c>
      <c r="G1831" s="5">
        <v>257.23418900000001</v>
      </c>
      <c r="H1831" s="5">
        <v>0.44879999999999998</v>
      </c>
      <c r="I1831">
        <v>0</v>
      </c>
      <c r="J1831" s="4" t="str">
        <f>IF(OR(Копия_20206[[#This Row],[Units (in 1000)]]&gt;$R$7,Копия_20206[[#This Row],[Units (in 1000)]]&lt;$R$6),"outlier","not outlier")</f>
        <v>not outlier</v>
      </c>
      <c r="K1831" s="4" t="str">
        <f>IF(OR(Копия_20206[[#This Row],[Value (in 1000 rub)]]&gt;$S$7,Копия_20206[[#This Row],[Value (in 1000 rub)]]&lt;$S$6),"outlier","not outlier")</f>
        <v>not outlier</v>
      </c>
      <c r="L1831" s="4" t="str">
        <f>IF(OR(Копия_20206[[#This Row],[Volume (in 1000 kg)]]&gt;$T$7,Копия_20206[[#This Row],[Volume (in 1000 kg)]]&lt;$T$6),"outlier","not outlier")</f>
        <v>not outlier</v>
      </c>
      <c r="M1831" s="4" t="str">
        <f>IF(OR(Копия_20206[[#This Row],[Number of stores]]&gt;$U$7,Копия_20206[[#This Row],[Number of stores]]&lt;$U$6),"outlier","not outlier")</f>
        <v>not outlier</v>
      </c>
    </row>
    <row r="1832" spans="1:13" x14ac:dyDescent="0.25">
      <c r="A1832">
        <v>2022</v>
      </c>
      <c r="B1832">
        <v>7</v>
      </c>
      <c r="C1832" s="1" t="s">
        <v>8</v>
      </c>
      <c r="D1832" s="1" t="s">
        <v>49</v>
      </c>
      <c r="E1832" s="1" t="s">
        <v>11</v>
      </c>
      <c r="F1832" s="5">
        <v>0.60550000000000004</v>
      </c>
      <c r="G1832" s="5">
        <v>36.580792000000002</v>
      </c>
      <c r="H1832" s="5">
        <v>0.21190000000000001</v>
      </c>
      <c r="I1832">
        <v>0</v>
      </c>
      <c r="J1832" s="4" t="str">
        <f>IF(OR(Копия_20206[[#This Row],[Units (in 1000)]]&gt;$R$7,Копия_20206[[#This Row],[Units (in 1000)]]&lt;$R$6),"outlier","not outlier")</f>
        <v>not outlier</v>
      </c>
      <c r="K1832" s="4" t="str">
        <f>IF(OR(Копия_20206[[#This Row],[Value (in 1000 rub)]]&gt;$S$7,Копия_20206[[#This Row],[Value (in 1000 rub)]]&lt;$S$6),"outlier","not outlier")</f>
        <v>not outlier</v>
      </c>
      <c r="L1832" s="4" t="str">
        <f>IF(OR(Копия_20206[[#This Row],[Volume (in 1000 kg)]]&gt;$T$7,Копия_20206[[#This Row],[Volume (in 1000 kg)]]&lt;$T$6),"outlier","not outlier")</f>
        <v>not outlier</v>
      </c>
      <c r="M1832" s="4" t="str">
        <f>IF(OR(Копия_20206[[#This Row],[Number of stores]]&gt;$U$7,Копия_20206[[#This Row],[Number of stores]]&lt;$U$6),"outlier","not outlier")</f>
        <v>not outlier</v>
      </c>
    </row>
    <row r="1833" spans="1:13" x14ac:dyDescent="0.25">
      <c r="A1833">
        <v>2022</v>
      </c>
      <c r="B1833">
        <v>7</v>
      </c>
      <c r="C1833" s="1" t="s">
        <v>29</v>
      </c>
      <c r="D1833" s="1" t="s">
        <v>49</v>
      </c>
      <c r="E1833" s="1" t="s">
        <v>11</v>
      </c>
      <c r="F1833" s="5">
        <v>3.8847</v>
      </c>
      <c r="G1833" s="5">
        <v>224.618831</v>
      </c>
      <c r="H1833" s="5">
        <v>1.3596999999999999</v>
      </c>
      <c r="I1833">
        <v>0</v>
      </c>
      <c r="J1833" s="4" t="str">
        <f>IF(OR(Копия_20206[[#This Row],[Units (in 1000)]]&gt;$R$7,Копия_20206[[#This Row],[Units (in 1000)]]&lt;$R$6),"outlier","not outlier")</f>
        <v>not outlier</v>
      </c>
      <c r="K1833" s="4" t="str">
        <f>IF(OR(Копия_20206[[#This Row],[Value (in 1000 rub)]]&gt;$S$7,Копия_20206[[#This Row],[Value (in 1000 rub)]]&lt;$S$6),"outlier","not outlier")</f>
        <v>not outlier</v>
      </c>
      <c r="L1833" s="4" t="str">
        <f>IF(OR(Копия_20206[[#This Row],[Volume (in 1000 kg)]]&gt;$T$7,Копия_20206[[#This Row],[Volume (in 1000 kg)]]&lt;$T$6),"outlier","not outlier")</f>
        <v>not outlier</v>
      </c>
      <c r="M1833" s="4" t="str">
        <f>IF(OR(Копия_20206[[#This Row],[Number of stores]]&gt;$U$7,Копия_20206[[#This Row],[Number of stores]]&lt;$U$6),"outlier","not outlier")</f>
        <v>not outlier</v>
      </c>
    </row>
    <row r="1834" spans="1:13" x14ac:dyDescent="0.25">
      <c r="A1834">
        <v>2022</v>
      </c>
      <c r="B1834">
        <v>8</v>
      </c>
      <c r="C1834" s="1" t="s">
        <v>8</v>
      </c>
      <c r="D1834" s="1" t="s">
        <v>49</v>
      </c>
      <c r="E1834" s="1" t="s">
        <v>11</v>
      </c>
      <c r="F1834" s="5">
        <v>2.0727000000000002</v>
      </c>
      <c r="G1834" s="5">
        <v>109.779905</v>
      </c>
      <c r="H1834" s="5">
        <v>0.72540000000000004</v>
      </c>
      <c r="I1834">
        <v>0</v>
      </c>
      <c r="J1834" s="4" t="str">
        <f>IF(OR(Копия_20206[[#This Row],[Units (in 1000)]]&gt;$R$7,Копия_20206[[#This Row],[Units (in 1000)]]&lt;$R$6),"outlier","not outlier")</f>
        <v>not outlier</v>
      </c>
      <c r="K1834" s="4" t="str">
        <f>IF(OR(Копия_20206[[#This Row],[Value (in 1000 rub)]]&gt;$S$7,Копия_20206[[#This Row],[Value (in 1000 rub)]]&lt;$S$6),"outlier","not outlier")</f>
        <v>not outlier</v>
      </c>
      <c r="L1834" s="4" t="str">
        <f>IF(OR(Копия_20206[[#This Row],[Volume (in 1000 kg)]]&gt;$T$7,Копия_20206[[#This Row],[Volume (in 1000 kg)]]&lt;$T$6),"outlier","not outlier")</f>
        <v>not outlier</v>
      </c>
      <c r="M1834" s="4" t="str">
        <f>IF(OR(Копия_20206[[#This Row],[Number of stores]]&gt;$U$7,Копия_20206[[#This Row],[Number of stores]]&lt;$U$6),"outlier","not outlier")</f>
        <v>not outlier</v>
      </c>
    </row>
    <row r="1835" spans="1:13" x14ac:dyDescent="0.25">
      <c r="A1835">
        <v>2022</v>
      </c>
      <c r="B1835">
        <v>8</v>
      </c>
      <c r="C1835" s="1" t="s">
        <v>29</v>
      </c>
      <c r="D1835" s="1" t="s">
        <v>49</v>
      </c>
      <c r="E1835" s="1" t="s">
        <v>11</v>
      </c>
      <c r="F1835" s="5">
        <v>5.6062000000000003</v>
      </c>
      <c r="G1835" s="5">
        <v>313.649181</v>
      </c>
      <c r="H1835" s="5">
        <v>1.9621999999999999</v>
      </c>
      <c r="I1835">
        <v>131</v>
      </c>
      <c r="J1835" s="4" t="str">
        <f>IF(OR(Копия_20206[[#This Row],[Units (in 1000)]]&gt;$R$7,Копия_20206[[#This Row],[Units (in 1000)]]&lt;$R$6),"outlier","not outlier")</f>
        <v>not outlier</v>
      </c>
      <c r="K1835" s="4" t="str">
        <f>IF(OR(Копия_20206[[#This Row],[Value (in 1000 rub)]]&gt;$S$7,Копия_20206[[#This Row],[Value (in 1000 rub)]]&lt;$S$6),"outlier","not outlier")</f>
        <v>not outlier</v>
      </c>
      <c r="L1835" s="4" t="str">
        <f>IF(OR(Копия_20206[[#This Row],[Volume (in 1000 kg)]]&gt;$T$7,Копия_20206[[#This Row],[Volume (in 1000 kg)]]&lt;$T$6),"outlier","not outlier")</f>
        <v>not outlier</v>
      </c>
      <c r="M1835" s="4" t="str">
        <f>IF(OR(Копия_20206[[#This Row],[Number of stores]]&gt;$U$7,Копия_20206[[#This Row],[Number of stores]]&lt;$U$6),"outlier","not outlier")</f>
        <v>not outlier</v>
      </c>
    </row>
    <row r="1836" spans="1:13" x14ac:dyDescent="0.25">
      <c r="A1836">
        <v>2022</v>
      </c>
      <c r="B1836">
        <v>9</v>
      </c>
      <c r="C1836" s="1" t="s">
        <v>8</v>
      </c>
      <c r="D1836" s="1" t="s">
        <v>49</v>
      </c>
      <c r="E1836" s="1" t="s">
        <v>11</v>
      </c>
      <c r="F1836" s="5">
        <v>1.0530999999999999</v>
      </c>
      <c r="G1836" s="5">
        <v>56.502913999999997</v>
      </c>
      <c r="H1836" s="5">
        <v>0.36859999999999998</v>
      </c>
      <c r="I1836">
        <v>0</v>
      </c>
      <c r="J1836" s="4" t="str">
        <f>IF(OR(Копия_20206[[#This Row],[Units (in 1000)]]&gt;$R$7,Копия_20206[[#This Row],[Units (in 1000)]]&lt;$R$6),"outlier","not outlier")</f>
        <v>not outlier</v>
      </c>
      <c r="K1836" s="4" t="str">
        <f>IF(OR(Копия_20206[[#This Row],[Value (in 1000 rub)]]&gt;$S$7,Копия_20206[[#This Row],[Value (in 1000 rub)]]&lt;$S$6),"outlier","not outlier")</f>
        <v>not outlier</v>
      </c>
      <c r="L1836" s="4" t="str">
        <f>IF(OR(Копия_20206[[#This Row],[Volume (in 1000 kg)]]&gt;$T$7,Копия_20206[[#This Row],[Volume (in 1000 kg)]]&lt;$T$6),"outlier","not outlier")</f>
        <v>not outlier</v>
      </c>
      <c r="M1836" s="4" t="str">
        <f>IF(OR(Копия_20206[[#This Row],[Number of stores]]&gt;$U$7,Копия_20206[[#This Row],[Number of stores]]&lt;$U$6),"outlier","not outlier")</f>
        <v>not outlier</v>
      </c>
    </row>
    <row r="1837" spans="1:13" x14ac:dyDescent="0.25">
      <c r="A1837">
        <v>2022</v>
      </c>
      <c r="B1837">
        <v>1</v>
      </c>
      <c r="C1837" s="1" t="s">
        <v>25</v>
      </c>
      <c r="D1837" s="1" t="s">
        <v>38</v>
      </c>
      <c r="E1837" s="1" t="s">
        <v>11</v>
      </c>
      <c r="F1837" s="5">
        <v>2.2065999999999999</v>
      </c>
      <c r="G1837" s="5">
        <v>164.70493400000001</v>
      </c>
      <c r="H1837" s="5">
        <v>0.84960000000000002</v>
      </c>
      <c r="I1837">
        <v>769</v>
      </c>
      <c r="J1837" s="4" t="str">
        <f>IF(OR(Копия_20206[[#This Row],[Units (in 1000)]]&gt;$R$7,Копия_20206[[#This Row],[Units (in 1000)]]&lt;$R$6),"outlier","not outlier")</f>
        <v>not outlier</v>
      </c>
      <c r="K1837" s="4" t="str">
        <f>IF(OR(Копия_20206[[#This Row],[Value (in 1000 rub)]]&gt;$S$7,Копия_20206[[#This Row],[Value (in 1000 rub)]]&lt;$S$6),"outlier","not outlier")</f>
        <v>not outlier</v>
      </c>
      <c r="L1837" s="4" t="str">
        <f>IF(OR(Копия_20206[[#This Row],[Volume (in 1000 kg)]]&gt;$T$7,Копия_20206[[#This Row],[Volume (in 1000 kg)]]&lt;$T$6),"outlier","not outlier")</f>
        <v>not outlier</v>
      </c>
      <c r="M1837" s="4" t="str">
        <f>IF(OR(Копия_20206[[#This Row],[Number of stores]]&gt;$U$7,Копия_20206[[#This Row],[Number of stores]]&lt;$U$6),"outlier","not outlier")</f>
        <v>not outlier</v>
      </c>
    </row>
    <row r="1838" spans="1:13" x14ac:dyDescent="0.25">
      <c r="A1838">
        <v>2022</v>
      </c>
      <c r="B1838">
        <v>1</v>
      </c>
      <c r="C1838" s="1" t="s">
        <v>25</v>
      </c>
      <c r="D1838" s="1" t="s">
        <v>38</v>
      </c>
      <c r="E1838" s="1" t="s">
        <v>12</v>
      </c>
      <c r="F1838" s="5">
        <v>0.1416</v>
      </c>
      <c r="G1838" s="5">
        <v>12.006769</v>
      </c>
      <c r="H1838" s="5">
        <v>6.9400000000000003E-2</v>
      </c>
      <c r="I1838">
        <v>56</v>
      </c>
      <c r="J1838" s="4" t="str">
        <f>IF(OR(Копия_20206[[#This Row],[Units (in 1000)]]&gt;$R$7,Копия_20206[[#This Row],[Units (in 1000)]]&lt;$R$6),"outlier","not outlier")</f>
        <v>not outlier</v>
      </c>
      <c r="K1838" s="4" t="str">
        <f>IF(OR(Копия_20206[[#This Row],[Value (in 1000 rub)]]&gt;$S$7,Копия_20206[[#This Row],[Value (in 1000 rub)]]&lt;$S$6),"outlier","not outlier")</f>
        <v>not outlier</v>
      </c>
      <c r="L1838" s="4" t="str">
        <f>IF(OR(Копия_20206[[#This Row],[Volume (in 1000 kg)]]&gt;$T$7,Копия_20206[[#This Row],[Volume (in 1000 kg)]]&lt;$T$6),"outlier","not outlier")</f>
        <v>not outlier</v>
      </c>
      <c r="M1838" s="4" t="str">
        <f>IF(OR(Копия_20206[[#This Row],[Number of stores]]&gt;$U$7,Копия_20206[[#This Row],[Number of stores]]&lt;$U$6),"outlier","not outlier")</f>
        <v>not outlier</v>
      </c>
    </row>
    <row r="1839" spans="1:13" x14ac:dyDescent="0.25">
      <c r="A1839">
        <v>2022</v>
      </c>
      <c r="B1839">
        <v>1</v>
      </c>
      <c r="C1839" s="1" t="s">
        <v>29</v>
      </c>
      <c r="D1839" s="1" t="s">
        <v>38</v>
      </c>
      <c r="E1839" s="1" t="s">
        <v>11</v>
      </c>
      <c r="F1839" s="5">
        <v>5.3848000000000003</v>
      </c>
      <c r="G1839" s="5">
        <v>403.57108199999999</v>
      </c>
      <c r="H1839" s="5">
        <v>2.0731000000000002</v>
      </c>
      <c r="I1839">
        <v>1598</v>
      </c>
      <c r="J1839" s="4" t="str">
        <f>IF(OR(Копия_20206[[#This Row],[Units (in 1000)]]&gt;$R$7,Копия_20206[[#This Row],[Units (in 1000)]]&lt;$R$6),"outlier","not outlier")</f>
        <v>not outlier</v>
      </c>
      <c r="K1839" s="4" t="str">
        <f>IF(OR(Копия_20206[[#This Row],[Value (in 1000 rub)]]&gt;$S$7,Копия_20206[[#This Row],[Value (in 1000 rub)]]&lt;$S$6),"outlier","not outlier")</f>
        <v>not outlier</v>
      </c>
      <c r="L1839" s="4" t="str">
        <f>IF(OR(Копия_20206[[#This Row],[Volume (in 1000 kg)]]&gt;$T$7,Копия_20206[[#This Row],[Volume (in 1000 kg)]]&lt;$T$6),"outlier","not outlier")</f>
        <v>not outlier</v>
      </c>
      <c r="M1839" s="4" t="str">
        <f>IF(OR(Копия_20206[[#This Row],[Number of stores]]&gt;$U$7,Копия_20206[[#This Row],[Number of stores]]&lt;$U$6),"outlier","not outlier")</f>
        <v>not outlier</v>
      </c>
    </row>
    <row r="1840" spans="1:13" x14ac:dyDescent="0.25">
      <c r="A1840">
        <v>2022</v>
      </c>
      <c r="B1840">
        <v>1</v>
      </c>
      <c r="C1840" s="1" t="s">
        <v>29</v>
      </c>
      <c r="D1840" s="1" t="s">
        <v>38</v>
      </c>
      <c r="E1840" s="1" t="s">
        <v>12</v>
      </c>
      <c r="F1840" s="5">
        <v>0.41749999999999998</v>
      </c>
      <c r="G1840" s="5">
        <v>34.83502</v>
      </c>
      <c r="H1840" s="5">
        <v>0.2046</v>
      </c>
      <c r="I1840">
        <v>201</v>
      </c>
      <c r="J1840" s="4" t="str">
        <f>IF(OR(Копия_20206[[#This Row],[Units (in 1000)]]&gt;$R$7,Копия_20206[[#This Row],[Units (in 1000)]]&lt;$R$6),"outlier","not outlier")</f>
        <v>not outlier</v>
      </c>
      <c r="K1840" s="4" t="str">
        <f>IF(OR(Копия_20206[[#This Row],[Value (in 1000 rub)]]&gt;$S$7,Копия_20206[[#This Row],[Value (in 1000 rub)]]&lt;$S$6),"outlier","not outlier")</f>
        <v>not outlier</v>
      </c>
      <c r="L1840" s="4" t="str">
        <f>IF(OR(Копия_20206[[#This Row],[Volume (in 1000 kg)]]&gt;$T$7,Копия_20206[[#This Row],[Volume (in 1000 kg)]]&lt;$T$6),"outlier","not outlier")</f>
        <v>not outlier</v>
      </c>
      <c r="M1840" s="4" t="str">
        <f>IF(OR(Копия_20206[[#This Row],[Number of stores]]&gt;$U$7,Копия_20206[[#This Row],[Number of stores]]&lt;$U$6),"outlier","not outlier")</f>
        <v>not outlier</v>
      </c>
    </row>
    <row r="1841" spans="1:13" x14ac:dyDescent="0.25">
      <c r="A1841">
        <v>2022</v>
      </c>
      <c r="B1841">
        <v>2</v>
      </c>
      <c r="C1841" s="1" t="s">
        <v>25</v>
      </c>
      <c r="D1841" s="1" t="s">
        <v>38</v>
      </c>
      <c r="E1841" s="1" t="s">
        <v>11</v>
      </c>
      <c r="F1841" s="5">
        <v>2.7930999999999999</v>
      </c>
      <c r="G1841" s="5">
        <v>192.42710299999999</v>
      </c>
      <c r="H1841" s="5">
        <v>1.0753999999999999</v>
      </c>
      <c r="I1841">
        <v>960</v>
      </c>
      <c r="J1841" s="4" t="str">
        <f>IF(OR(Копия_20206[[#This Row],[Units (in 1000)]]&gt;$R$7,Копия_20206[[#This Row],[Units (in 1000)]]&lt;$R$6),"outlier","not outlier")</f>
        <v>not outlier</v>
      </c>
      <c r="K1841" s="4" t="str">
        <f>IF(OR(Копия_20206[[#This Row],[Value (in 1000 rub)]]&gt;$S$7,Копия_20206[[#This Row],[Value (in 1000 rub)]]&lt;$S$6),"outlier","not outlier")</f>
        <v>not outlier</v>
      </c>
      <c r="L1841" s="4" t="str">
        <f>IF(OR(Копия_20206[[#This Row],[Volume (in 1000 kg)]]&gt;$T$7,Копия_20206[[#This Row],[Volume (in 1000 kg)]]&lt;$T$6),"outlier","not outlier")</f>
        <v>not outlier</v>
      </c>
      <c r="M1841" s="4" t="str">
        <f>IF(OR(Копия_20206[[#This Row],[Number of stores]]&gt;$U$7,Копия_20206[[#This Row],[Number of stores]]&lt;$U$6),"outlier","not outlier")</f>
        <v>not outlier</v>
      </c>
    </row>
    <row r="1842" spans="1:13" x14ac:dyDescent="0.25">
      <c r="A1842">
        <v>2022</v>
      </c>
      <c r="B1842">
        <v>2</v>
      </c>
      <c r="C1842" s="1" t="s">
        <v>25</v>
      </c>
      <c r="D1842" s="1" t="s">
        <v>38</v>
      </c>
      <c r="E1842" s="1" t="s">
        <v>12</v>
      </c>
      <c r="F1842" s="5">
        <v>0.25559999999999999</v>
      </c>
      <c r="G1842" s="5">
        <v>21.533491999999999</v>
      </c>
      <c r="H1842" s="5">
        <v>0.12529999999999999</v>
      </c>
      <c r="I1842">
        <v>180</v>
      </c>
      <c r="J1842" s="4" t="str">
        <f>IF(OR(Копия_20206[[#This Row],[Units (in 1000)]]&gt;$R$7,Копия_20206[[#This Row],[Units (in 1000)]]&lt;$R$6),"outlier","not outlier")</f>
        <v>not outlier</v>
      </c>
      <c r="K1842" s="4" t="str">
        <f>IF(OR(Копия_20206[[#This Row],[Value (in 1000 rub)]]&gt;$S$7,Копия_20206[[#This Row],[Value (in 1000 rub)]]&lt;$S$6),"outlier","not outlier")</f>
        <v>not outlier</v>
      </c>
      <c r="L1842" s="4" t="str">
        <f>IF(OR(Копия_20206[[#This Row],[Volume (in 1000 kg)]]&gt;$T$7,Копия_20206[[#This Row],[Volume (in 1000 kg)]]&lt;$T$6),"outlier","not outlier")</f>
        <v>not outlier</v>
      </c>
      <c r="M1842" s="4" t="str">
        <f>IF(OR(Копия_20206[[#This Row],[Number of stores]]&gt;$U$7,Копия_20206[[#This Row],[Number of stores]]&lt;$U$6),"outlier","not outlier")</f>
        <v>not outlier</v>
      </c>
    </row>
    <row r="1843" spans="1:13" x14ac:dyDescent="0.25">
      <c r="A1843">
        <v>2022</v>
      </c>
      <c r="B1843">
        <v>2</v>
      </c>
      <c r="C1843" s="1" t="s">
        <v>29</v>
      </c>
      <c r="D1843" s="1" t="s">
        <v>38</v>
      </c>
      <c r="E1843" s="1" t="s">
        <v>11</v>
      </c>
      <c r="F1843" s="5">
        <v>4.8779000000000003</v>
      </c>
      <c r="G1843" s="5">
        <v>342.93716699999999</v>
      </c>
      <c r="H1843" s="5">
        <v>1.8779999999999999</v>
      </c>
      <c r="I1843">
        <v>1629</v>
      </c>
      <c r="J1843" s="4" t="str">
        <f>IF(OR(Копия_20206[[#This Row],[Units (in 1000)]]&gt;$R$7,Копия_20206[[#This Row],[Units (in 1000)]]&lt;$R$6),"outlier","not outlier")</f>
        <v>not outlier</v>
      </c>
      <c r="K1843" s="4" t="str">
        <f>IF(OR(Копия_20206[[#This Row],[Value (in 1000 rub)]]&gt;$S$7,Копия_20206[[#This Row],[Value (in 1000 rub)]]&lt;$S$6),"outlier","not outlier")</f>
        <v>not outlier</v>
      </c>
      <c r="L1843" s="4" t="str">
        <f>IF(OR(Копия_20206[[#This Row],[Volume (in 1000 kg)]]&gt;$T$7,Копия_20206[[#This Row],[Volume (in 1000 kg)]]&lt;$T$6),"outlier","not outlier")</f>
        <v>not outlier</v>
      </c>
      <c r="M1843" s="4" t="str">
        <f>IF(OR(Копия_20206[[#This Row],[Number of stores]]&gt;$U$7,Копия_20206[[#This Row],[Number of stores]]&lt;$U$6),"outlier","not outlier")</f>
        <v>not outlier</v>
      </c>
    </row>
    <row r="1844" spans="1:13" x14ac:dyDescent="0.25">
      <c r="A1844">
        <v>2022</v>
      </c>
      <c r="B1844">
        <v>2</v>
      </c>
      <c r="C1844" s="1" t="s">
        <v>29</v>
      </c>
      <c r="D1844" s="1" t="s">
        <v>38</v>
      </c>
      <c r="E1844" s="1" t="s">
        <v>12</v>
      </c>
      <c r="F1844" s="5">
        <v>0.2908</v>
      </c>
      <c r="G1844" s="5">
        <v>28.097594000000001</v>
      </c>
      <c r="H1844" s="5">
        <v>0.14249999999999999</v>
      </c>
      <c r="I1844">
        <v>145</v>
      </c>
      <c r="J1844" s="4" t="str">
        <f>IF(OR(Копия_20206[[#This Row],[Units (in 1000)]]&gt;$R$7,Копия_20206[[#This Row],[Units (in 1000)]]&lt;$R$6),"outlier","not outlier")</f>
        <v>not outlier</v>
      </c>
      <c r="K1844" s="4" t="str">
        <f>IF(OR(Копия_20206[[#This Row],[Value (in 1000 rub)]]&gt;$S$7,Копия_20206[[#This Row],[Value (in 1000 rub)]]&lt;$S$6),"outlier","not outlier")</f>
        <v>not outlier</v>
      </c>
      <c r="L1844" s="4" t="str">
        <f>IF(OR(Копия_20206[[#This Row],[Volume (in 1000 kg)]]&gt;$T$7,Копия_20206[[#This Row],[Volume (in 1000 kg)]]&lt;$T$6),"outlier","not outlier")</f>
        <v>not outlier</v>
      </c>
      <c r="M1844" s="4" t="str">
        <f>IF(OR(Копия_20206[[#This Row],[Number of stores]]&gt;$U$7,Копия_20206[[#This Row],[Number of stores]]&lt;$U$6),"outlier","not outlier")</f>
        <v>not outlier</v>
      </c>
    </row>
    <row r="1845" spans="1:13" x14ac:dyDescent="0.25">
      <c r="A1845">
        <v>2022</v>
      </c>
      <c r="B1845">
        <v>3</v>
      </c>
      <c r="C1845" s="1" t="s">
        <v>25</v>
      </c>
      <c r="D1845" s="1" t="s">
        <v>38</v>
      </c>
      <c r="E1845" s="1" t="s">
        <v>11</v>
      </c>
      <c r="F1845" s="5">
        <v>3.3083999999999998</v>
      </c>
      <c r="G1845" s="5">
        <v>227.97836000000001</v>
      </c>
      <c r="H1845" s="5">
        <v>1.2737000000000001</v>
      </c>
      <c r="I1845">
        <v>868</v>
      </c>
      <c r="J1845" s="4" t="str">
        <f>IF(OR(Копия_20206[[#This Row],[Units (in 1000)]]&gt;$R$7,Копия_20206[[#This Row],[Units (in 1000)]]&lt;$R$6),"outlier","not outlier")</f>
        <v>not outlier</v>
      </c>
      <c r="K1845" s="4" t="str">
        <f>IF(OR(Копия_20206[[#This Row],[Value (in 1000 rub)]]&gt;$S$7,Копия_20206[[#This Row],[Value (in 1000 rub)]]&lt;$S$6),"outlier","not outlier")</f>
        <v>not outlier</v>
      </c>
      <c r="L1845" s="4" t="str">
        <f>IF(OR(Копия_20206[[#This Row],[Volume (in 1000 kg)]]&gt;$T$7,Копия_20206[[#This Row],[Volume (in 1000 kg)]]&lt;$T$6),"outlier","not outlier")</f>
        <v>not outlier</v>
      </c>
      <c r="M1845" s="4" t="str">
        <f>IF(OR(Копия_20206[[#This Row],[Number of stores]]&gt;$U$7,Копия_20206[[#This Row],[Number of stores]]&lt;$U$6),"outlier","not outlier")</f>
        <v>not outlier</v>
      </c>
    </row>
    <row r="1846" spans="1:13" x14ac:dyDescent="0.25">
      <c r="A1846">
        <v>2022</v>
      </c>
      <c r="B1846">
        <v>3</v>
      </c>
      <c r="C1846" s="1" t="s">
        <v>25</v>
      </c>
      <c r="D1846" s="1" t="s">
        <v>38</v>
      </c>
      <c r="E1846" s="1" t="s">
        <v>12</v>
      </c>
      <c r="F1846" s="5">
        <v>0.1235</v>
      </c>
      <c r="G1846" s="5">
        <v>10.237458</v>
      </c>
      <c r="H1846" s="5">
        <v>6.0499999999999998E-2</v>
      </c>
      <c r="I1846">
        <v>147</v>
      </c>
      <c r="J1846" s="4" t="str">
        <f>IF(OR(Копия_20206[[#This Row],[Units (in 1000)]]&gt;$R$7,Копия_20206[[#This Row],[Units (in 1000)]]&lt;$R$6),"outlier","not outlier")</f>
        <v>not outlier</v>
      </c>
      <c r="K1846" s="4" t="str">
        <f>IF(OR(Копия_20206[[#This Row],[Value (in 1000 rub)]]&gt;$S$7,Копия_20206[[#This Row],[Value (in 1000 rub)]]&lt;$S$6),"outlier","not outlier")</f>
        <v>not outlier</v>
      </c>
      <c r="L1846" s="4" t="str">
        <f>IF(OR(Копия_20206[[#This Row],[Volume (in 1000 kg)]]&gt;$T$7,Копия_20206[[#This Row],[Volume (in 1000 kg)]]&lt;$T$6),"outlier","not outlier")</f>
        <v>not outlier</v>
      </c>
      <c r="M1846" s="4" t="str">
        <f>IF(OR(Копия_20206[[#This Row],[Number of stores]]&gt;$U$7,Копия_20206[[#This Row],[Number of stores]]&lt;$U$6),"outlier","not outlier")</f>
        <v>not outlier</v>
      </c>
    </row>
    <row r="1847" spans="1:13" x14ac:dyDescent="0.25">
      <c r="A1847">
        <v>2022</v>
      </c>
      <c r="B1847">
        <v>3</v>
      </c>
      <c r="C1847" s="1" t="s">
        <v>29</v>
      </c>
      <c r="D1847" s="1" t="s">
        <v>38</v>
      </c>
      <c r="E1847" s="1" t="s">
        <v>11</v>
      </c>
      <c r="F1847" s="5">
        <v>5.4265999999999996</v>
      </c>
      <c r="G1847" s="5">
        <v>395.15684199999998</v>
      </c>
      <c r="H1847" s="5">
        <v>2.0891999999999999</v>
      </c>
      <c r="I1847">
        <v>1692</v>
      </c>
      <c r="J1847" s="4" t="str">
        <f>IF(OR(Копия_20206[[#This Row],[Units (in 1000)]]&gt;$R$7,Копия_20206[[#This Row],[Units (in 1000)]]&lt;$R$6),"outlier","not outlier")</f>
        <v>not outlier</v>
      </c>
      <c r="K1847" s="4" t="str">
        <f>IF(OR(Копия_20206[[#This Row],[Value (in 1000 rub)]]&gt;$S$7,Копия_20206[[#This Row],[Value (in 1000 rub)]]&lt;$S$6),"outlier","not outlier")</f>
        <v>not outlier</v>
      </c>
      <c r="L1847" s="4" t="str">
        <f>IF(OR(Копия_20206[[#This Row],[Volume (in 1000 kg)]]&gt;$T$7,Копия_20206[[#This Row],[Volume (in 1000 kg)]]&lt;$T$6),"outlier","not outlier")</f>
        <v>not outlier</v>
      </c>
      <c r="M1847" s="4" t="str">
        <f>IF(OR(Копия_20206[[#This Row],[Number of stores]]&gt;$U$7,Копия_20206[[#This Row],[Number of stores]]&lt;$U$6),"outlier","not outlier")</f>
        <v>not outlier</v>
      </c>
    </row>
    <row r="1848" spans="1:13" x14ac:dyDescent="0.25">
      <c r="A1848">
        <v>2022</v>
      </c>
      <c r="B1848">
        <v>3</v>
      </c>
      <c r="C1848" s="1" t="s">
        <v>29</v>
      </c>
      <c r="D1848" s="1" t="s">
        <v>38</v>
      </c>
      <c r="E1848" s="1" t="s">
        <v>12</v>
      </c>
      <c r="F1848" s="5">
        <v>0.27129999999999999</v>
      </c>
      <c r="G1848" s="5">
        <v>25.76972</v>
      </c>
      <c r="H1848" s="5">
        <v>0.13289999999999999</v>
      </c>
      <c r="I1848">
        <v>135</v>
      </c>
      <c r="J1848" s="4" t="str">
        <f>IF(OR(Копия_20206[[#This Row],[Units (in 1000)]]&gt;$R$7,Копия_20206[[#This Row],[Units (in 1000)]]&lt;$R$6),"outlier","not outlier")</f>
        <v>not outlier</v>
      </c>
      <c r="K1848" s="4" t="str">
        <f>IF(OR(Копия_20206[[#This Row],[Value (in 1000 rub)]]&gt;$S$7,Копия_20206[[#This Row],[Value (in 1000 rub)]]&lt;$S$6),"outlier","not outlier")</f>
        <v>not outlier</v>
      </c>
      <c r="L1848" s="4" t="str">
        <f>IF(OR(Копия_20206[[#This Row],[Volume (in 1000 kg)]]&gt;$T$7,Копия_20206[[#This Row],[Volume (in 1000 kg)]]&lt;$T$6),"outlier","not outlier")</f>
        <v>not outlier</v>
      </c>
      <c r="M1848" s="4" t="str">
        <f>IF(OR(Копия_20206[[#This Row],[Number of stores]]&gt;$U$7,Копия_20206[[#This Row],[Number of stores]]&lt;$U$6),"outlier","not outlier")</f>
        <v>not outlier</v>
      </c>
    </row>
    <row r="1849" spans="1:13" x14ac:dyDescent="0.25">
      <c r="A1849">
        <v>2022</v>
      </c>
      <c r="B1849">
        <v>4</v>
      </c>
      <c r="C1849" s="1" t="s">
        <v>25</v>
      </c>
      <c r="D1849" s="1" t="s">
        <v>38</v>
      </c>
      <c r="E1849" s="1" t="s">
        <v>11</v>
      </c>
      <c r="F1849" s="5">
        <v>2.0219999999999998</v>
      </c>
      <c r="G1849" s="5">
        <v>142.50128599999999</v>
      </c>
      <c r="H1849" s="5">
        <v>0.77839999999999998</v>
      </c>
      <c r="I1849">
        <v>883</v>
      </c>
      <c r="J1849" s="4" t="str">
        <f>IF(OR(Копия_20206[[#This Row],[Units (in 1000)]]&gt;$R$7,Копия_20206[[#This Row],[Units (in 1000)]]&lt;$R$6),"outlier","not outlier")</f>
        <v>not outlier</v>
      </c>
      <c r="K1849" s="4" t="str">
        <f>IF(OR(Копия_20206[[#This Row],[Value (in 1000 rub)]]&gt;$S$7,Копия_20206[[#This Row],[Value (in 1000 rub)]]&lt;$S$6),"outlier","not outlier")</f>
        <v>not outlier</v>
      </c>
      <c r="L1849" s="4" t="str">
        <f>IF(OR(Копия_20206[[#This Row],[Volume (in 1000 kg)]]&gt;$T$7,Копия_20206[[#This Row],[Volume (in 1000 kg)]]&lt;$T$6),"outlier","not outlier")</f>
        <v>not outlier</v>
      </c>
      <c r="M1849" s="4" t="str">
        <f>IF(OR(Копия_20206[[#This Row],[Number of stores]]&gt;$U$7,Копия_20206[[#This Row],[Number of stores]]&lt;$U$6),"outlier","not outlier")</f>
        <v>not outlier</v>
      </c>
    </row>
    <row r="1850" spans="1:13" x14ac:dyDescent="0.25">
      <c r="A1850">
        <v>2022</v>
      </c>
      <c r="B1850">
        <v>4</v>
      </c>
      <c r="C1850" s="1" t="s">
        <v>25</v>
      </c>
      <c r="D1850" s="1" t="s">
        <v>38</v>
      </c>
      <c r="E1850" s="1" t="s">
        <v>12</v>
      </c>
      <c r="F1850" s="5">
        <v>1.6967000000000001</v>
      </c>
      <c r="G1850" s="5">
        <v>141.081872</v>
      </c>
      <c r="H1850" s="5">
        <v>0.83140000000000003</v>
      </c>
      <c r="I1850">
        <v>281</v>
      </c>
      <c r="J1850" s="4" t="str">
        <f>IF(OR(Копия_20206[[#This Row],[Units (in 1000)]]&gt;$R$7,Копия_20206[[#This Row],[Units (in 1000)]]&lt;$R$6),"outlier","not outlier")</f>
        <v>not outlier</v>
      </c>
      <c r="K1850" s="4" t="str">
        <f>IF(OR(Копия_20206[[#This Row],[Value (in 1000 rub)]]&gt;$S$7,Копия_20206[[#This Row],[Value (in 1000 rub)]]&lt;$S$6),"outlier","not outlier")</f>
        <v>not outlier</v>
      </c>
      <c r="L1850" s="4" t="str">
        <f>IF(OR(Копия_20206[[#This Row],[Volume (in 1000 kg)]]&gt;$T$7,Копия_20206[[#This Row],[Volume (in 1000 kg)]]&lt;$T$6),"outlier","not outlier")</f>
        <v>not outlier</v>
      </c>
      <c r="M1850" s="4" t="str">
        <f>IF(OR(Копия_20206[[#This Row],[Number of stores]]&gt;$U$7,Копия_20206[[#This Row],[Number of stores]]&lt;$U$6),"outlier","not outlier")</f>
        <v>not outlier</v>
      </c>
    </row>
    <row r="1851" spans="1:13" x14ac:dyDescent="0.25">
      <c r="A1851">
        <v>2022</v>
      </c>
      <c r="B1851">
        <v>4</v>
      </c>
      <c r="C1851" s="1" t="s">
        <v>29</v>
      </c>
      <c r="D1851" s="1" t="s">
        <v>38</v>
      </c>
      <c r="E1851" s="1" t="s">
        <v>11</v>
      </c>
      <c r="F1851" s="5">
        <v>5.2129000000000003</v>
      </c>
      <c r="G1851" s="5">
        <v>362.23720600000001</v>
      </c>
      <c r="H1851" s="5">
        <v>2.0070000000000001</v>
      </c>
      <c r="I1851">
        <v>1569</v>
      </c>
      <c r="J1851" s="4" t="str">
        <f>IF(OR(Копия_20206[[#This Row],[Units (in 1000)]]&gt;$R$7,Копия_20206[[#This Row],[Units (in 1000)]]&lt;$R$6),"outlier","not outlier")</f>
        <v>not outlier</v>
      </c>
      <c r="K1851" s="4" t="str">
        <f>IF(OR(Копия_20206[[#This Row],[Value (in 1000 rub)]]&gt;$S$7,Копия_20206[[#This Row],[Value (in 1000 rub)]]&lt;$S$6),"outlier","not outlier")</f>
        <v>not outlier</v>
      </c>
      <c r="L1851" s="4" t="str">
        <f>IF(OR(Копия_20206[[#This Row],[Volume (in 1000 kg)]]&gt;$T$7,Копия_20206[[#This Row],[Volume (in 1000 kg)]]&lt;$T$6),"outlier","not outlier")</f>
        <v>not outlier</v>
      </c>
      <c r="M1851" s="4" t="str">
        <f>IF(OR(Копия_20206[[#This Row],[Number of stores]]&gt;$U$7,Копия_20206[[#This Row],[Number of stores]]&lt;$U$6),"outlier","not outlier")</f>
        <v>not outlier</v>
      </c>
    </row>
    <row r="1852" spans="1:13" x14ac:dyDescent="0.25">
      <c r="A1852">
        <v>2022</v>
      </c>
      <c r="B1852">
        <v>4</v>
      </c>
      <c r="C1852" s="1" t="s">
        <v>29</v>
      </c>
      <c r="D1852" s="1" t="s">
        <v>38</v>
      </c>
      <c r="E1852" s="1" t="s">
        <v>12</v>
      </c>
      <c r="F1852" s="5">
        <v>0.46529999999999999</v>
      </c>
      <c r="G1852" s="5">
        <v>42.914679</v>
      </c>
      <c r="H1852" s="5">
        <v>0.22800000000000001</v>
      </c>
      <c r="I1852">
        <v>130</v>
      </c>
      <c r="J1852" s="4" t="str">
        <f>IF(OR(Копия_20206[[#This Row],[Units (in 1000)]]&gt;$R$7,Копия_20206[[#This Row],[Units (in 1000)]]&lt;$R$6),"outlier","not outlier")</f>
        <v>not outlier</v>
      </c>
      <c r="K1852" s="4" t="str">
        <f>IF(OR(Копия_20206[[#This Row],[Value (in 1000 rub)]]&gt;$S$7,Копия_20206[[#This Row],[Value (in 1000 rub)]]&lt;$S$6),"outlier","not outlier")</f>
        <v>not outlier</v>
      </c>
      <c r="L1852" s="4" t="str">
        <f>IF(OR(Копия_20206[[#This Row],[Volume (in 1000 kg)]]&gt;$T$7,Копия_20206[[#This Row],[Volume (in 1000 kg)]]&lt;$T$6),"outlier","not outlier")</f>
        <v>not outlier</v>
      </c>
      <c r="M1852" s="4" t="str">
        <f>IF(OR(Копия_20206[[#This Row],[Number of stores]]&gt;$U$7,Копия_20206[[#This Row],[Number of stores]]&lt;$U$6),"outlier","not outlier")</f>
        <v>not outlier</v>
      </c>
    </row>
    <row r="1853" spans="1:13" x14ac:dyDescent="0.25">
      <c r="A1853">
        <v>2022</v>
      </c>
      <c r="B1853">
        <v>5</v>
      </c>
      <c r="C1853" s="1" t="s">
        <v>25</v>
      </c>
      <c r="D1853" s="1" t="s">
        <v>38</v>
      </c>
      <c r="E1853" s="1" t="s">
        <v>11</v>
      </c>
      <c r="F1853" s="5">
        <v>3.0453000000000001</v>
      </c>
      <c r="G1853" s="5">
        <v>174.863686</v>
      </c>
      <c r="H1853" s="5">
        <v>1.1724000000000001</v>
      </c>
      <c r="I1853">
        <v>915</v>
      </c>
      <c r="J1853" s="4" t="str">
        <f>IF(OR(Копия_20206[[#This Row],[Units (in 1000)]]&gt;$R$7,Копия_20206[[#This Row],[Units (in 1000)]]&lt;$R$6),"outlier","not outlier")</f>
        <v>not outlier</v>
      </c>
      <c r="K1853" s="4" t="str">
        <f>IF(OR(Копия_20206[[#This Row],[Value (in 1000 rub)]]&gt;$S$7,Копия_20206[[#This Row],[Value (in 1000 rub)]]&lt;$S$6),"outlier","not outlier")</f>
        <v>not outlier</v>
      </c>
      <c r="L1853" s="4" t="str">
        <f>IF(OR(Копия_20206[[#This Row],[Volume (in 1000 kg)]]&gt;$T$7,Копия_20206[[#This Row],[Volume (in 1000 kg)]]&lt;$T$6),"outlier","not outlier")</f>
        <v>not outlier</v>
      </c>
      <c r="M1853" s="4" t="str">
        <f>IF(OR(Копия_20206[[#This Row],[Number of stores]]&gt;$U$7,Копия_20206[[#This Row],[Number of stores]]&lt;$U$6),"outlier","not outlier")</f>
        <v>not outlier</v>
      </c>
    </row>
    <row r="1854" spans="1:13" x14ac:dyDescent="0.25">
      <c r="A1854">
        <v>2022</v>
      </c>
      <c r="B1854">
        <v>5</v>
      </c>
      <c r="C1854" s="1" t="s">
        <v>25</v>
      </c>
      <c r="D1854" s="1" t="s">
        <v>38</v>
      </c>
      <c r="E1854" s="1" t="s">
        <v>12</v>
      </c>
      <c r="F1854" s="5">
        <v>0.33839999999999998</v>
      </c>
      <c r="G1854" s="5">
        <v>24.139054999999999</v>
      </c>
      <c r="H1854" s="5">
        <v>0.1658</v>
      </c>
      <c r="I1854">
        <v>144</v>
      </c>
      <c r="J1854" s="4" t="str">
        <f>IF(OR(Копия_20206[[#This Row],[Units (in 1000)]]&gt;$R$7,Копия_20206[[#This Row],[Units (in 1000)]]&lt;$R$6),"outlier","not outlier")</f>
        <v>not outlier</v>
      </c>
      <c r="K1854" s="4" t="str">
        <f>IF(OR(Копия_20206[[#This Row],[Value (in 1000 rub)]]&gt;$S$7,Копия_20206[[#This Row],[Value (in 1000 rub)]]&lt;$S$6),"outlier","not outlier")</f>
        <v>not outlier</v>
      </c>
      <c r="L1854" s="4" t="str">
        <f>IF(OR(Копия_20206[[#This Row],[Volume (in 1000 kg)]]&gt;$T$7,Копия_20206[[#This Row],[Volume (in 1000 kg)]]&lt;$T$6),"outlier","not outlier")</f>
        <v>not outlier</v>
      </c>
      <c r="M1854" s="4" t="str">
        <f>IF(OR(Копия_20206[[#This Row],[Number of stores]]&gt;$U$7,Копия_20206[[#This Row],[Number of stores]]&lt;$U$6),"outlier","not outlier")</f>
        <v>not outlier</v>
      </c>
    </row>
    <row r="1855" spans="1:13" x14ac:dyDescent="0.25">
      <c r="A1855">
        <v>2022</v>
      </c>
      <c r="B1855">
        <v>5</v>
      </c>
      <c r="C1855" s="1" t="s">
        <v>29</v>
      </c>
      <c r="D1855" s="1" t="s">
        <v>38</v>
      </c>
      <c r="E1855" s="1" t="s">
        <v>11</v>
      </c>
      <c r="F1855" s="5">
        <v>4.5991</v>
      </c>
      <c r="G1855" s="5">
        <v>302.88313099999999</v>
      </c>
      <c r="H1855" s="5">
        <v>1.7706</v>
      </c>
      <c r="I1855">
        <v>1506</v>
      </c>
      <c r="J1855" s="4" t="str">
        <f>IF(OR(Копия_20206[[#This Row],[Units (in 1000)]]&gt;$R$7,Копия_20206[[#This Row],[Units (in 1000)]]&lt;$R$6),"outlier","not outlier")</f>
        <v>not outlier</v>
      </c>
      <c r="K1855" s="4" t="str">
        <f>IF(OR(Копия_20206[[#This Row],[Value (in 1000 rub)]]&gt;$S$7,Копия_20206[[#This Row],[Value (in 1000 rub)]]&lt;$S$6),"outlier","not outlier")</f>
        <v>not outlier</v>
      </c>
      <c r="L1855" s="4" t="str">
        <f>IF(OR(Копия_20206[[#This Row],[Volume (in 1000 kg)]]&gt;$T$7,Копия_20206[[#This Row],[Volume (in 1000 kg)]]&lt;$T$6),"outlier","not outlier")</f>
        <v>not outlier</v>
      </c>
      <c r="M1855" s="4" t="str">
        <f>IF(OR(Копия_20206[[#This Row],[Number of stores]]&gt;$U$7,Копия_20206[[#This Row],[Number of stores]]&lt;$U$6),"outlier","not outlier")</f>
        <v>not outlier</v>
      </c>
    </row>
    <row r="1856" spans="1:13" x14ac:dyDescent="0.25">
      <c r="A1856">
        <v>2022</v>
      </c>
      <c r="B1856">
        <v>5</v>
      </c>
      <c r="C1856" s="1" t="s">
        <v>29</v>
      </c>
      <c r="D1856" s="1" t="s">
        <v>38</v>
      </c>
      <c r="E1856" s="1" t="s">
        <v>12</v>
      </c>
      <c r="F1856" s="5">
        <v>0.39579999999999999</v>
      </c>
      <c r="G1856" s="5">
        <v>36.618056000000003</v>
      </c>
      <c r="H1856" s="5">
        <v>0.19389999999999999</v>
      </c>
      <c r="I1856">
        <v>125</v>
      </c>
      <c r="J1856" s="4" t="str">
        <f>IF(OR(Копия_20206[[#This Row],[Units (in 1000)]]&gt;$R$7,Копия_20206[[#This Row],[Units (in 1000)]]&lt;$R$6),"outlier","not outlier")</f>
        <v>not outlier</v>
      </c>
      <c r="K1856" s="4" t="str">
        <f>IF(OR(Копия_20206[[#This Row],[Value (in 1000 rub)]]&gt;$S$7,Копия_20206[[#This Row],[Value (in 1000 rub)]]&lt;$S$6),"outlier","not outlier")</f>
        <v>not outlier</v>
      </c>
      <c r="L1856" s="4" t="str">
        <f>IF(OR(Копия_20206[[#This Row],[Volume (in 1000 kg)]]&gt;$T$7,Копия_20206[[#This Row],[Volume (in 1000 kg)]]&lt;$T$6),"outlier","not outlier")</f>
        <v>not outlier</v>
      </c>
      <c r="M1856" s="4" t="str">
        <f>IF(OR(Копия_20206[[#This Row],[Number of stores]]&gt;$U$7,Копия_20206[[#This Row],[Number of stores]]&lt;$U$6),"outlier","not outlier")</f>
        <v>not outlier</v>
      </c>
    </row>
    <row r="1857" spans="1:13" x14ac:dyDescent="0.25">
      <c r="A1857">
        <v>2022</v>
      </c>
      <c r="B1857">
        <v>6</v>
      </c>
      <c r="C1857" s="1" t="s">
        <v>25</v>
      </c>
      <c r="D1857" s="1" t="s">
        <v>38</v>
      </c>
      <c r="E1857" s="1" t="s">
        <v>11</v>
      </c>
      <c r="F1857" s="5">
        <v>2.3915999999999999</v>
      </c>
      <c r="G1857" s="5">
        <v>125.774255</v>
      </c>
      <c r="H1857" s="5">
        <v>0.92079999999999995</v>
      </c>
      <c r="I1857">
        <v>735</v>
      </c>
      <c r="J1857" s="4" t="str">
        <f>IF(OR(Копия_20206[[#This Row],[Units (in 1000)]]&gt;$R$7,Копия_20206[[#This Row],[Units (in 1000)]]&lt;$R$6),"outlier","not outlier")</f>
        <v>not outlier</v>
      </c>
      <c r="K1857" s="4" t="str">
        <f>IF(OR(Копия_20206[[#This Row],[Value (in 1000 rub)]]&gt;$S$7,Копия_20206[[#This Row],[Value (in 1000 rub)]]&lt;$S$6),"outlier","not outlier")</f>
        <v>not outlier</v>
      </c>
      <c r="L1857" s="4" t="str">
        <f>IF(OR(Копия_20206[[#This Row],[Volume (in 1000 kg)]]&gt;$T$7,Копия_20206[[#This Row],[Volume (in 1000 kg)]]&lt;$T$6),"outlier","not outlier")</f>
        <v>not outlier</v>
      </c>
      <c r="M1857" s="4" t="str">
        <f>IF(OR(Копия_20206[[#This Row],[Number of stores]]&gt;$U$7,Копия_20206[[#This Row],[Number of stores]]&lt;$U$6),"outlier","not outlier")</f>
        <v>not outlier</v>
      </c>
    </row>
    <row r="1858" spans="1:13" x14ac:dyDescent="0.25">
      <c r="A1858">
        <v>2022</v>
      </c>
      <c r="B1858">
        <v>6</v>
      </c>
      <c r="C1858" s="1" t="s">
        <v>25</v>
      </c>
      <c r="D1858" s="1" t="s">
        <v>38</v>
      </c>
      <c r="E1858" s="1" t="s">
        <v>12</v>
      </c>
      <c r="F1858" s="5">
        <v>0.3448</v>
      </c>
      <c r="G1858" s="5">
        <v>24.544915</v>
      </c>
      <c r="H1858" s="5">
        <v>0.16889999999999999</v>
      </c>
      <c r="I1858">
        <v>139</v>
      </c>
      <c r="J1858" s="4" t="str">
        <f>IF(OR(Копия_20206[[#This Row],[Units (in 1000)]]&gt;$R$7,Копия_20206[[#This Row],[Units (in 1000)]]&lt;$R$6),"outlier","not outlier")</f>
        <v>not outlier</v>
      </c>
      <c r="K1858" s="4" t="str">
        <f>IF(OR(Копия_20206[[#This Row],[Value (in 1000 rub)]]&gt;$S$7,Копия_20206[[#This Row],[Value (in 1000 rub)]]&lt;$S$6),"outlier","not outlier")</f>
        <v>not outlier</v>
      </c>
      <c r="L1858" s="4" t="str">
        <f>IF(OR(Копия_20206[[#This Row],[Volume (in 1000 kg)]]&gt;$T$7,Копия_20206[[#This Row],[Volume (in 1000 kg)]]&lt;$T$6),"outlier","not outlier")</f>
        <v>not outlier</v>
      </c>
      <c r="M1858" s="4" t="str">
        <f>IF(OR(Копия_20206[[#This Row],[Number of stores]]&gt;$U$7,Копия_20206[[#This Row],[Number of stores]]&lt;$U$6),"outlier","not outlier")</f>
        <v>not outlier</v>
      </c>
    </row>
    <row r="1859" spans="1:13" x14ac:dyDescent="0.25">
      <c r="A1859">
        <v>2022</v>
      </c>
      <c r="B1859">
        <v>6</v>
      </c>
      <c r="C1859" s="1" t="s">
        <v>29</v>
      </c>
      <c r="D1859" s="1" t="s">
        <v>38</v>
      </c>
      <c r="E1859" s="1" t="s">
        <v>11</v>
      </c>
      <c r="F1859" s="5">
        <v>6.5872999999999999</v>
      </c>
      <c r="G1859" s="5">
        <v>378.79190799999998</v>
      </c>
      <c r="H1859" s="5">
        <v>2.5360999999999998</v>
      </c>
      <c r="I1859">
        <v>1670</v>
      </c>
      <c r="J1859" s="4" t="str">
        <f>IF(OR(Копия_20206[[#This Row],[Units (in 1000)]]&gt;$R$7,Копия_20206[[#This Row],[Units (in 1000)]]&lt;$R$6),"outlier","not outlier")</f>
        <v>not outlier</v>
      </c>
      <c r="K1859" s="4" t="str">
        <f>IF(OR(Копия_20206[[#This Row],[Value (in 1000 rub)]]&gt;$S$7,Копия_20206[[#This Row],[Value (in 1000 rub)]]&lt;$S$6),"outlier","not outlier")</f>
        <v>not outlier</v>
      </c>
      <c r="L1859" s="4" t="str">
        <f>IF(OR(Копия_20206[[#This Row],[Volume (in 1000 kg)]]&gt;$T$7,Копия_20206[[#This Row],[Volume (in 1000 kg)]]&lt;$T$6),"outlier","not outlier")</f>
        <v>not outlier</v>
      </c>
      <c r="M1859" s="4" t="str">
        <f>IF(OR(Копия_20206[[#This Row],[Number of stores]]&gt;$U$7,Копия_20206[[#This Row],[Number of stores]]&lt;$U$6),"outlier","not outlier")</f>
        <v>not outlier</v>
      </c>
    </row>
    <row r="1860" spans="1:13" x14ac:dyDescent="0.25">
      <c r="A1860">
        <v>2022</v>
      </c>
      <c r="B1860">
        <v>6</v>
      </c>
      <c r="C1860" s="1" t="s">
        <v>29</v>
      </c>
      <c r="D1860" s="1" t="s">
        <v>38</v>
      </c>
      <c r="E1860" s="1" t="s">
        <v>12</v>
      </c>
      <c r="F1860" s="5">
        <v>0.3579</v>
      </c>
      <c r="G1860" s="5">
        <v>31.427351999999999</v>
      </c>
      <c r="H1860" s="5">
        <v>0.1754</v>
      </c>
      <c r="I1860">
        <v>112</v>
      </c>
      <c r="J1860" s="4" t="str">
        <f>IF(OR(Копия_20206[[#This Row],[Units (in 1000)]]&gt;$R$7,Копия_20206[[#This Row],[Units (in 1000)]]&lt;$R$6),"outlier","not outlier")</f>
        <v>not outlier</v>
      </c>
      <c r="K1860" s="4" t="str">
        <f>IF(OR(Копия_20206[[#This Row],[Value (in 1000 rub)]]&gt;$S$7,Копия_20206[[#This Row],[Value (in 1000 rub)]]&lt;$S$6),"outlier","not outlier")</f>
        <v>not outlier</v>
      </c>
      <c r="L1860" s="4" t="str">
        <f>IF(OR(Копия_20206[[#This Row],[Volume (in 1000 kg)]]&gt;$T$7,Копия_20206[[#This Row],[Volume (in 1000 kg)]]&lt;$T$6),"outlier","not outlier")</f>
        <v>not outlier</v>
      </c>
      <c r="M1860" s="4" t="str">
        <f>IF(OR(Копия_20206[[#This Row],[Number of stores]]&gt;$U$7,Копия_20206[[#This Row],[Number of stores]]&lt;$U$6),"outlier","not outlier")</f>
        <v>not outlier</v>
      </c>
    </row>
    <row r="1861" spans="1:13" x14ac:dyDescent="0.25">
      <c r="A1861">
        <v>2022</v>
      </c>
      <c r="B1861">
        <v>7</v>
      </c>
      <c r="C1861" s="1" t="s">
        <v>25</v>
      </c>
      <c r="D1861" s="1" t="s">
        <v>38</v>
      </c>
      <c r="E1861" s="1" t="s">
        <v>11</v>
      </c>
      <c r="F1861" s="5">
        <v>2.6669999999999998</v>
      </c>
      <c r="G1861" s="5">
        <v>157.55568099999999</v>
      </c>
      <c r="H1861" s="5">
        <v>1.0266999999999999</v>
      </c>
      <c r="I1861">
        <v>780</v>
      </c>
      <c r="J1861" s="4" t="str">
        <f>IF(OR(Копия_20206[[#This Row],[Units (in 1000)]]&gt;$R$7,Копия_20206[[#This Row],[Units (in 1000)]]&lt;$R$6),"outlier","not outlier")</f>
        <v>not outlier</v>
      </c>
      <c r="K1861" s="4" t="str">
        <f>IF(OR(Копия_20206[[#This Row],[Value (in 1000 rub)]]&gt;$S$7,Копия_20206[[#This Row],[Value (in 1000 rub)]]&lt;$S$6),"outlier","not outlier")</f>
        <v>not outlier</v>
      </c>
      <c r="L1861" s="4" t="str">
        <f>IF(OR(Копия_20206[[#This Row],[Volume (in 1000 kg)]]&gt;$T$7,Копия_20206[[#This Row],[Volume (in 1000 kg)]]&lt;$T$6),"outlier","not outlier")</f>
        <v>not outlier</v>
      </c>
      <c r="M1861" s="4" t="str">
        <f>IF(OR(Копия_20206[[#This Row],[Number of stores]]&gt;$U$7,Копия_20206[[#This Row],[Number of stores]]&lt;$U$6),"outlier","not outlier")</f>
        <v>not outlier</v>
      </c>
    </row>
    <row r="1862" spans="1:13" x14ac:dyDescent="0.25">
      <c r="A1862">
        <v>2022</v>
      </c>
      <c r="B1862">
        <v>7</v>
      </c>
      <c r="C1862" s="1" t="s">
        <v>25</v>
      </c>
      <c r="D1862" s="1" t="s">
        <v>38</v>
      </c>
      <c r="E1862" s="1" t="s">
        <v>12</v>
      </c>
      <c r="F1862" s="5">
        <v>0.31780000000000003</v>
      </c>
      <c r="G1862" s="5">
        <v>22.29946</v>
      </c>
      <c r="H1862" s="5">
        <v>0.15570000000000001</v>
      </c>
      <c r="I1862">
        <v>146</v>
      </c>
      <c r="J1862" s="4" t="str">
        <f>IF(OR(Копия_20206[[#This Row],[Units (in 1000)]]&gt;$R$7,Копия_20206[[#This Row],[Units (in 1000)]]&lt;$R$6),"outlier","not outlier")</f>
        <v>not outlier</v>
      </c>
      <c r="K1862" s="4" t="str">
        <f>IF(OR(Копия_20206[[#This Row],[Value (in 1000 rub)]]&gt;$S$7,Копия_20206[[#This Row],[Value (in 1000 rub)]]&lt;$S$6),"outlier","not outlier")</f>
        <v>not outlier</v>
      </c>
      <c r="L1862" s="4" t="str">
        <f>IF(OR(Копия_20206[[#This Row],[Volume (in 1000 kg)]]&gt;$T$7,Копия_20206[[#This Row],[Volume (in 1000 kg)]]&lt;$T$6),"outlier","not outlier")</f>
        <v>not outlier</v>
      </c>
      <c r="M1862" s="4" t="str">
        <f>IF(OR(Копия_20206[[#This Row],[Number of stores]]&gt;$U$7,Копия_20206[[#This Row],[Number of stores]]&lt;$U$6),"outlier","not outlier")</f>
        <v>not outlier</v>
      </c>
    </row>
    <row r="1863" spans="1:13" x14ac:dyDescent="0.25">
      <c r="A1863">
        <v>2022</v>
      </c>
      <c r="B1863">
        <v>7</v>
      </c>
      <c r="C1863" s="1" t="s">
        <v>29</v>
      </c>
      <c r="D1863" s="1" t="s">
        <v>38</v>
      </c>
      <c r="E1863" s="1" t="s">
        <v>11</v>
      </c>
      <c r="F1863" s="5">
        <v>5.7888999999999999</v>
      </c>
      <c r="G1863" s="5">
        <v>309.18247300000002</v>
      </c>
      <c r="H1863" s="5">
        <v>2.2286999999999999</v>
      </c>
      <c r="I1863">
        <v>1453</v>
      </c>
      <c r="J1863" s="4" t="str">
        <f>IF(OR(Копия_20206[[#This Row],[Units (in 1000)]]&gt;$R$7,Копия_20206[[#This Row],[Units (in 1000)]]&lt;$R$6),"outlier","not outlier")</f>
        <v>not outlier</v>
      </c>
      <c r="K1863" s="4" t="str">
        <f>IF(OR(Копия_20206[[#This Row],[Value (in 1000 rub)]]&gt;$S$7,Копия_20206[[#This Row],[Value (in 1000 rub)]]&lt;$S$6),"outlier","not outlier")</f>
        <v>not outlier</v>
      </c>
      <c r="L1863" s="4" t="str">
        <f>IF(OR(Копия_20206[[#This Row],[Volume (in 1000 kg)]]&gt;$T$7,Копия_20206[[#This Row],[Volume (in 1000 kg)]]&lt;$T$6),"outlier","not outlier")</f>
        <v>not outlier</v>
      </c>
      <c r="M1863" s="4" t="str">
        <f>IF(OR(Копия_20206[[#This Row],[Number of stores]]&gt;$U$7,Копия_20206[[#This Row],[Number of stores]]&lt;$U$6),"outlier","not outlier")</f>
        <v>not outlier</v>
      </c>
    </row>
    <row r="1864" spans="1:13" x14ac:dyDescent="0.25">
      <c r="A1864">
        <v>2022</v>
      </c>
      <c r="B1864">
        <v>7</v>
      </c>
      <c r="C1864" s="1" t="s">
        <v>29</v>
      </c>
      <c r="D1864" s="1" t="s">
        <v>38</v>
      </c>
      <c r="E1864" s="1" t="s">
        <v>12</v>
      </c>
      <c r="F1864" s="5">
        <v>0.40079999999999999</v>
      </c>
      <c r="G1864" s="5">
        <v>36.390825</v>
      </c>
      <c r="H1864" s="5">
        <v>0.19639999999999999</v>
      </c>
      <c r="I1864">
        <v>109</v>
      </c>
      <c r="J1864" s="4" t="str">
        <f>IF(OR(Копия_20206[[#This Row],[Units (in 1000)]]&gt;$R$7,Копия_20206[[#This Row],[Units (in 1000)]]&lt;$R$6),"outlier","not outlier")</f>
        <v>not outlier</v>
      </c>
      <c r="K1864" s="4" t="str">
        <f>IF(OR(Копия_20206[[#This Row],[Value (in 1000 rub)]]&gt;$S$7,Копия_20206[[#This Row],[Value (in 1000 rub)]]&lt;$S$6),"outlier","not outlier")</f>
        <v>not outlier</v>
      </c>
      <c r="L1864" s="4" t="str">
        <f>IF(OR(Копия_20206[[#This Row],[Volume (in 1000 kg)]]&gt;$T$7,Копия_20206[[#This Row],[Volume (in 1000 kg)]]&lt;$T$6),"outlier","not outlier")</f>
        <v>not outlier</v>
      </c>
      <c r="M1864" s="4" t="str">
        <f>IF(OR(Копия_20206[[#This Row],[Number of stores]]&gt;$U$7,Копия_20206[[#This Row],[Number of stores]]&lt;$U$6),"outlier","not outlier")</f>
        <v>not outlier</v>
      </c>
    </row>
    <row r="1865" spans="1:13" x14ac:dyDescent="0.25">
      <c r="A1865">
        <v>2022</v>
      </c>
      <c r="B1865">
        <v>8</v>
      </c>
      <c r="C1865" s="1" t="s">
        <v>25</v>
      </c>
      <c r="D1865" s="1" t="s">
        <v>38</v>
      </c>
      <c r="E1865" s="1" t="s">
        <v>11</v>
      </c>
      <c r="F1865" s="5">
        <v>1.1354</v>
      </c>
      <c r="G1865" s="5">
        <v>81.085424000000003</v>
      </c>
      <c r="H1865" s="5">
        <v>0.43709999999999999</v>
      </c>
      <c r="I1865">
        <v>676</v>
      </c>
      <c r="J1865" s="4" t="str">
        <f>IF(OR(Копия_20206[[#This Row],[Units (in 1000)]]&gt;$R$7,Копия_20206[[#This Row],[Units (in 1000)]]&lt;$R$6),"outlier","not outlier")</f>
        <v>not outlier</v>
      </c>
      <c r="K1865" s="4" t="str">
        <f>IF(OR(Копия_20206[[#This Row],[Value (in 1000 rub)]]&gt;$S$7,Копия_20206[[#This Row],[Value (in 1000 rub)]]&lt;$S$6),"outlier","not outlier")</f>
        <v>not outlier</v>
      </c>
      <c r="L1865" s="4" t="str">
        <f>IF(OR(Копия_20206[[#This Row],[Volume (in 1000 kg)]]&gt;$T$7,Копия_20206[[#This Row],[Volume (in 1000 kg)]]&lt;$T$6),"outlier","not outlier")</f>
        <v>not outlier</v>
      </c>
      <c r="M1865" s="4" t="str">
        <f>IF(OR(Копия_20206[[#This Row],[Number of stores]]&gt;$U$7,Копия_20206[[#This Row],[Number of stores]]&lt;$U$6),"outlier","not outlier")</f>
        <v>not outlier</v>
      </c>
    </row>
    <row r="1866" spans="1:13" x14ac:dyDescent="0.25">
      <c r="A1866">
        <v>2022</v>
      </c>
      <c r="B1866">
        <v>8</v>
      </c>
      <c r="C1866" s="1" t="s">
        <v>25</v>
      </c>
      <c r="D1866" s="1" t="s">
        <v>38</v>
      </c>
      <c r="E1866" s="1" t="s">
        <v>12</v>
      </c>
      <c r="F1866" s="5">
        <v>0.14849999999999999</v>
      </c>
      <c r="G1866" s="5">
        <v>13.757581</v>
      </c>
      <c r="H1866" s="5">
        <v>7.2700000000000001E-2</v>
      </c>
      <c r="I1866">
        <v>101</v>
      </c>
      <c r="J1866" s="4" t="str">
        <f>IF(OR(Копия_20206[[#This Row],[Units (in 1000)]]&gt;$R$7,Копия_20206[[#This Row],[Units (in 1000)]]&lt;$R$6),"outlier","not outlier")</f>
        <v>not outlier</v>
      </c>
      <c r="K1866" s="4" t="str">
        <f>IF(OR(Копия_20206[[#This Row],[Value (in 1000 rub)]]&gt;$S$7,Копия_20206[[#This Row],[Value (in 1000 rub)]]&lt;$S$6),"outlier","not outlier")</f>
        <v>not outlier</v>
      </c>
      <c r="L1866" s="4" t="str">
        <f>IF(OR(Копия_20206[[#This Row],[Volume (in 1000 kg)]]&gt;$T$7,Копия_20206[[#This Row],[Volume (in 1000 kg)]]&lt;$T$6),"outlier","not outlier")</f>
        <v>not outlier</v>
      </c>
      <c r="M1866" s="4" t="str">
        <f>IF(OR(Копия_20206[[#This Row],[Number of stores]]&gt;$U$7,Копия_20206[[#This Row],[Number of stores]]&lt;$U$6),"outlier","not outlier")</f>
        <v>not outlier</v>
      </c>
    </row>
    <row r="1867" spans="1:13" x14ac:dyDescent="0.25">
      <c r="A1867">
        <v>2022</v>
      </c>
      <c r="B1867">
        <v>8</v>
      </c>
      <c r="C1867" s="1" t="s">
        <v>29</v>
      </c>
      <c r="D1867" s="1" t="s">
        <v>38</v>
      </c>
      <c r="E1867" s="1" t="s">
        <v>11</v>
      </c>
      <c r="F1867" s="5">
        <v>3.0958999999999999</v>
      </c>
      <c r="G1867" s="5">
        <v>202.80738400000001</v>
      </c>
      <c r="H1867" s="5">
        <v>1.1919</v>
      </c>
      <c r="I1867">
        <v>1758</v>
      </c>
      <c r="J1867" s="4" t="str">
        <f>IF(OR(Копия_20206[[#This Row],[Units (in 1000)]]&gt;$R$7,Копия_20206[[#This Row],[Units (in 1000)]]&lt;$R$6),"outlier","not outlier")</f>
        <v>not outlier</v>
      </c>
      <c r="K1867" s="4" t="str">
        <f>IF(OR(Копия_20206[[#This Row],[Value (in 1000 rub)]]&gt;$S$7,Копия_20206[[#This Row],[Value (in 1000 rub)]]&lt;$S$6),"outlier","not outlier")</f>
        <v>not outlier</v>
      </c>
      <c r="L1867" s="4" t="str">
        <f>IF(OR(Копия_20206[[#This Row],[Volume (in 1000 kg)]]&gt;$T$7,Копия_20206[[#This Row],[Volume (in 1000 kg)]]&lt;$T$6),"outlier","not outlier")</f>
        <v>not outlier</v>
      </c>
      <c r="M1867" s="4" t="str">
        <f>IF(OR(Копия_20206[[#This Row],[Number of stores]]&gt;$U$7,Копия_20206[[#This Row],[Number of stores]]&lt;$U$6),"outlier","not outlier")</f>
        <v>not outlier</v>
      </c>
    </row>
    <row r="1868" spans="1:13" x14ac:dyDescent="0.25">
      <c r="A1868">
        <v>2022</v>
      </c>
      <c r="B1868">
        <v>8</v>
      </c>
      <c r="C1868" s="1" t="s">
        <v>29</v>
      </c>
      <c r="D1868" s="1" t="s">
        <v>38</v>
      </c>
      <c r="E1868" s="1" t="s">
        <v>12</v>
      </c>
      <c r="F1868" s="5">
        <v>0.36830000000000002</v>
      </c>
      <c r="G1868" s="5">
        <v>33.449024000000001</v>
      </c>
      <c r="H1868" s="5">
        <v>0.1804</v>
      </c>
      <c r="I1868">
        <v>120</v>
      </c>
      <c r="J1868" s="4" t="str">
        <f>IF(OR(Копия_20206[[#This Row],[Units (in 1000)]]&gt;$R$7,Копия_20206[[#This Row],[Units (in 1000)]]&lt;$R$6),"outlier","not outlier")</f>
        <v>not outlier</v>
      </c>
      <c r="K1868" s="4" t="str">
        <f>IF(OR(Копия_20206[[#This Row],[Value (in 1000 rub)]]&gt;$S$7,Копия_20206[[#This Row],[Value (in 1000 rub)]]&lt;$S$6),"outlier","not outlier")</f>
        <v>not outlier</v>
      </c>
      <c r="L1868" s="4" t="str">
        <f>IF(OR(Копия_20206[[#This Row],[Volume (in 1000 kg)]]&gt;$T$7,Копия_20206[[#This Row],[Volume (in 1000 kg)]]&lt;$T$6),"outlier","not outlier")</f>
        <v>not outlier</v>
      </c>
      <c r="M1868" s="4" t="str">
        <f>IF(OR(Копия_20206[[#This Row],[Number of stores]]&gt;$U$7,Копия_20206[[#This Row],[Number of stores]]&lt;$U$6),"outlier","not outlier")</f>
        <v>not outlier</v>
      </c>
    </row>
    <row r="1869" spans="1:13" x14ac:dyDescent="0.25">
      <c r="A1869">
        <v>2022</v>
      </c>
      <c r="B1869">
        <v>9</v>
      </c>
      <c r="C1869" s="1" t="s">
        <v>25</v>
      </c>
      <c r="D1869" s="1" t="s">
        <v>38</v>
      </c>
      <c r="E1869" s="1" t="s">
        <v>11</v>
      </c>
      <c r="F1869" s="5">
        <v>1.1156999999999999</v>
      </c>
      <c r="G1869" s="5">
        <v>72.697706999999994</v>
      </c>
      <c r="H1869" s="5">
        <v>0.42949999999999999</v>
      </c>
      <c r="I1869">
        <v>487</v>
      </c>
      <c r="J1869" s="4" t="str">
        <f>IF(OR(Копия_20206[[#This Row],[Units (in 1000)]]&gt;$R$7,Копия_20206[[#This Row],[Units (in 1000)]]&lt;$R$6),"outlier","not outlier")</f>
        <v>not outlier</v>
      </c>
      <c r="K1869" s="4" t="str">
        <f>IF(OR(Копия_20206[[#This Row],[Value (in 1000 rub)]]&gt;$S$7,Копия_20206[[#This Row],[Value (in 1000 rub)]]&lt;$S$6),"outlier","not outlier")</f>
        <v>not outlier</v>
      </c>
      <c r="L1869" s="4" t="str">
        <f>IF(OR(Копия_20206[[#This Row],[Volume (in 1000 kg)]]&gt;$T$7,Копия_20206[[#This Row],[Volume (in 1000 kg)]]&lt;$T$6),"outlier","not outlier")</f>
        <v>not outlier</v>
      </c>
      <c r="M1869" s="4" t="str">
        <f>IF(OR(Копия_20206[[#This Row],[Number of stores]]&gt;$U$7,Копия_20206[[#This Row],[Number of stores]]&lt;$U$6),"outlier","not outlier")</f>
        <v>not outlier</v>
      </c>
    </row>
    <row r="1870" spans="1:13" x14ac:dyDescent="0.25">
      <c r="A1870">
        <v>2022</v>
      </c>
      <c r="B1870">
        <v>9</v>
      </c>
      <c r="C1870" s="1" t="s">
        <v>25</v>
      </c>
      <c r="D1870" s="1" t="s">
        <v>38</v>
      </c>
      <c r="E1870" s="1" t="s">
        <v>12</v>
      </c>
      <c r="F1870" s="5">
        <v>0.15820000000000001</v>
      </c>
      <c r="G1870" s="5">
        <v>14.157007999999999</v>
      </c>
      <c r="H1870" s="5">
        <v>7.7499999999999999E-2</v>
      </c>
      <c r="I1870">
        <v>110</v>
      </c>
      <c r="J1870" s="4" t="str">
        <f>IF(OR(Копия_20206[[#This Row],[Units (in 1000)]]&gt;$R$7,Копия_20206[[#This Row],[Units (in 1000)]]&lt;$R$6),"outlier","not outlier")</f>
        <v>not outlier</v>
      </c>
      <c r="K1870" s="4" t="str">
        <f>IF(OR(Копия_20206[[#This Row],[Value (in 1000 rub)]]&gt;$S$7,Копия_20206[[#This Row],[Value (in 1000 rub)]]&lt;$S$6),"outlier","not outlier")</f>
        <v>not outlier</v>
      </c>
      <c r="L1870" s="4" t="str">
        <f>IF(OR(Копия_20206[[#This Row],[Volume (in 1000 kg)]]&gt;$T$7,Копия_20206[[#This Row],[Volume (in 1000 kg)]]&lt;$T$6),"outlier","not outlier")</f>
        <v>not outlier</v>
      </c>
      <c r="M1870" s="4" t="str">
        <f>IF(OR(Копия_20206[[#This Row],[Number of stores]]&gt;$U$7,Копия_20206[[#This Row],[Number of stores]]&lt;$U$6),"outlier","not outlier")</f>
        <v>not outlier</v>
      </c>
    </row>
    <row r="1871" spans="1:13" x14ac:dyDescent="0.25">
      <c r="A1871">
        <v>2022</v>
      </c>
      <c r="B1871">
        <v>9</v>
      </c>
      <c r="C1871" s="1" t="s">
        <v>29</v>
      </c>
      <c r="D1871" s="1" t="s">
        <v>38</v>
      </c>
      <c r="E1871" s="1" t="s">
        <v>11</v>
      </c>
      <c r="F1871" s="5">
        <v>6.0589000000000004</v>
      </c>
      <c r="G1871" s="5">
        <v>357.79105299999998</v>
      </c>
      <c r="H1871" s="5">
        <v>2.3325999999999998</v>
      </c>
      <c r="I1871">
        <v>1472</v>
      </c>
      <c r="J1871" s="4" t="str">
        <f>IF(OR(Копия_20206[[#This Row],[Units (in 1000)]]&gt;$R$7,Копия_20206[[#This Row],[Units (in 1000)]]&lt;$R$6),"outlier","not outlier")</f>
        <v>not outlier</v>
      </c>
      <c r="K1871" s="4" t="str">
        <f>IF(OR(Копия_20206[[#This Row],[Value (in 1000 rub)]]&gt;$S$7,Копия_20206[[#This Row],[Value (in 1000 rub)]]&lt;$S$6),"outlier","not outlier")</f>
        <v>not outlier</v>
      </c>
      <c r="L1871" s="4" t="str">
        <f>IF(OR(Копия_20206[[#This Row],[Volume (in 1000 kg)]]&gt;$T$7,Копия_20206[[#This Row],[Volume (in 1000 kg)]]&lt;$T$6),"outlier","not outlier")</f>
        <v>not outlier</v>
      </c>
      <c r="M1871" s="4" t="str">
        <f>IF(OR(Копия_20206[[#This Row],[Number of stores]]&gt;$U$7,Копия_20206[[#This Row],[Number of stores]]&lt;$U$6),"outlier","not outlier")</f>
        <v>not outlier</v>
      </c>
    </row>
    <row r="1872" spans="1:13" x14ac:dyDescent="0.25">
      <c r="A1872">
        <v>2022</v>
      </c>
      <c r="B1872">
        <v>9</v>
      </c>
      <c r="C1872" s="1" t="s">
        <v>29</v>
      </c>
      <c r="D1872" s="1" t="s">
        <v>38</v>
      </c>
      <c r="E1872" s="1" t="s">
        <v>12</v>
      </c>
      <c r="F1872" s="5">
        <v>0.16789999999999999</v>
      </c>
      <c r="G1872" s="5">
        <v>19.158144</v>
      </c>
      <c r="H1872" s="5">
        <v>8.2299999999999998E-2</v>
      </c>
      <c r="I1872">
        <v>78</v>
      </c>
      <c r="J1872" s="4" t="str">
        <f>IF(OR(Копия_20206[[#This Row],[Units (in 1000)]]&gt;$R$7,Копия_20206[[#This Row],[Units (in 1000)]]&lt;$R$6),"outlier","not outlier")</f>
        <v>not outlier</v>
      </c>
      <c r="K1872" s="4" t="str">
        <f>IF(OR(Копия_20206[[#This Row],[Value (in 1000 rub)]]&gt;$S$7,Копия_20206[[#This Row],[Value (in 1000 rub)]]&lt;$S$6),"outlier","not outlier")</f>
        <v>not outlier</v>
      </c>
      <c r="L1872" s="4" t="str">
        <f>IF(OR(Копия_20206[[#This Row],[Volume (in 1000 kg)]]&gt;$T$7,Копия_20206[[#This Row],[Volume (in 1000 kg)]]&lt;$T$6),"outlier","not outlier")</f>
        <v>not outlier</v>
      </c>
      <c r="M1872" s="4" t="str">
        <f>IF(OR(Копия_20206[[#This Row],[Number of stores]]&gt;$U$7,Копия_20206[[#This Row],[Number of stores]]&lt;$U$6),"outlier","not outlier")</f>
        <v>not outlier</v>
      </c>
    </row>
    <row r="1873" spans="1:13" x14ac:dyDescent="0.25">
      <c r="A1873">
        <v>2022</v>
      </c>
      <c r="B1873">
        <v>10</v>
      </c>
      <c r="C1873" s="1" t="s">
        <v>8</v>
      </c>
      <c r="D1873" s="1" t="s">
        <v>38</v>
      </c>
      <c r="E1873" s="1" t="s">
        <v>11</v>
      </c>
      <c r="F1873" s="5">
        <v>0.49120000000000003</v>
      </c>
      <c r="G1873" s="5">
        <v>47.016438999999998</v>
      </c>
      <c r="H1873" s="5">
        <v>0.18909999999999999</v>
      </c>
      <c r="I1873">
        <v>137</v>
      </c>
      <c r="J1873" s="4" t="str">
        <f>IF(OR(Копия_20206[[#This Row],[Units (in 1000)]]&gt;$R$7,Копия_20206[[#This Row],[Units (in 1000)]]&lt;$R$6),"outlier","not outlier")</f>
        <v>not outlier</v>
      </c>
      <c r="K1873" s="4" t="str">
        <f>IF(OR(Копия_20206[[#This Row],[Value (in 1000 rub)]]&gt;$S$7,Копия_20206[[#This Row],[Value (in 1000 rub)]]&lt;$S$6),"outlier","not outlier")</f>
        <v>not outlier</v>
      </c>
      <c r="L1873" s="4" t="str">
        <f>IF(OR(Копия_20206[[#This Row],[Volume (in 1000 kg)]]&gt;$T$7,Копия_20206[[#This Row],[Volume (in 1000 kg)]]&lt;$T$6),"outlier","not outlier")</f>
        <v>not outlier</v>
      </c>
      <c r="M1873" s="4" t="str">
        <f>IF(OR(Копия_20206[[#This Row],[Number of stores]]&gt;$U$7,Копия_20206[[#This Row],[Number of stores]]&lt;$U$6),"outlier","not outlier")</f>
        <v>not outlier</v>
      </c>
    </row>
    <row r="1874" spans="1:13" x14ac:dyDescent="0.25">
      <c r="A1874">
        <v>2022</v>
      </c>
      <c r="B1874">
        <v>10</v>
      </c>
      <c r="C1874" s="1" t="s">
        <v>25</v>
      </c>
      <c r="D1874" s="1" t="s">
        <v>38</v>
      </c>
      <c r="E1874" s="1" t="s">
        <v>11</v>
      </c>
      <c r="F1874" s="5">
        <v>0.5887</v>
      </c>
      <c r="G1874" s="5">
        <v>38.340356</v>
      </c>
      <c r="H1874" s="5">
        <v>0.2266</v>
      </c>
      <c r="I1874">
        <v>441</v>
      </c>
      <c r="J1874" s="4" t="str">
        <f>IF(OR(Копия_20206[[#This Row],[Units (in 1000)]]&gt;$R$7,Копия_20206[[#This Row],[Units (in 1000)]]&lt;$R$6),"outlier","not outlier")</f>
        <v>not outlier</v>
      </c>
      <c r="K1874" s="4" t="str">
        <f>IF(OR(Копия_20206[[#This Row],[Value (in 1000 rub)]]&gt;$S$7,Копия_20206[[#This Row],[Value (in 1000 rub)]]&lt;$S$6),"outlier","not outlier")</f>
        <v>not outlier</v>
      </c>
      <c r="L1874" s="4" t="str">
        <f>IF(OR(Копия_20206[[#This Row],[Volume (in 1000 kg)]]&gt;$T$7,Копия_20206[[#This Row],[Volume (in 1000 kg)]]&lt;$T$6),"outlier","not outlier")</f>
        <v>not outlier</v>
      </c>
      <c r="M1874" s="4" t="str">
        <f>IF(OR(Копия_20206[[#This Row],[Number of stores]]&gt;$U$7,Копия_20206[[#This Row],[Number of stores]]&lt;$U$6),"outlier","not outlier")</f>
        <v>not outlier</v>
      </c>
    </row>
    <row r="1875" spans="1:13" x14ac:dyDescent="0.25">
      <c r="A1875">
        <v>2022</v>
      </c>
      <c r="B1875">
        <v>10</v>
      </c>
      <c r="C1875" s="1" t="s">
        <v>25</v>
      </c>
      <c r="D1875" s="1" t="s">
        <v>38</v>
      </c>
      <c r="E1875" s="1" t="s">
        <v>12</v>
      </c>
      <c r="F1875" s="5">
        <v>0.1517</v>
      </c>
      <c r="G1875" s="5">
        <v>13.152670000000001</v>
      </c>
      <c r="H1875" s="5">
        <v>7.4300000000000005E-2</v>
      </c>
      <c r="I1875">
        <v>103</v>
      </c>
      <c r="J1875" s="4" t="str">
        <f>IF(OR(Копия_20206[[#This Row],[Units (in 1000)]]&gt;$R$7,Копия_20206[[#This Row],[Units (in 1000)]]&lt;$R$6),"outlier","not outlier")</f>
        <v>not outlier</v>
      </c>
      <c r="K1875" s="4" t="str">
        <f>IF(OR(Копия_20206[[#This Row],[Value (in 1000 rub)]]&gt;$S$7,Копия_20206[[#This Row],[Value (in 1000 rub)]]&lt;$S$6),"outlier","not outlier")</f>
        <v>not outlier</v>
      </c>
      <c r="L1875" s="4" t="str">
        <f>IF(OR(Копия_20206[[#This Row],[Volume (in 1000 kg)]]&gt;$T$7,Копия_20206[[#This Row],[Volume (in 1000 kg)]]&lt;$T$6),"outlier","not outlier")</f>
        <v>not outlier</v>
      </c>
      <c r="M1875" s="4" t="str">
        <f>IF(OR(Копия_20206[[#This Row],[Number of stores]]&gt;$U$7,Копия_20206[[#This Row],[Number of stores]]&lt;$U$6),"outlier","not outlier")</f>
        <v>not outlier</v>
      </c>
    </row>
    <row r="1876" spans="1:13" x14ac:dyDescent="0.25">
      <c r="A1876">
        <v>2022</v>
      </c>
      <c r="B1876">
        <v>10</v>
      </c>
      <c r="C1876" s="1" t="s">
        <v>29</v>
      </c>
      <c r="D1876" s="1" t="s">
        <v>38</v>
      </c>
      <c r="E1876" s="1" t="s">
        <v>11</v>
      </c>
      <c r="F1876" s="5">
        <v>4.2663000000000002</v>
      </c>
      <c r="G1876" s="5">
        <v>271.08267499999999</v>
      </c>
      <c r="H1876" s="5">
        <v>1.6425000000000001</v>
      </c>
      <c r="I1876">
        <v>1321</v>
      </c>
      <c r="J1876" s="4" t="str">
        <f>IF(OR(Копия_20206[[#This Row],[Units (in 1000)]]&gt;$R$7,Копия_20206[[#This Row],[Units (in 1000)]]&lt;$R$6),"outlier","not outlier")</f>
        <v>not outlier</v>
      </c>
      <c r="K1876" s="4" t="str">
        <f>IF(OR(Копия_20206[[#This Row],[Value (in 1000 rub)]]&gt;$S$7,Копия_20206[[#This Row],[Value (in 1000 rub)]]&lt;$S$6),"outlier","not outlier")</f>
        <v>not outlier</v>
      </c>
      <c r="L1876" s="4" t="str">
        <f>IF(OR(Копия_20206[[#This Row],[Volume (in 1000 kg)]]&gt;$T$7,Копия_20206[[#This Row],[Volume (in 1000 kg)]]&lt;$T$6),"outlier","not outlier")</f>
        <v>not outlier</v>
      </c>
      <c r="M1876" s="4" t="str">
        <f>IF(OR(Копия_20206[[#This Row],[Number of stores]]&gt;$U$7,Копия_20206[[#This Row],[Number of stores]]&lt;$U$6),"outlier","not outlier")</f>
        <v>not outlier</v>
      </c>
    </row>
    <row r="1877" spans="1:13" x14ac:dyDescent="0.25">
      <c r="A1877">
        <v>2022</v>
      </c>
      <c r="B1877">
        <v>10</v>
      </c>
      <c r="C1877" s="1" t="s">
        <v>29</v>
      </c>
      <c r="D1877" s="1" t="s">
        <v>38</v>
      </c>
      <c r="E1877" s="1" t="s">
        <v>12</v>
      </c>
      <c r="F1877" s="5">
        <v>0.1046</v>
      </c>
      <c r="G1877" s="5">
        <v>13.200875</v>
      </c>
      <c r="H1877" s="5">
        <v>5.1299999999999998E-2</v>
      </c>
      <c r="I1877">
        <v>69</v>
      </c>
      <c r="J1877" s="4" t="str">
        <f>IF(OR(Копия_20206[[#This Row],[Units (in 1000)]]&gt;$R$7,Копия_20206[[#This Row],[Units (in 1000)]]&lt;$R$6),"outlier","not outlier")</f>
        <v>not outlier</v>
      </c>
      <c r="K1877" s="4" t="str">
        <f>IF(OR(Копия_20206[[#This Row],[Value (in 1000 rub)]]&gt;$S$7,Копия_20206[[#This Row],[Value (in 1000 rub)]]&lt;$S$6),"outlier","not outlier")</f>
        <v>not outlier</v>
      </c>
      <c r="L1877" s="4" t="str">
        <f>IF(OR(Копия_20206[[#This Row],[Volume (in 1000 kg)]]&gt;$T$7,Копия_20206[[#This Row],[Volume (in 1000 kg)]]&lt;$T$6),"outlier","not outlier")</f>
        <v>not outlier</v>
      </c>
      <c r="M1877" s="4" t="str">
        <f>IF(OR(Копия_20206[[#This Row],[Number of stores]]&gt;$U$7,Копия_20206[[#This Row],[Number of stores]]&lt;$U$6),"outlier","not outlier")</f>
        <v>not outlier</v>
      </c>
    </row>
    <row r="1878" spans="1:13" x14ac:dyDescent="0.25">
      <c r="A1878">
        <v>2022</v>
      </c>
      <c r="B1878">
        <v>11</v>
      </c>
      <c r="C1878" s="1" t="s">
        <v>8</v>
      </c>
      <c r="D1878" s="1" t="s">
        <v>38</v>
      </c>
      <c r="E1878" s="1" t="s">
        <v>11</v>
      </c>
      <c r="F1878" s="5">
        <v>0.53910000000000002</v>
      </c>
      <c r="G1878" s="5">
        <v>49.349483999999997</v>
      </c>
      <c r="H1878" s="5">
        <v>0.20749999999999999</v>
      </c>
      <c r="I1878">
        <v>139</v>
      </c>
      <c r="J1878" s="4" t="str">
        <f>IF(OR(Копия_20206[[#This Row],[Units (in 1000)]]&gt;$R$7,Копия_20206[[#This Row],[Units (in 1000)]]&lt;$R$6),"outlier","not outlier")</f>
        <v>not outlier</v>
      </c>
      <c r="K1878" s="4" t="str">
        <f>IF(OR(Копия_20206[[#This Row],[Value (in 1000 rub)]]&gt;$S$7,Копия_20206[[#This Row],[Value (in 1000 rub)]]&lt;$S$6),"outlier","not outlier")</f>
        <v>not outlier</v>
      </c>
      <c r="L1878" s="4" t="str">
        <f>IF(OR(Копия_20206[[#This Row],[Volume (in 1000 kg)]]&gt;$T$7,Копия_20206[[#This Row],[Volume (in 1000 kg)]]&lt;$T$6),"outlier","not outlier")</f>
        <v>not outlier</v>
      </c>
      <c r="M1878" s="4" t="str">
        <f>IF(OR(Копия_20206[[#This Row],[Number of stores]]&gt;$U$7,Копия_20206[[#This Row],[Number of stores]]&lt;$U$6),"outlier","not outlier")</f>
        <v>not outlier</v>
      </c>
    </row>
    <row r="1879" spans="1:13" x14ac:dyDescent="0.25">
      <c r="A1879">
        <v>2022</v>
      </c>
      <c r="B1879">
        <v>11</v>
      </c>
      <c r="C1879" s="1" t="s">
        <v>29</v>
      </c>
      <c r="D1879" s="1" t="s">
        <v>38</v>
      </c>
      <c r="E1879" s="1" t="s">
        <v>11</v>
      </c>
      <c r="F1879" s="5">
        <v>2.2503000000000002</v>
      </c>
      <c r="G1879" s="5">
        <v>177.459237</v>
      </c>
      <c r="H1879" s="5">
        <v>0.86639999999999995</v>
      </c>
      <c r="I1879">
        <v>1080</v>
      </c>
      <c r="J1879" s="4" t="str">
        <f>IF(OR(Копия_20206[[#This Row],[Units (in 1000)]]&gt;$R$7,Копия_20206[[#This Row],[Units (in 1000)]]&lt;$R$6),"outlier","not outlier")</f>
        <v>not outlier</v>
      </c>
      <c r="K1879" s="4" t="str">
        <f>IF(OR(Копия_20206[[#This Row],[Value (in 1000 rub)]]&gt;$S$7,Копия_20206[[#This Row],[Value (in 1000 rub)]]&lt;$S$6),"outlier","not outlier")</f>
        <v>not outlier</v>
      </c>
      <c r="L1879" s="4" t="str">
        <f>IF(OR(Копия_20206[[#This Row],[Volume (in 1000 kg)]]&gt;$T$7,Копия_20206[[#This Row],[Volume (in 1000 kg)]]&lt;$T$6),"outlier","not outlier")</f>
        <v>not outlier</v>
      </c>
      <c r="M1879" s="4" t="str">
        <f>IF(OR(Копия_20206[[#This Row],[Number of stores]]&gt;$U$7,Копия_20206[[#This Row],[Number of stores]]&lt;$U$6),"outlier","not outlier")</f>
        <v>not outlier</v>
      </c>
    </row>
    <row r="1880" spans="1:13" x14ac:dyDescent="0.25">
      <c r="A1880">
        <v>2022</v>
      </c>
      <c r="B1880">
        <v>11</v>
      </c>
      <c r="C1880" s="1" t="s">
        <v>29</v>
      </c>
      <c r="D1880" s="1" t="s">
        <v>38</v>
      </c>
      <c r="E1880" s="1" t="s">
        <v>12</v>
      </c>
      <c r="F1880" s="5">
        <v>0.1152</v>
      </c>
      <c r="G1880" s="5">
        <v>16.475532999999999</v>
      </c>
      <c r="H1880" s="5">
        <v>5.6399999999999999E-2</v>
      </c>
      <c r="I1880">
        <v>74</v>
      </c>
      <c r="J1880" s="4" t="str">
        <f>IF(OR(Копия_20206[[#This Row],[Units (in 1000)]]&gt;$R$7,Копия_20206[[#This Row],[Units (in 1000)]]&lt;$R$6),"outlier","not outlier")</f>
        <v>not outlier</v>
      </c>
      <c r="K1880" s="4" t="str">
        <f>IF(OR(Копия_20206[[#This Row],[Value (in 1000 rub)]]&gt;$S$7,Копия_20206[[#This Row],[Value (in 1000 rub)]]&lt;$S$6),"outlier","not outlier")</f>
        <v>not outlier</v>
      </c>
      <c r="L1880" s="4" t="str">
        <f>IF(OR(Копия_20206[[#This Row],[Volume (in 1000 kg)]]&gt;$T$7,Копия_20206[[#This Row],[Volume (in 1000 kg)]]&lt;$T$6),"outlier","not outlier")</f>
        <v>not outlier</v>
      </c>
      <c r="M1880" s="4" t="str">
        <f>IF(OR(Копия_20206[[#This Row],[Number of stores]]&gt;$U$7,Копия_20206[[#This Row],[Number of stores]]&lt;$U$6),"outlier","not outlier")</f>
        <v>not outlier</v>
      </c>
    </row>
    <row r="1881" spans="1:13" x14ac:dyDescent="0.25">
      <c r="A1881">
        <v>2022</v>
      </c>
      <c r="B1881">
        <v>12</v>
      </c>
      <c r="C1881" s="1" t="s">
        <v>8</v>
      </c>
      <c r="D1881" s="1" t="s">
        <v>38</v>
      </c>
      <c r="E1881" s="1" t="s">
        <v>11</v>
      </c>
      <c r="F1881" s="5">
        <v>0.40260000000000001</v>
      </c>
      <c r="G1881" s="5">
        <v>44.385877999999998</v>
      </c>
      <c r="H1881" s="5">
        <v>0.155</v>
      </c>
      <c r="I1881">
        <v>131</v>
      </c>
      <c r="J1881" s="4" t="str">
        <f>IF(OR(Копия_20206[[#This Row],[Units (in 1000)]]&gt;$R$7,Копия_20206[[#This Row],[Units (in 1000)]]&lt;$R$6),"outlier","not outlier")</f>
        <v>not outlier</v>
      </c>
      <c r="K1881" s="4" t="str">
        <f>IF(OR(Копия_20206[[#This Row],[Value (in 1000 rub)]]&gt;$S$7,Копия_20206[[#This Row],[Value (in 1000 rub)]]&lt;$S$6),"outlier","not outlier")</f>
        <v>not outlier</v>
      </c>
      <c r="L1881" s="4" t="str">
        <f>IF(OR(Копия_20206[[#This Row],[Volume (in 1000 kg)]]&gt;$T$7,Копия_20206[[#This Row],[Volume (in 1000 kg)]]&lt;$T$6),"outlier","not outlier")</f>
        <v>not outlier</v>
      </c>
      <c r="M1881" s="4" t="str">
        <f>IF(OR(Копия_20206[[#This Row],[Number of stores]]&gt;$U$7,Копия_20206[[#This Row],[Number of stores]]&lt;$U$6),"outlier","not outlier")</f>
        <v>not outlier</v>
      </c>
    </row>
    <row r="1882" spans="1:13" x14ac:dyDescent="0.25">
      <c r="A1882">
        <v>2022</v>
      </c>
      <c r="B1882">
        <v>1</v>
      </c>
      <c r="C1882" s="1" t="s">
        <v>25</v>
      </c>
      <c r="D1882" s="1" t="s">
        <v>44</v>
      </c>
      <c r="E1882" s="1" t="s">
        <v>11</v>
      </c>
      <c r="F1882" s="5">
        <v>4.4477000000000002</v>
      </c>
      <c r="G1882" s="5">
        <v>193.181003</v>
      </c>
      <c r="H1882" s="5">
        <v>1.5567</v>
      </c>
      <c r="I1882">
        <v>435</v>
      </c>
      <c r="J1882" s="4" t="str">
        <f>IF(OR(Копия_20206[[#This Row],[Units (in 1000)]]&gt;$R$7,Копия_20206[[#This Row],[Units (in 1000)]]&lt;$R$6),"outlier","not outlier")</f>
        <v>not outlier</v>
      </c>
      <c r="K1882" s="4" t="str">
        <f>IF(OR(Копия_20206[[#This Row],[Value (in 1000 rub)]]&gt;$S$7,Копия_20206[[#This Row],[Value (in 1000 rub)]]&lt;$S$6),"outlier","not outlier")</f>
        <v>not outlier</v>
      </c>
      <c r="L1882" s="4" t="str">
        <f>IF(OR(Копия_20206[[#This Row],[Volume (in 1000 kg)]]&gt;$T$7,Копия_20206[[#This Row],[Volume (in 1000 kg)]]&lt;$T$6),"outlier","not outlier")</f>
        <v>not outlier</v>
      </c>
      <c r="M1882" s="4" t="str">
        <f>IF(OR(Копия_20206[[#This Row],[Number of stores]]&gt;$U$7,Копия_20206[[#This Row],[Number of stores]]&lt;$U$6),"outlier","not outlier")</f>
        <v>not outlier</v>
      </c>
    </row>
    <row r="1883" spans="1:13" x14ac:dyDescent="0.25">
      <c r="A1883">
        <v>2022</v>
      </c>
      <c r="B1883">
        <v>2</v>
      </c>
      <c r="C1883" s="1" t="s">
        <v>25</v>
      </c>
      <c r="D1883" s="1" t="s">
        <v>44</v>
      </c>
      <c r="E1883" s="1" t="s">
        <v>11</v>
      </c>
      <c r="F1883" s="5">
        <v>2.2345000000000002</v>
      </c>
      <c r="G1883" s="5">
        <v>106.804421</v>
      </c>
      <c r="H1883" s="5">
        <v>0.78210000000000002</v>
      </c>
      <c r="I1883">
        <v>463</v>
      </c>
      <c r="J1883" s="4" t="str">
        <f>IF(OR(Копия_20206[[#This Row],[Units (in 1000)]]&gt;$R$7,Копия_20206[[#This Row],[Units (in 1000)]]&lt;$R$6),"outlier","not outlier")</f>
        <v>not outlier</v>
      </c>
      <c r="K1883" s="4" t="str">
        <f>IF(OR(Копия_20206[[#This Row],[Value (in 1000 rub)]]&gt;$S$7,Копия_20206[[#This Row],[Value (in 1000 rub)]]&lt;$S$6),"outlier","not outlier")</f>
        <v>not outlier</v>
      </c>
      <c r="L1883" s="4" t="str">
        <f>IF(OR(Копия_20206[[#This Row],[Volume (in 1000 kg)]]&gt;$T$7,Копия_20206[[#This Row],[Volume (in 1000 kg)]]&lt;$T$6),"outlier","not outlier")</f>
        <v>not outlier</v>
      </c>
      <c r="M1883" s="4" t="str">
        <f>IF(OR(Копия_20206[[#This Row],[Number of stores]]&gt;$U$7,Копия_20206[[#This Row],[Number of stores]]&lt;$U$6),"outlier","not outlier")</f>
        <v>not outlier</v>
      </c>
    </row>
    <row r="1884" spans="1:13" x14ac:dyDescent="0.25">
      <c r="A1884">
        <v>2022</v>
      </c>
      <c r="B1884">
        <v>3</v>
      </c>
      <c r="C1884" s="1" t="s">
        <v>25</v>
      </c>
      <c r="D1884" s="1" t="s">
        <v>44</v>
      </c>
      <c r="E1884" s="1" t="s">
        <v>11</v>
      </c>
      <c r="F1884" s="5">
        <v>2.1042999999999998</v>
      </c>
      <c r="G1884" s="5">
        <v>110.584264</v>
      </c>
      <c r="H1884" s="5">
        <v>0.73650000000000004</v>
      </c>
      <c r="I1884">
        <v>454</v>
      </c>
      <c r="J1884" s="4" t="str">
        <f>IF(OR(Копия_20206[[#This Row],[Units (in 1000)]]&gt;$R$7,Копия_20206[[#This Row],[Units (in 1000)]]&lt;$R$6),"outlier","not outlier")</f>
        <v>not outlier</v>
      </c>
      <c r="K1884" s="4" t="str">
        <f>IF(OR(Копия_20206[[#This Row],[Value (in 1000 rub)]]&gt;$S$7,Копия_20206[[#This Row],[Value (in 1000 rub)]]&lt;$S$6),"outlier","not outlier")</f>
        <v>not outlier</v>
      </c>
      <c r="L1884" s="4" t="str">
        <f>IF(OR(Копия_20206[[#This Row],[Volume (in 1000 kg)]]&gt;$T$7,Копия_20206[[#This Row],[Volume (in 1000 kg)]]&lt;$T$6),"outlier","not outlier")</f>
        <v>not outlier</v>
      </c>
      <c r="M1884" s="4" t="str">
        <f>IF(OR(Копия_20206[[#This Row],[Number of stores]]&gt;$U$7,Копия_20206[[#This Row],[Number of stores]]&lt;$U$6),"outlier","not outlier")</f>
        <v>not outlier</v>
      </c>
    </row>
    <row r="1885" spans="1:13" x14ac:dyDescent="0.25">
      <c r="A1885">
        <v>2022</v>
      </c>
      <c r="B1885">
        <v>5</v>
      </c>
      <c r="C1885" s="1" t="s">
        <v>25</v>
      </c>
      <c r="D1885" s="1" t="s">
        <v>44</v>
      </c>
      <c r="E1885" s="1" t="s">
        <v>11</v>
      </c>
      <c r="F1885" s="5">
        <v>1.5551999999999999</v>
      </c>
      <c r="G1885" s="5">
        <v>76.888582</v>
      </c>
      <c r="H1885" s="5">
        <v>0.5444</v>
      </c>
      <c r="I1885">
        <v>336</v>
      </c>
      <c r="J1885" s="4" t="str">
        <f>IF(OR(Копия_20206[[#This Row],[Units (in 1000)]]&gt;$R$7,Копия_20206[[#This Row],[Units (in 1000)]]&lt;$R$6),"outlier","not outlier")</f>
        <v>not outlier</v>
      </c>
      <c r="K1885" s="4" t="str">
        <f>IF(OR(Копия_20206[[#This Row],[Value (in 1000 rub)]]&gt;$S$7,Копия_20206[[#This Row],[Value (in 1000 rub)]]&lt;$S$6),"outlier","not outlier")</f>
        <v>not outlier</v>
      </c>
      <c r="L1885" s="4" t="str">
        <f>IF(OR(Копия_20206[[#This Row],[Volume (in 1000 kg)]]&gt;$T$7,Копия_20206[[#This Row],[Volume (in 1000 kg)]]&lt;$T$6),"outlier","not outlier")</f>
        <v>not outlier</v>
      </c>
      <c r="M1885" s="4" t="str">
        <f>IF(OR(Копия_20206[[#This Row],[Number of stores]]&gt;$U$7,Копия_20206[[#This Row],[Number of stores]]&lt;$U$6),"outlier","not outlier")</f>
        <v>not outlier</v>
      </c>
    </row>
    <row r="1886" spans="1:13" x14ac:dyDescent="0.25">
      <c r="A1886">
        <v>2022</v>
      </c>
      <c r="B1886">
        <v>10</v>
      </c>
      <c r="C1886" s="1" t="s">
        <v>25</v>
      </c>
      <c r="D1886" s="1" t="s">
        <v>44</v>
      </c>
      <c r="E1886" s="1" t="s">
        <v>11</v>
      </c>
      <c r="F1886" s="5">
        <v>1.3273999999999999</v>
      </c>
      <c r="G1886" s="5">
        <v>51.798101000000003</v>
      </c>
      <c r="H1886" s="5">
        <v>0.46460000000000001</v>
      </c>
      <c r="I1886">
        <v>435</v>
      </c>
      <c r="J1886" s="4" t="str">
        <f>IF(OR(Копия_20206[[#This Row],[Units (in 1000)]]&gt;$R$7,Копия_20206[[#This Row],[Units (in 1000)]]&lt;$R$6),"outlier","not outlier")</f>
        <v>not outlier</v>
      </c>
      <c r="K1886" s="4" t="str">
        <f>IF(OR(Копия_20206[[#This Row],[Value (in 1000 rub)]]&gt;$S$7,Копия_20206[[#This Row],[Value (in 1000 rub)]]&lt;$S$6),"outlier","not outlier")</f>
        <v>not outlier</v>
      </c>
      <c r="L1886" s="4" t="str">
        <f>IF(OR(Копия_20206[[#This Row],[Volume (in 1000 kg)]]&gt;$T$7,Копия_20206[[#This Row],[Volume (in 1000 kg)]]&lt;$T$6),"outlier","not outlier")</f>
        <v>not outlier</v>
      </c>
      <c r="M1886" s="4" t="str">
        <f>IF(OR(Копия_20206[[#This Row],[Number of stores]]&gt;$U$7,Копия_20206[[#This Row],[Number of stores]]&lt;$U$6),"outlier","not outlier")</f>
        <v>not outlier</v>
      </c>
    </row>
    <row r="1887" spans="1:13" x14ac:dyDescent="0.25">
      <c r="A1887">
        <v>2022</v>
      </c>
      <c r="B1887">
        <v>11</v>
      </c>
      <c r="C1887" s="1" t="s">
        <v>25</v>
      </c>
      <c r="D1887" s="1" t="s">
        <v>44</v>
      </c>
      <c r="E1887" s="1" t="s">
        <v>11</v>
      </c>
      <c r="F1887" s="5">
        <v>1.5963000000000001</v>
      </c>
      <c r="G1887" s="5">
        <v>91.942843999999994</v>
      </c>
      <c r="H1887" s="5">
        <v>0.55869999999999997</v>
      </c>
      <c r="I1887">
        <v>782</v>
      </c>
      <c r="J1887" s="4" t="str">
        <f>IF(OR(Копия_20206[[#This Row],[Units (in 1000)]]&gt;$R$7,Копия_20206[[#This Row],[Units (in 1000)]]&lt;$R$6),"outlier","not outlier")</f>
        <v>not outlier</v>
      </c>
      <c r="K1887" s="4" t="str">
        <f>IF(OR(Копия_20206[[#This Row],[Value (in 1000 rub)]]&gt;$S$7,Копия_20206[[#This Row],[Value (in 1000 rub)]]&lt;$S$6),"outlier","not outlier")</f>
        <v>not outlier</v>
      </c>
      <c r="L1887" s="4" t="str">
        <f>IF(OR(Копия_20206[[#This Row],[Volume (in 1000 kg)]]&gt;$T$7,Копия_20206[[#This Row],[Volume (in 1000 kg)]]&lt;$T$6),"outlier","not outlier")</f>
        <v>not outlier</v>
      </c>
      <c r="M1887" s="4" t="str">
        <f>IF(OR(Копия_20206[[#This Row],[Number of stores]]&gt;$U$7,Копия_20206[[#This Row],[Number of stores]]&lt;$U$6),"outlier","not outlier")</f>
        <v>not outlier</v>
      </c>
    </row>
    <row r="1888" spans="1:13" x14ac:dyDescent="0.25">
      <c r="A1888">
        <v>2022</v>
      </c>
      <c r="B1888">
        <v>12</v>
      </c>
      <c r="C1888" s="1" t="s">
        <v>25</v>
      </c>
      <c r="D1888" s="1" t="s">
        <v>44</v>
      </c>
      <c r="E1888" s="1" t="s">
        <v>11</v>
      </c>
      <c r="F1888" s="5">
        <v>4.9301000000000004</v>
      </c>
      <c r="G1888" s="5">
        <v>253.99308199999999</v>
      </c>
      <c r="H1888" s="5">
        <v>1.7255</v>
      </c>
      <c r="I1888">
        <v>686</v>
      </c>
      <c r="J1888" s="4" t="str">
        <f>IF(OR(Копия_20206[[#This Row],[Units (in 1000)]]&gt;$R$7,Копия_20206[[#This Row],[Units (in 1000)]]&lt;$R$6),"outlier","not outlier")</f>
        <v>not outlier</v>
      </c>
      <c r="K1888" s="4" t="str">
        <f>IF(OR(Копия_20206[[#This Row],[Value (in 1000 rub)]]&gt;$S$7,Копия_20206[[#This Row],[Value (in 1000 rub)]]&lt;$S$6),"outlier","not outlier")</f>
        <v>not outlier</v>
      </c>
      <c r="L1888" s="4" t="str">
        <f>IF(OR(Копия_20206[[#This Row],[Volume (in 1000 kg)]]&gt;$T$7,Копия_20206[[#This Row],[Volume (in 1000 kg)]]&lt;$T$6),"outlier","not outlier")</f>
        <v>not outlier</v>
      </c>
      <c r="M1888" s="4" t="str">
        <f>IF(OR(Копия_20206[[#This Row],[Number of stores]]&gt;$U$7,Копия_20206[[#This Row],[Number of stores]]&lt;$U$6),"outlier","not outlier")</f>
        <v>not outlier</v>
      </c>
    </row>
    <row r="1889" spans="1:13" x14ac:dyDescent="0.25">
      <c r="A1889">
        <v>2022</v>
      </c>
      <c r="B1889">
        <v>12</v>
      </c>
      <c r="C1889" s="1" t="s">
        <v>29</v>
      </c>
      <c r="D1889" s="1" t="s">
        <v>44</v>
      </c>
      <c r="E1889" s="1" t="s">
        <v>11</v>
      </c>
      <c r="F1889" s="5">
        <v>7.3404999999999996</v>
      </c>
      <c r="G1889" s="5">
        <v>308.90372200000002</v>
      </c>
      <c r="H1889" s="5">
        <v>2.5691999999999999</v>
      </c>
      <c r="I1889">
        <v>840</v>
      </c>
      <c r="J1889" s="4" t="str">
        <f>IF(OR(Копия_20206[[#This Row],[Units (in 1000)]]&gt;$R$7,Копия_20206[[#This Row],[Units (in 1000)]]&lt;$R$6),"outlier","not outlier")</f>
        <v>not outlier</v>
      </c>
      <c r="K1889" s="4" t="str">
        <f>IF(OR(Копия_20206[[#This Row],[Value (in 1000 rub)]]&gt;$S$7,Копия_20206[[#This Row],[Value (in 1000 rub)]]&lt;$S$6),"outlier","not outlier")</f>
        <v>not outlier</v>
      </c>
      <c r="L1889" s="4" t="str">
        <f>IF(OR(Копия_20206[[#This Row],[Volume (in 1000 kg)]]&gt;$T$7,Копия_20206[[#This Row],[Volume (in 1000 kg)]]&lt;$T$6),"outlier","not outlier")</f>
        <v>not outlier</v>
      </c>
      <c r="M1889" s="4" t="str">
        <f>IF(OR(Копия_20206[[#This Row],[Number of stores]]&gt;$U$7,Копия_20206[[#This Row],[Number of stores]]&lt;$U$6),"outlier","not outlier")</f>
        <v>not outlier</v>
      </c>
    </row>
    <row r="1890" spans="1:13" x14ac:dyDescent="0.25">
      <c r="A1890">
        <v>2022</v>
      </c>
      <c r="B1890">
        <v>1</v>
      </c>
      <c r="C1890" s="1" t="s">
        <v>29</v>
      </c>
      <c r="D1890" s="1" t="s">
        <v>28</v>
      </c>
      <c r="E1890" s="1" t="s">
        <v>18</v>
      </c>
      <c r="F1890" s="5">
        <v>0.2676</v>
      </c>
      <c r="G1890" s="5">
        <v>46.087755999999999</v>
      </c>
      <c r="H1890" s="5">
        <v>4.8099999999999997E-2</v>
      </c>
      <c r="I1890">
        <v>0</v>
      </c>
      <c r="J1890" s="4" t="str">
        <f>IF(OR(Копия_20206[[#This Row],[Units (in 1000)]]&gt;$R$7,Копия_20206[[#This Row],[Units (in 1000)]]&lt;$R$6),"outlier","not outlier")</f>
        <v>not outlier</v>
      </c>
      <c r="K1890" s="4" t="str">
        <f>IF(OR(Копия_20206[[#This Row],[Value (in 1000 rub)]]&gt;$S$7,Копия_20206[[#This Row],[Value (in 1000 rub)]]&lt;$S$6),"outlier","not outlier")</f>
        <v>not outlier</v>
      </c>
      <c r="L1890" s="4" t="str">
        <f>IF(OR(Копия_20206[[#This Row],[Volume (in 1000 kg)]]&gt;$T$7,Копия_20206[[#This Row],[Volume (in 1000 kg)]]&lt;$T$6),"outlier","not outlier")</f>
        <v>not outlier</v>
      </c>
      <c r="M1890" s="4" t="str">
        <f>IF(OR(Копия_20206[[#This Row],[Number of stores]]&gt;$U$7,Копия_20206[[#This Row],[Number of stores]]&lt;$U$6),"outlier","not outlier")</f>
        <v>not outlier</v>
      </c>
    </row>
    <row r="1891" spans="1:13" x14ac:dyDescent="0.25">
      <c r="A1891">
        <v>2022</v>
      </c>
      <c r="B1891">
        <v>1</v>
      </c>
      <c r="C1891" s="1" t="s">
        <v>29</v>
      </c>
      <c r="D1891" s="1" t="s">
        <v>28</v>
      </c>
      <c r="E1891" s="1" t="s">
        <v>11</v>
      </c>
      <c r="F1891" s="5">
        <v>0.59650000000000003</v>
      </c>
      <c r="G1891" s="5">
        <v>145.86605399999999</v>
      </c>
      <c r="H1891" s="5">
        <v>0.2087</v>
      </c>
      <c r="I1891">
        <v>0</v>
      </c>
      <c r="J1891" s="4" t="str">
        <f>IF(OR(Копия_20206[[#This Row],[Units (in 1000)]]&gt;$R$7,Копия_20206[[#This Row],[Units (in 1000)]]&lt;$R$6),"outlier","not outlier")</f>
        <v>not outlier</v>
      </c>
      <c r="K1891" s="4" t="str">
        <f>IF(OR(Копия_20206[[#This Row],[Value (in 1000 rub)]]&gt;$S$7,Копия_20206[[#This Row],[Value (in 1000 rub)]]&lt;$S$6),"outlier","not outlier")</f>
        <v>not outlier</v>
      </c>
      <c r="L1891" s="4" t="str">
        <f>IF(OR(Копия_20206[[#This Row],[Volume (in 1000 kg)]]&gt;$T$7,Копия_20206[[#This Row],[Volume (in 1000 kg)]]&lt;$T$6),"outlier","not outlier")</f>
        <v>not outlier</v>
      </c>
      <c r="M1891" s="4" t="str">
        <f>IF(OR(Копия_20206[[#This Row],[Number of stores]]&gt;$U$7,Копия_20206[[#This Row],[Number of stores]]&lt;$U$6),"outlier","not outlier")</f>
        <v>not outlier</v>
      </c>
    </row>
    <row r="1892" spans="1:13" x14ac:dyDescent="0.25">
      <c r="A1892">
        <v>2022</v>
      </c>
      <c r="B1892">
        <v>8</v>
      </c>
      <c r="C1892" s="1" t="s">
        <v>29</v>
      </c>
      <c r="D1892" s="1" t="s">
        <v>28</v>
      </c>
      <c r="E1892" s="1" t="s">
        <v>18</v>
      </c>
      <c r="F1892" s="5">
        <v>0.32879999999999998</v>
      </c>
      <c r="G1892" s="5">
        <v>83.087602000000004</v>
      </c>
      <c r="H1892" s="5">
        <v>5.9200000000000003E-2</v>
      </c>
      <c r="I1892">
        <v>0</v>
      </c>
      <c r="J1892" s="4" t="str">
        <f>IF(OR(Копия_20206[[#This Row],[Units (in 1000)]]&gt;$R$7,Копия_20206[[#This Row],[Units (in 1000)]]&lt;$R$6),"outlier","not outlier")</f>
        <v>not outlier</v>
      </c>
      <c r="K1892" s="4" t="str">
        <f>IF(OR(Копия_20206[[#This Row],[Value (in 1000 rub)]]&gt;$S$7,Копия_20206[[#This Row],[Value (in 1000 rub)]]&lt;$S$6),"outlier","not outlier")</f>
        <v>not outlier</v>
      </c>
      <c r="L1892" s="4" t="str">
        <f>IF(OR(Копия_20206[[#This Row],[Volume (in 1000 kg)]]&gt;$T$7,Копия_20206[[#This Row],[Volume (in 1000 kg)]]&lt;$T$6),"outlier","not outlier")</f>
        <v>not outlier</v>
      </c>
      <c r="M1892" s="4" t="str">
        <f>IF(OR(Копия_20206[[#This Row],[Number of stores]]&gt;$U$7,Копия_20206[[#This Row],[Number of stores]]&lt;$U$6),"outlier","not outlier")</f>
        <v>not outlier</v>
      </c>
    </row>
    <row r="1893" spans="1:13" x14ac:dyDescent="0.25">
      <c r="A1893">
        <v>2022</v>
      </c>
      <c r="B1893">
        <v>8</v>
      </c>
      <c r="C1893" s="1" t="s">
        <v>29</v>
      </c>
      <c r="D1893" s="1" t="s">
        <v>28</v>
      </c>
      <c r="E1893" s="1" t="s">
        <v>11</v>
      </c>
      <c r="F1893" s="5">
        <v>0.3392</v>
      </c>
      <c r="G1893" s="5">
        <v>98.935481999999993</v>
      </c>
      <c r="H1893" s="5">
        <v>0.1187</v>
      </c>
      <c r="I1893">
        <v>0</v>
      </c>
      <c r="J1893" s="4" t="str">
        <f>IF(OR(Копия_20206[[#This Row],[Units (in 1000)]]&gt;$R$7,Копия_20206[[#This Row],[Units (in 1000)]]&lt;$R$6),"outlier","not outlier")</f>
        <v>not outlier</v>
      </c>
      <c r="K1893" s="4" t="str">
        <f>IF(OR(Копия_20206[[#This Row],[Value (in 1000 rub)]]&gt;$S$7,Копия_20206[[#This Row],[Value (in 1000 rub)]]&lt;$S$6),"outlier","not outlier")</f>
        <v>not outlier</v>
      </c>
      <c r="L1893" s="4" t="str">
        <f>IF(OR(Копия_20206[[#This Row],[Volume (in 1000 kg)]]&gt;$T$7,Копия_20206[[#This Row],[Volume (in 1000 kg)]]&lt;$T$6),"outlier","not outlier")</f>
        <v>not outlier</v>
      </c>
      <c r="M1893" s="4" t="str">
        <f>IF(OR(Копия_20206[[#This Row],[Number of stores]]&gt;$U$7,Копия_20206[[#This Row],[Number of stores]]&lt;$U$6),"outlier","not outlier")</f>
        <v>not outlier</v>
      </c>
    </row>
    <row r="1894" spans="1:13" x14ac:dyDescent="0.25">
      <c r="A1894">
        <v>2022</v>
      </c>
      <c r="B1894">
        <v>9</v>
      </c>
      <c r="C1894" s="1" t="s">
        <v>29</v>
      </c>
      <c r="D1894" s="1" t="s">
        <v>28</v>
      </c>
      <c r="E1894" s="1" t="s">
        <v>18</v>
      </c>
      <c r="F1894" s="5">
        <v>0.2399</v>
      </c>
      <c r="G1894" s="5">
        <v>62.670107999999999</v>
      </c>
      <c r="H1894" s="5">
        <v>4.3200000000000002E-2</v>
      </c>
      <c r="I1894">
        <v>0</v>
      </c>
      <c r="J1894" s="4" t="str">
        <f>IF(OR(Копия_20206[[#This Row],[Units (in 1000)]]&gt;$R$7,Копия_20206[[#This Row],[Units (in 1000)]]&lt;$R$6),"outlier","not outlier")</f>
        <v>not outlier</v>
      </c>
      <c r="K1894" s="4" t="str">
        <f>IF(OR(Копия_20206[[#This Row],[Value (in 1000 rub)]]&gt;$S$7,Копия_20206[[#This Row],[Value (in 1000 rub)]]&lt;$S$6),"outlier","not outlier")</f>
        <v>not outlier</v>
      </c>
      <c r="L1894" s="4" t="str">
        <f>IF(OR(Копия_20206[[#This Row],[Volume (in 1000 kg)]]&gt;$T$7,Копия_20206[[#This Row],[Volume (in 1000 kg)]]&lt;$T$6),"outlier","not outlier")</f>
        <v>not outlier</v>
      </c>
      <c r="M1894" s="4" t="str">
        <f>IF(OR(Копия_20206[[#This Row],[Number of stores]]&gt;$U$7,Копия_20206[[#This Row],[Number of stores]]&lt;$U$6),"outlier","not outlier")</f>
        <v>not outlier</v>
      </c>
    </row>
    <row r="1895" spans="1:13" x14ac:dyDescent="0.25">
      <c r="A1895">
        <v>2022</v>
      </c>
      <c r="B1895">
        <v>9</v>
      </c>
      <c r="C1895" s="1" t="s">
        <v>29</v>
      </c>
      <c r="D1895" s="1" t="s">
        <v>28</v>
      </c>
      <c r="E1895" s="1" t="s">
        <v>11</v>
      </c>
      <c r="F1895" s="5">
        <v>0.44269999999999998</v>
      </c>
      <c r="G1895" s="5">
        <v>128.904763</v>
      </c>
      <c r="H1895" s="5">
        <v>0.155</v>
      </c>
      <c r="I1895">
        <v>0</v>
      </c>
      <c r="J1895" s="4" t="str">
        <f>IF(OR(Копия_20206[[#This Row],[Units (in 1000)]]&gt;$R$7,Копия_20206[[#This Row],[Units (in 1000)]]&lt;$R$6),"outlier","not outlier")</f>
        <v>not outlier</v>
      </c>
      <c r="K1895" s="4" t="str">
        <f>IF(OR(Копия_20206[[#This Row],[Value (in 1000 rub)]]&gt;$S$7,Копия_20206[[#This Row],[Value (in 1000 rub)]]&lt;$S$6),"outlier","not outlier")</f>
        <v>not outlier</v>
      </c>
      <c r="L1895" s="4" t="str">
        <f>IF(OR(Копия_20206[[#This Row],[Volume (in 1000 kg)]]&gt;$T$7,Копия_20206[[#This Row],[Volume (in 1000 kg)]]&lt;$T$6),"outlier","not outlier")</f>
        <v>not outlier</v>
      </c>
      <c r="M1895" s="4" t="str">
        <f>IF(OR(Копия_20206[[#This Row],[Number of stores]]&gt;$U$7,Копия_20206[[#This Row],[Number of stores]]&lt;$U$6),"outlier","not outlier")</f>
        <v>not outlier</v>
      </c>
    </row>
    <row r="1896" spans="1:13" x14ac:dyDescent="0.25">
      <c r="A1896">
        <v>2022</v>
      </c>
      <c r="B1896">
        <v>10</v>
      </c>
      <c r="C1896" s="1" t="s">
        <v>29</v>
      </c>
      <c r="D1896" s="1" t="s">
        <v>28</v>
      </c>
      <c r="E1896" s="1" t="s">
        <v>18</v>
      </c>
      <c r="F1896" s="5">
        <v>0.21579999999999999</v>
      </c>
      <c r="G1896" s="5">
        <v>60.715271999999999</v>
      </c>
      <c r="H1896" s="5">
        <v>3.8899999999999997E-2</v>
      </c>
      <c r="I1896">
        <v>0</v>
      </c>
      <c r="J1896" s="4" t="str">
        <f>IF(OR(Копия_20206[[#This Row],[Units (in 1000)]]&gt;$R$7,Копия_20206[[#This Row],[Units (in 1000)]]&lt;$R$6),"outlier","not outlier")</f>
        <v>not outlier</v>
      </c>
      <c r="K1896" s="4" t="str">
        <f>IF(OR(Копия_20206[[#This Row],[Value (in 1000 rub)]]&gt;$S$7,Копия_20206[[#This Row],[Value (in 1000 rub)]]&lt;$S$6),"outlier","not outlier")</f>
        <v>not outlier</v>
      </c>
      <c r="L1896" s="4" t="str">
        <f>IF(OR(Копия_20206[[#This Row],[Volume (in 1000 kg)]]&gt;$T$7,Копия_20206[[#This Row],[Volume (in 1000 kg)]]&lt;$T$6),"outlier","not outlier")</f>
        <v>not outlier</v>
      </c>
      <c r="M1896" s="4" t="str">
        <f>IF(OR(Копия_20206[[#This Row],[Number of stores]]&gt;$U$7,Копия_20206[[#This Row],[Number of stores]]&lt;$U$6),"outlier","not outlier")</f>
        <v>not outlier</v>
      </c>
    </row>
    <row r="1897" spans="1:13" x14ac:dyDescent="0.25">
      <c r="A1897">
        <v>2022</v>
      </c>
      <c r="B1897">
        <v>10</v>
      </c>
      <c r="C1897" s="1" t="s">
        <v>29</v>
      </c>
      <c r="D1897" s="1" t="s">
        <v>28</v>
      </c>
      <c r="E1897" s="1" t="s">
        <v>11</v>
      </c>
      <c r="F1897" s="5">
        <v>0.49220000000000003</v>
      </c>
      <c r="G1897" s="5">
        <v>143.892056</v>
      </c>
      <c r="H1897" s="5">
        <v>0.17219999999999999</v>
      </c>
      <c r="I1897">
        <v>0</v>
      </c>
      <c r="J1897" s="4" t="str">
        <f>IF(OR(Копия_20206[[#This Row],[Units (in 1000)]]&gt;$R$7,Копия_20206[[#This Row],[Units (in 1000)]]&lt;$R$6),"outlier","not outlier")</f>
        <v>not outlier</v>
      </c>
      <c r="K1897" s="4" t="str">
        <f>IF(OR(Копия_20206[[#This Row],[Value (in 1000 rub)]]&gt;$S$7,Копия_20206[[#This Row],[Value (in 1000 rub)]]&lt;$S$6),"outlier","not outlier")</f>
        <v>not outlier</v>
      </c>
      <c r="L1897" s="4" t="str">
        <f>IF(OR(Копия_20206[[#This Row],[Volume (in 1000 kg)]]&gt;$T$7,Копия_20206[[#This Row],[Volume (in 1000 kg)]]&lt;$T$6),"outlier","not outlier")</f>
        <v>not outlier</v>
      </c>
      <c r="M1897" s="4" t="str">
        <f>IF(OR(Копия_20206[[#This Row],[Number of stores]]&gt;$U$7,Копия_20206[[#This Row],[Number of stores]]&lt;$U$6),"outlier","not outlier")</f>
        <v>not outlier</v>
      </c>
    </row>
    <row r="1898" spans="1:13" x14ac:dyDescent="0.25">
      <c r="A1898">
        <v>2022</v>
      </c>
      <c r="B1898">
        <v>11</v>
      </c>
      <c r="C1898" s="1" t="s">
        <v>29</v>
      </c>
      <c r="D1898" s="1" t="s">
        <v>28</v>
      </c>
      <c r="E1898" s="1" t="s">
        <v>18</v>
      </c>
      <c r="F1898" s="5">
        <v>0.2316</v>
      </c>
      <c r="G1898" s="5">
        <v>68.187832999999998</v>
      </c>
      <c r="H1898" s="5">
        <v>4.1599999999999998E-2</v>
      </c>
      <c r="I1898">
        <v>0</v>
      </c>
      <c r="J1898" s="4" t="str">
        <f>IF(OR(Копия_20206[[#This Row],[Units (in 1000)]]&gt;$R$7,Копия_20206[[#This Row],[Units (in 1000)]]&lt;$R$6),"outlier","not outlier")</f>
        <v>not outlier</v>
      </c>
      <c r="K1898" s="4" t="str">
        <f>IF(OR(Копия_20206[[#This Row],[Value (in 1000 rub)]]&gt;$S$7,Копия_20206[[#This Row],[Value (in 1000 rub)]]&lt;$S$6),"outlier","not outlier")</f>
        <v>not outlier</v>
      </c>
      <c r="L1898" s="4" t="str">
        <f>IF(OR(Копия_20206[[#This Row],[Volume (in 1000 kg)]]&gt;$T$7,Копия_20206[[#This Row],[Volume (in 1000 kg)]]&lt;$T$6),"outlier","not outlier")</f>
        <v>not outlier</v>
      </c>
      <c r="M1898" s="4" t="str">
        <f>IF(OR(Копия_20206[[#This Row],[Number of stores]]&gt;$U$7,Копия_20206[[#This Row],[Number of stores]]&lt;$U$6),"outlier","not outlier")</f>
        <v>not outlier</v>
      </c>
    </row>
    <row r="1899" spans="1:13" x14ac:dyDescent="0.25">
      <c r="A1899">
        <v>2022</v>
      </c>
      <c r="B1899">
        <v>11</v>
      </c>
      <c r="C1899" s="1" t="s">
        <v>29</v>
      </c>
      <c r="D1899" s="1" t="s">
        <v>28</v>
      </c>
      <c r="E1899" s="1" t="s">
        <v>11</v>
      </c>
      <c r="F1899" s="5">
        <v>0.49890000000000001</v>
      </c>
      <c r="G1899" s="5">
        <v>148.325346</v>
      </c>
      <c r="H1899" s="5">
        <v>0.17460000000000001</v>
      </c>
      <c r="I1899">
        <v>0</v>
      </c>
      <c r="J1899" s="4" t="str">
        <f>IF(OR(Копия_20206[[#This Row],[Units (in 1000)]]&gt;$R$7,Копия_20206[[#This Row],[Units (in 1000)]]&lt;$R$6),"outlier","not outlier")</f>
        <v>not outlier</v>
      </c>
      <c r="K1899" s="4" t="str">
        <f>IF(OR(Копия_20206[[#This Row],[Value (in 1000 rub)]]&gt;$S$7,Копия_20206[[#This Row],[Value (in 1000 rub)]]&lt;$S$6),"outlier","not outlier")</f>
        <v>not outlier</v>
      </c>
      <c r="L1899" s="4" t="str">
        <f>IF(OR(Копия_20206[[#This Row],[Volume (in 1000 kg)]]&gt;$T$7,Копия_20206[[#This Row],[Volume (in 1000 kg)]]&lt;$T$6),"outlier","not outlier")</f>
        <v>not outlier</v>
      </c>
      <c r="M1899" s="4" t="str">
        <f>IF(OR(Копия_20206[[#This Row],[Number of stores]]&gt;$U$7,Копия_20206[[#This Row],[Number of stores]]&lt;$U$6),"outlier","not outlier")</f>
        <v>not outlier</v>
      </c>
    </row>
    <row r="1900" spans="1:13" x14ac:dyDescent="0.25">
      <c r="A1900">
        <v>2022</v>
      </c>
      <c r="B1900">
        <v>12</v>
      </c>
      <c r="C1900" s="1" t="s">
        <v>29</v>
      </c>
      <c r="D1900" s="1" t="s">
        <v>28</v>
      </c>
      <c r="E1900" s="1" t="s">
        <v>18</v>
      </c>
      <c r="F1900" s="5">
        <v>0.2321</v>
      </c>
      <c r="G1900" s="5">
        <v>71.738721999999996</v>
      </c>
      <c r="H1900" s="5">
        <v>4.1799999999999997E-2</v>
      </c>
      <c r="I1900">
        <v>0</v>
      </c>
      <c r="J1900" s="4" t="str">
        <f>IF(OR(Копия_20206[[#This Row],[Units (in 1000)]]&gt;$R$7,Копия_20206[[#This Row],[Units (in 1000)]]&lt;$R$6),"outlier","not outlier")</f>
        <v>not outlier</v>
      </c>
      <c r="K1900" s="4" t="str">
        <f>IF(OR(Копия_20206[[#This Row],[Value (in 1000 rub)]]&gt;$S$7,Копия_20206[[#This Row],[Value (in 1000 rub)]]&lt;$S$6),"outlier","not outlier")</f>
        <v>not outlier</v>
      </c>
      <c r="L1900" s="4" t="str">
        <f>IF(OR(Копия_20206[[#This Row],[Volume (in 1000 kg)]]&gt;$T$7,Копия_20206[[#This Row],[Volume (in 1000 kg)]]&lt;$T$6),"outlier","not outlier")</f>
        <v>not outlier</v>
      </c>
      <c r="M1900" s="4" t="str">
        <f>IF(OR(Копия_20206[[#This Row],[Number of stores]]&gt;$U$7,Копия_20206[[#This Row],[Number of stores]]&lt;$U$6),"outlier","not outlier")</f>
        <v>not outlier</v>
      </c>
    </row>
    <row r="1901" spans="1:13" x14ac:dyDescent="0.25">
      <c r="A1901">
        <v>2022</v>
      </c>
      <c r="B1901">
        <v>12</v>
      </c>
      <c r="C1901" s="1" t="s">
        <v>29</v>
      </c>
      <c r="D1901" s="1" t="s">
        <v>28</v>
      </c>
      <c r="E1901" s="1" t="s">
        <v>11</v>
      </c>
      <c r="F1901" s="5">
        <v>0.41549999999999998</v>
      </c>
      <c r="G1901" s="5">
        <v>138.91658200000001</v>
      </c>
      <c r="H1901" s="5">
        <v>0.1454</v>
      </c>
      <c r="I1901">
        <v>0</v>
      </c>
      <c r="J1901" s="4" t="str">
        <f>IF(OR(Копия_20206[[#This Row],[Units (in 1000)]]&gt;$R$7,Копия_20206[[#This Row],[Units (in 1000)]]&lt;$R$6),"outlier","not outlier")</f>
        <v>not outlier</v>
      </c>
      <c r="K1901" s="4" t="str">
        <f>IF(OR(Копия_20206[[#This Row],[Value (in 1000 rub)]]&gt;$S$7,Копия_20206[[#This Row],[Value (in 1000 rub)]]&lt;$S$6),"outlier","not outlier")</f>
        <v>not outlier</v>
      </c>
      <c r="L1901" s="4" t="str">
        <f>IF(OR(Копия_20206[[#This Row],[Volume (in 1000 kg)]]&gt;$T$7,Копия_20206[[#This Row],[Volume (in 1000 kg)]]&lt;$T$6),"outlier","not outlier")</f>
        <v>not outlier</v>
      </c>
      <c r="M1901" s="4" t="str">
        <f>IF(OR(Копия_20206[[#This Row],[Number of stores]]&gt;$U$7,Копия_20206[[#This Row],[Number of stores]]&lt;$U$6),"outlier","not outlier")</f>
        <v>not outlier</v>
      </c>
    </row>
    <row r="1902" spans="1:13" x14ac:dyDescent="0.25">
      <c r="A1902">
        <v>2022</v>
      </c>
      <c r="B1902">
        <v>1</v>
      </c>
      <c r="C1902" s="1" t="s">
        <v>8</v>
      </c>
      <c r="D1902" s="1" t="s">
        <v>17</v>
      </c>
      <c r="E1902" s="1" t="s">
        <v>18</v>
      </c>
      <c r="F1902" s="5">
        <v>2.8628999999999998</v>
      </c>
      <c r="G1902" s="5">
        <v>307.94699200000002</v>
      </c>
      <c r="H1902" s="5">
        <v>0.51529999999999998</v>
      </c>
      <c r="I1902">
        <v>210</v>
      </c>
      <c r="J1902" s="4" t="str">
        <f>IF(OR(Копия_20206[[#This Row],[Units (in 1000)]]&gt;$R$7,Копия_20206[[#This Row],[Units (in 1000)]]&lt;$R$6),"outlier","not outlier")</f>
        <v>not outlier</v>
      </c>
      <c r="K1902" s="4" t="str">
        <f>IF(OR(Копия_20206[[#This Row],[Value (in 1000 rub)]]&gt;$S$7,Копия_20206[[#This Row],[Value (in 1000 rub)]]&lt;$S$6),"outlier","not outlier")</f>
        <v>not outlier</v>
      </c>
      <c r="L1902" s="4" t="str">
        <f>IF(OR(Копия_20206[[#This Row],[Volume (in 1000 kg)]]&gt;$T$7,Копия_20206[[#This Row],[Volume (in 1000 kg)]]&lt;$T$6),"outlier","not outlier")</f>
        <v>not outlier</v>
      </c>
      <c r="M1902" s="4" t="str">
        <f>IF(OR(Копия_20206[[#This Row],[Number of stores]]&gt;$U$7,Копия_20206[[#This Row],[Number of stores]]&lt;$U$6),"outlier","not outlier")</f>
        <v>not outlier</v>
      </c>
    </row>
    <row r="1903" spans="1:13" x14ac:dyDescent="0.25">
      <c r="A1903">
        <v>2022</v>
      </c>
      <c r="B1903">
        <v>1</v>
      </c>
      <c r="C1903" s="1" t="s">
        <v>25</v>
      </c>
      <c r="D1903" s="1" t="s">
        <v>17</v>
      </c>
      <c r="E1903" s="1" t="s">
        <v>18</v>
      </c>
      <c r="F1903" s="5">
        <v>8.1161999999999992</v>
      </c>
      <c r="G1903" s="5">
        <v>700.44224199999996</v>
      </c>
      <c r="H1903" s="5">
        <v>1.4609000000000001</v>
      </c>
      <c r="I1903">
        <v>2897</v>
      </c>
      <c r="J1903" s="4" t="str">
        <f>IF(OR(Копия_20206[[#This Row],[Units (in 1000)]]&gt;$R$7,Копия_20206[[#This Row],[Units (in 1000)]]&lt;$R$6),"outlier","not outlier")</f>
        <v>not outlier</v>
      </c>
      <c r="K1903" s="4" t="str">
        <f>IF(OR(Копия_20206[[#This Row],[Value (in 1000 rub)]]&gt;$S$7,Копия_20206[[#This Row],[Value (in 1000 rub)]]&lt;$S$6),"outlier","not outlier")</f>
        <v>not outlier</v>
      </c>
      <c r="L1903" s="4" t="str">
        <f>IF(OR(Копия_20206[[#This Row],[Volume (in 1000 kg)]]&gt;$T$7,Копия_20206[[#This Row],[Volume (in 1000 kg)]]&lt;$T$6),"outlier","not outlier")</f>
        <v>not outlier</v>
      </c>
      <c r="M1903" s="4" t="str">
        <f>IF(OR(Копия_20206[[#This Row],[Number of stores]]&gt;$U$7,Копия_20206[[#This Row],[Number of stores]]&lt;$U$6),"outlier","not outlier")</f>
        <v>outlier</v>
      </c>
    </row>
    <row r="1904" spans="1:13" x14ac:dyDescent="0.25">
      <c r="A1904">
        <v>2022</v>
      </c>
      <c r="B1904">
        <v>1</v>
      </c>
      <c r="C1904" s="1" t="s">
        <v>29</v>
      </c>
      <c r="D1904" s="1" t="s">
        <v>17</v>
      </c>
      <c r="E1904" s="1" t="s">
        <v>18</v>
      </c>
      <c r="F1904" s="5">
        <v>14.6676</v>
      </c>
      <c r="G1904" s="5">
        <v>1288.4679839999999</v>
      </c>
      <c r="H1904" s="5">
        <v>2.6402000000000001</v>
      </c>
      <c r="I1904">
        <v>4284</v>
      </c>
      <c r="J1904" s="4" t="str">
        <f>IF(OR(Копия_20206[[#This Row],[Units (in 1000)]]&gt;$R$7,Копия_20206[[#This Row],[Units (in 1000)]]&lt;$R$6),"outlier","not outlier")</f>
        <v>not outlier</v>
      </c>
      <c r="K1904" s="4" t="str">
        <f>IF(OR(Копия_20206[[#This Row],[Value (in 1000 rub)]]&gt;$S$7,Копия_20206[[#This Row],[Value (in 1000 rub)]]&lt;$S$6),"outlier","not outlier")</f>
        <v>not outlier</v>
      </c>
      <c r="L1904" s="4" t="str">
        <f>IF(OR(Копия_20206[[#This Row],[Volume (in 1000 kg)]]&gt;$T$7,Копия_20206[[#This Row],[Volume (in 1000 kg)]]&lt;$T$6),"outlier","not outlier")</f>
        <v>not outlier</v>
      </c>
      <c r="M1904" s="4" t="str">
        <f>IF(OR(Копия_20206[[#This Row],[Number of stores]]&gt;$U$7,Копия_20206[[#This Row],[Number of stores]]&lt;$U$6),"outlier","not outlier")</f>
        <v>outlier</v>
      </c>
    </row>
    <row r="1905" spans="1:13" x14ac:dyDescent="0.25">
      <c r="A1905">
        <v>2022</v>
      </c>
      <c r="B1905">
        <v>2</v>
      </c>
      <c r="C1905" s="1" t="s">
        <v>8</v>
      </c>
      <c r="D1905" s="1" t="s">
        <v>17</v>
      </c>
      <c r="E1905" s="1" t="s">
        <v>18</v>
      </c>
      <c r="F1905" s="5">
        <v>2.5137999999999998</v>
      </c>
      <c r="G1905" s="5">
        <v>284.824342</v>
      </c>
      <c r="H1905" s="5">
        <v>0.45250000000000001</v>
      </c>
      <c r="I1905">
        <v>202</v>
      </c>
      <c r="J1905" s="4" t="str">
        <f>IF(OR(Копия_20206[[#This Row],[Units (in 1000)]]&gt;$R$7,Копия_20206[[#This Row],[Units (in 1000)]]&lt;$R$6),"outlier","not outlier")</f>
        <v>not outlier</v>
      </c>
      <c r="K1905" s="4" t="str">
        <f>IF(OR(Копия_20206[[#This Row],[Value (in 1000 rub)]]&gt;$S$7,Копия_20206[[#This Row],[Value (in 1000 rub)]]&lt;$S$6),"outlier","not outlier")</f>
        <v>not outlier</v>
      </c>
      <c r="L1905" s="4" t="str">
        <f>IF(OR(Копия_20206[[#This Row],[Volume (in 1000 kg)]]&gt;$T$7,Копия_20206[[#This Row],[Volume (in 1000 kg)]]&lt;$T$6),"outlier","not outlier")</f>
        <v>not outlier</v>
      </c>
      <c r="M1905" s="4" t="str">
        <f>IF(OR(Копия_20206[[#This Row],[Number of stores]]&gt;$U$7,Копия_20206[[#This Row],[Number of stores]]&lt;$U$6),"outlier","not outlier")</f>
        <v>not outlier</v>
      </c>
    </row>
    <row r="1906" spans="1:13" x14ac:dyDescent="0.25">
      <c r="A1906">
        <v>2022</v>
      </c>
      <c r="B1906">
        <v>2</v>
      </c>
      <c r="C1906" s="1" t="s">
        <v>25</v>
      </c>
      <c r="D1906" s="1" t="s">
        <v>17</v>
      </c>
      <c r="E1906" s="1" t="s">
        <v>18</v>
      </c>
      <c r="F1906" s="5">
        <v>5.7038000000000002</v>
      </c>
      <c r="G1906" s="5">
        <v>515.43810399999995</v>
      </c>
      <c r="H1906" s="5">
        <v>1.0266999999999999</v>
      </c>
      <c r="I1906">
        <v>2437</v>
      </c>
      <c r="J1906" s="4" t="str">
        <f>IF(OR(Копия_20206[[#This Row],[Units (in 1000)]]&gt;$R$7,Копия_20206[[#This Row],[Units (in 1000)]]&lt;$R$6),"outlier","not outlier")</f>
        <v>not outlier</v>
      </c>
      <c r="K1906" s="4" t="str">
        <f>IF(OR(Копия_20206[[#This Row],[Value (in 1000 rub)]]&gt;$S$7,Копия_20206[[#This Row],[Value (in 1000 rub)]]&lt;$S$6),"outlier","not outlier")</f>
        <v>not outlier</v>
      </c>
      <c r="L1906" s="4" t="str">
        <f>IF(OR(Копия_20206[[#This Row],[Volume (in 1000 kg)]]&gt;$T$7,Копия_20206[[#This Row],[Volume (in 1000 kg)]]&lt;$T$6),"outlier","not outlier")</f>
        <v>not outlier</v>
      </c>
      <c r="M1906" s="4" t="str">
        <f>IF(OR(Копия_20206[[#This Row],[Number of stores]]&gt;$U$7,Копия_20206[[#This Row],[Number of stores]]&lt;$U$6),"outlier","not outlier")</f>
        <v>not outlier</v>
      </c>
    </row>
    <row r="1907" spans="1:13" x14ac:dyDescent="0.25">
      <c r="A1907">
        <v>2022</v>
      </c>
      <c r="B1907">
        <v>2</v>
      </c>
      <c r="C1907" s="1" t="s">
        <v>29</v>
      </c>
      <c r="D1907" s="1" t="s">
        <v>17</v>
      </c>
      <c r="E1907" s="1" t="s">
        <v>18</v>
      </c>
      <c r="F1907" s="5">
        <v>10.015700000000001</v>
      </c>
      <c r="G1907" s="5">
        <v>953.28915700000005</v>
      </c>
      <c r="H1907" s="5">
        <v>1.8028</v>
      </c>
      <c r="I1907">
        <v>3804</v>
      </c>
      <c r="J1907" s="4" t="str">
        <f>IF(OR(Копия_20206[[#This Row],[Units (in 1000)]]&gt;$R$7,Копия_20206[[#This Row],[Units (in 1000)]]&lt;$R$6),"outlier","not outlier")</f>
        <v>not outlier</v>
      </c>
      <c r="K1907" s="4" t="str">
        <f>IF(OR(Копия_20206[[#This Row],[Value (in 1000 rub)]]&gt;$S$7,Копия_20206[[#This Row],[Value (in 1000 rub)]]&lt;$S$6),"outlier","not outlier")</f>
        <v>not outlier</v>
      </c>
      <c r="L1907" s="4" t="str">
        <f>IF(OR(Копия_20206[[#This Row],[Volume (in 1000 kg)]]&gt;$T$7,Копия_20206[[#This Row],[Volume (in 1000 kg)]]&lt;$T$6),"outlier","not outlier")</f>
        <v>not outlier</v>
      </c>
      <c r="M1907" s="4" t="str">
        <f>IF(OR(Копия_20206[[#This Row],[Number of stores]]&gt;$U$7,Копия_20206[[#This Row],[Number of stores]]&lt;$U$6),"outlier","not outlier")</f>
        <v>outlier</v>
      </c>
    </row>
    <row r="1908" spans="1:13" x14ac:dyDescent="0.25">
      <c r="A1908">
        <v>2022</v>
      </c>
      <c r="B1908">
        <v>3</v>
      </c>
      <c r="C1908" s="1" t="s">
        <v>8</v>
      </c>
      <c r="D1908" s="1" t="s">
        <v>17</v>
      </c>
      <c r="E1908" s="1" t="s">
        <v>18</v>
      </c>
      <c r="F1908" s="5">
        <v>3.8064</v>
      </c>
      <c r="G1908" s="5">
        <v>424.69898000000001</v>
      </c>
      <c r="H1908" s="5">
        <v>0.68510000000000004</v>
      </c>
      <c r="I1908">
        <v>191</v>
      </c>
      <c r="J1908" s="4" t="str">
        <f>IF(OR(Копия_20206[[#This Row],[Units (in 1000)]]&gt;$R$7,Копия_20206[[#This Row],[Units (in 1000)]]&lt;$R$6),"outlier","not outlier")</f>
        <v>not outlier</v>
      </c>
      <c r="K1908" s="4" t="str">
        <f>IF(OR(Копия_20206[[#This Row],[Value (in 1000 rub)]]&gt;$S$7,Копия_20206[[#This Row],[Value (in 1000 rub)]]&lt;$S$6),"outlier","not outlier")</f>
        <v>not outlier</v>
      </c>
      <c r="L1908" s="4" t="str">
        <f>IF(OR(Копия_20206[[#This Row],[Volume (in 1000 kg)]]&gt;$T$7,Копия_20206[[#This Row],[Volume (in 1000 kg)]]&lt;$T$6),"outlier","not outlier")</f>
        <v>not outlier</v>
      </c>
      <c r="M1908" s="4" t="str">
        <f>IF(OR(Копия_20206[[#This Row],[Number of stores]]&gt;$U$7,Копия_20206[[#This Row],[Number of stores]]&lt;$U$6),"outlier","not outlier")</f>
        <v>not outlier</v>
      </c>
    </row>
    <row r="1909" spans="1:13" x14ac:dyDescent="0.25">
      <c r="A1909">
        <v>2022</v>
      </c>
      <c r="B1909">
        <v>3</v>
      </c>
      <c r="C1909" s="1" t="s">
        <v>25</v>
      </c>
      <c r="D1909" s="1" t="s">
        <v>17</v>
      </c>
      <c r="E1909" s="1" t="s">
        <v>18</v>
      </c>
      <c r="F1909" s="5">
        <v>5.4960000000000004</v>
      </c>
      <c r="G1909" s="5">
        <v>517.77055199999995</v>
      </c>
      <c r="H1909" s="5">
        <v>0.98929999999999996</v>
      </c>
      <c r="I1909">
        <v>2432</v>
      </c>
      <c r="J1909" s="4" t="str">
        <f>IF(OR(Копия_20206[[#This Row],[Units (in 1000)]]&gt;$R$7,Копия_20206[[#This Row],[Units (in 1000)]]&lt;$R$6),"outlier","not outlier")</f>
        <v>not outlier</v>
      </c>
      <c r="K1909" s="4" t="str">
        <f>IF(OR(Копия_20206[[#This Row],[Value (in 1000 rub)]]&gt;$S$7,Копия_20206[[#This Row],[Value (in 1000 rub)]]&lt;$S$6),"outlier","not outlier")</f>
        <v>not outlier</v>
      </c>
      <c r="L1909" s="4" t="str">
        <f>IF(OR(Копия_20206[[#This Row],[Volume (in 1000 kg)]]&gt;$T$7,Копия_20206[[#This Row],[Volume (in 1000 kg)]]&lt;$T$6),"outlier","not outlier")</f>
        <v>not outlier</v>
      </c>
      <c r="M1909" s="4" t="str">
        <f>IF(OR(Копия_20206[[#This Row],[Number of stores]]&gt;$U$7,Копия_20206[[#This Row],[Number of stores]]&lt;$U$6),"outlier","not outlier")</f>
        <v>not outlier</v>
      </c>
    </row>
    <row r="1910" spans="1:13" x14ac:dyDescent="0.25">
      <c r="A1910">
        <v>2022</v>
      </c>
      <c r="B1910">
        <v>3</v>
      </c>
      <c r="C1910" s="1" t="s">
        <v>29</v>
      </c>
      <c r="D1910" s="1" t="s">
        <v>17</v>
      </c>
      <c r="E1910" s="1" t="s">
        <v>18</v>
      </c>
      <c r="F1910" s="5">
        <v>9.3745999999999992</v>
      </c>
      <c r="G1910" s="5">
        <v>947.04014199999995</v>
      </c>
      <c r="H1910" s="5">
        <v>1.6874</v>
      </c>
      <c r="I1910">
        <v>3564</v>
      </c>
      <c r="J1910" s="4" t="str">
        <f>IF(OR(Копия_20206[[#This Row],[Units (in 1000)]]&gt;$R$7,Копия_20206[[#This Row],[Units (in 1000)]]&lt;$R$6),"outlier","not outlier")</f>
        <v>not outlier</v>
      </c>
      <c r="K1910" s="4" t="str">
        <f>IF(OR(Копия_20206[[#This Row],[Value (in 1000 rub)]]&gt;$S$7,Копия_20206[[#This Row],[Value (in 1000 rub)]]&lt;$S$6),"outlier","not outlier")</f>
        <v>not outlier</v>
      </c>
      <c r="L1910" s="4" t="str">
        <f>IF(OR(Копия_20206[[#This Row],[Volume (in 1000 kg)]]&gt;$T$7,Копия_20206[[#This Row],[Volume (in 1000 kg)]]&lt;$T$6),"outlier","not outlier")</f>
        <v>not outlier</v>
      </c>
      <c r="M1910" s="4" t="str">
        <f>IF(OR(Копия_20206[[#This Row],[Number of stores]]&gt;$U$7,Копия_20206[[#This Row],[Number of stores]]&lt;$U$6),"outlier","not outlier")</f>
        <v>outlier</v>
      </c>
    </row>
    <row r="1911" spans="1:13" x14ac:dyDescent="0.25">
      <c r="A1911">
        <v>2022</v>
      </c>
      <c r="B1911">
        <v>4</v>
      </c>
      <c r="C1911" s="1" t="s">
        <v>8</v>
      </c>
      <c r="D1911" s="1" t="s">
        <v>17</v>
      </c>
      <c r="E1911" s="1" t="s">
        <v>18</v>
      </c>
      <c r="F1911" s="5">
        <v>1.7005999999999999</v>
      </c>
      <c r="G1911" s="5">
        <v>203.671087</v>
      </c>
      <c r="H1911" s="5">
        <v>0.30609999999999998</v>
      </c>
      <c r="I1911">
        <v>167</v>
      </c>
      <c r="J1911" s="4" t="str">
        <f>IF(OR(Копия_20206[[#This Row],[Units (in 1000)]]&gt;$R$7,Копия_20206[[#This Row],[Units (in 1000)]]&lt;$R$6),"outlier","not outlier")</f>
        <v>not outlier</v>
      </c>
      <c r="K1911" s="4" t="str">
        <f>IF(OR(Копия_20206[[#This Row],[Value (in 1000 rub)]]&gt;$S$7,Копия_20206[[#This Row],[Value (in 1000 rub)]]&lt;$S$6),"outlier","not outlier")</f>
        <v>not outlier</v>
      </c>
      <c r="L1911" s="4" t="str">
        <f>IF(OR(Копия_20206[[#This Row],[Volume (in 1000 kg)]]&gt;$T$7,Копия_20206[[#This Row],[Volume (in 1000 kg)]]&lt;$T$6),"outlier","not outlier")</f>
        <v>not outlier</v>
      </c>
      <c r="M1911" s="4" t="str">
        <f>IF(OR(Копия_20206[[#This Row],[Number of stores]]&gt;$U$7,Копия_20206[[#This Row],[Number of stores]]&lt;$U$6),"outlier","not outlier")</f>
        <v>not outlier</v>
      </c>
    </row>
    <row r="1912" spans="1:13" x14ac:dyDescent="0.25">
      <c r="A1912">
        <v>2022</v>
      </c>
      <c r="B1912">
        <v>4</v>
      </c>
      <c r="C1912" s="1" t="s">
        <v>25</v>
      </c>
      <c r="D1912" s="1" t="s">
        <v>17</v>
      </c>
      <c r="E1912" s="1" t="s">
        <v>18</v>
      </c>
      <c r="F1912" s="5">
        <v>4.4524999999999997</v>
      </c>
      <c r="G1912" s="5">
        <v>416.92419599999999</v>
      </c>
      <c r="H1912" s="5">
        <v>0.8014</v>
      </c>
      <c r="I1912">
        <v>1675</v>
      </c>
      <c r="J1912" s="4" t="str">
        <f>IF(OR(Копия_20206[[#This Row],[Units (in 1000)]]&gt;$R$7,Копия_20206[[#This Row],[Units (in 1000)]]&lt;$R$6),"outlier","not outlier")</f>
        <v>not outlier</v>
      </c>
      <c r="K1912" s="4" t="str">
        <f>IF(OR(Копия_20206[[#This Row],[Value (in 1000 rub)]]&gt;$S$7,Копия_20206[[#This Row],[Value (in 1000 rub)]]&lt;$S$6),"outlier","not outlier")</f>
        <v>not outlier</v>
      </c>
      <c r="L1912" s="4" t="str">
        <f>IF(OR(Копия_20206[[#This Row],[Volume (in 1000 kg)]]&gt;$T$7,Копия_20206[[#This Row],[Volume (in 1000 kg)]]&lt;$T$6),"outlier","not outlier")</f>
        <v>not outlier</v>
      </c>
      <c r="M1912" s="4" t="str">
        <f>IF(OR(Копия_20206[[#This Row],[Number of stores]]&gt;$U$7,Копия_20206[[#This Row],[Number of stores]]&lt;$U$6),"outlier","not outlier")</f>
        <v>not outlier</v>
      </c>
    </row>
    <row r="1913" spans="1:13" x14ac:dyDescent="0.25">
      <c r="A1913">
        <v>2022</v>
      </c>
      <c r="B1913">
        <v>4</v>
      </c>
      <c r="C1913" s="1" t="s">
        <v>29</v>
      </c>
      <c r="D1913" s="1" t="s">
        <v>17</v>
      </c>
      <c r="E1913" s="1" t="s">
        <v>18</v>
      </c>
      <c r="F1913" s="5">
        <v>6.2295999999999996</v>
      </c>
      <c r="G1913" s="5">
        <v>631.50654299999997</v>
      </c>
      <c r="H1913" s="5">
        <v>1.1213</v>
      </c>
      <c r="I1913">
        <v>2641</v>
      </c>
      <c r="J1913" s="4" t="str">
        <f>IF(OR(Копия_20206[[#This Row],[Units (in 1000)]]&gt;$R$7,Копия_20206[[#This Row],[Units (in 1000)]]&lt;$R$6),"outlier","not outlier")</f>
        <v>not outlier</v>
      </c>
      <c r="K1913" s="4" t="str">
        <f>IF(OR(Копия_20206[[#This Row],[Value (in 1000 rub)]]&gt;$S$7,Копия_20206[[#This Row],[Value (in 1000 rub)]]&lt;$S$6),"outlier","not outlier")</f>
        <v>not outlier</v>
      </c>
      <c r="L1913" s="4" t="str">
        <f>IF(OR(Копия_20206[[#This Row],[Volume (in 1000 kg)]]&gt;$T$7,Копия_20206[[#This Row],[Volume (in 1000 kg)]]&lt;$T$6),"outlier","not outlier")</f>
        <v>not outlier</v>
      </c>
      <c r="M1913" s="4" t="str">
        <f>IF(OR(Копия_20206[[#This Row],[Number of stores]]&gt;$U$7,Копия_20206[[#This Row],[Number of stores]]&lt;$U$6),"outlier","not outlier")</f>
        <v>not outlier</v>
      </c>
    </row>
    <row r="1914" spans="1:13" x14ac:dyDescent="0.25">
      <c r="A1914">
        <v>2022</v>
      </c>
      <c r="B1914">
        <v>5</v>
      </c>
      <c r="C1914" s="1" t="s">
        <v>8</v>
      </c>
      <c r="D1914" s="1" t="s">
        <v>17</v>
      </c>
      <c r="E1914" s="1" t="s">
        <v>18</v>
      </c>
      <c r="F1914" s="5">
        <v>1.6698999999999999</v>
      </c>
      <c r="G1914" s="5">
        <v>200.27634900000001</v>
      </c>
      <c r="H1914" s="5">
        <v>0.30059999999999998</v>
      </c>
      <c r="I1914">
        <v>159</v>
      </c>
      <c r="J1914" s="4" t="str">
        <f>IF(OR(Копия_20206[[#This Row],[Units (in 1000)]]&gt;$R$7,Копия_20206[[#This Row],[Units (in 1000)]]&lt;$R$6),"outlier","not outlier")</f>
        <v>not outlier</v>
      </c>
      <c r="K1914" s="4" t="str">
        <f>IF(OR(Копия_20206[[#This Row],[Value (in 1000 rub)]]&gt;$S$7,Копия_20206[[#This Row],[Value (in 1000 rub)]]&lt;$S$6),"outlier","not outlier")</f>
        <v>not outlier</v>
      </c>
      <c r="L1914" s="4" t="str">
        <f>IF(OR(Копия_20206[[#This Row],[Volume (in 1000 kg)]]&gt;$T$7,Копия_20206[[#This Row],[Volume (in 1000 kg)]]&lt;$T$6),"outlier","not outlier")</f>
        <v>not outlier</v>
      </c>
      <c r="M1914" s="4" t="str">
        <f>IF(OR(Копия_20206[[#This Row],[Number of stores]]&gt;$U$7,Копия_20206[[#This Row],[Number of stores]]&lt;$U$6),"outlier","not outlier")</f>
        <v>not outlier</v>
      </c>
    </row>
    <row r="1915" spans="1:13" x14ac:dyDescent="0.25">
      <c r="A1915">
        <v>2022</v>
      </c>
      <c r="B1915">
        <v>5</v>
      </c>
      <c r="C1915" s="1" t="s">
        <v>25</v>
      </c>
      <c r="D1915" s="1" t="s">
        <v>17</v>
      </c>
      <c r="E1915" s="1" t="s">
        <v>18</v>
      </c>
      <c r="F1915" s="5">
        <v>3.8740999999999999</v>
      </c>
      <c r="G1915" s="5">
        <v>350.53213</v>
      </c>
      <c r="H1915" s="5">
        <v>0.69730000000000003</v>
      </c>
      <c r="I1915">
        <v>1441</v>
      </c>
      <c r="J1915" s="4" t="str">
        <f>IF(OR(Копия_20206[[#This Row],[Units (in 1000)]]&gt;$R$7,Копия_20206[[#This Row],[Units (in 1000)]]&lt;$R$6),"outlier","not outlier")</f>
        <v>not outlier</v>
      </c>
      <c r="K1915" s="4" t="str">
        <f>IF(OR(Копия_20206[[#This Row],[Value (in 1000 rub)]]&gt;$S$7,Копия_20206[[#This Row],[Value (in 1000 rub)]]&lt;$S$6),"outlier","not outlier")</f>
        <v>not outlier</v>
      </c>
      <c r="L1915" s="4" t="str">
        <f>IF(OR(Копия_20206[[#This Row],[Volume (in 1000 kg)]]&gt;$T$7,Копия_20206[[#This Row],[Volume (in 1000 kg)]]&lt;$T$6),"outlier","not outlier")</f>
        <v>not outlier</v>
      </c>
      <c r="M1915" s="4" t="str">
        <f>IF(OR(Копия_20206[[#This Row],[Number of stores]]&gt;$U$7,Копия_20206[[#This Row],[Number of stores]]&lt;$U$6),"outlier","not outlier")</f>
        <v>not outlier</v>
      </c>
    </row>
    <row r="1916" spans="1:13" x14ac:dyDescent="0.25">
      <c r="A1916">
        <v>2022</v>
      </c>
      <c r="B1916">
        <v>5</v>
      </c>
      <c r="C1916" s="1" t="s">
        <v>29</v>
      </c>
      <c r="D1916" s="1" t="s">
        <v>17</v>
      </c>
      <c r="E1916" s="1" t="s">
        <v>18</v>
      </c>
      <c r="F1916" s="5">
        <v>6.4932999999999996</v>
      </c>
      <c r="G1916" s="5">
        <v>637.88611500000002</v>
      </c>
      <c r="H1916" s="5">
        <v>1.1688000000000001</v>
      </c>
      <c r="I1916">
        <v>2563</v>
      </c>
      <c r="J1916" s="4" t="str">
        <f>IF(OR(Копия_20206[[#This Row],[Units (in 1000)]]&gt;$R$7,Копия_20206[[#This Row],[Units (in 1000)]]&lt;$R$6),"outlier","not outlier")</f>
        <v>not outlier</v>
      </c>
      <c r="K1916" s="4" t="str">
        <f>IF(OR(Копия_20206[[#This Row],[Value (in 1000 rub)]]&gt;$S$7,Копия_20206[[#This Row],[Value (in 1000 rub)]]&lt;$S$6),"outlier","not outlier")</f>
        <v>not outlier</v>
      </c>
      <c r="L1916" s="4" t="str">
        <f>IF(OR(Копия_20206[[#This Row],[Volume (in 1000 kg)]]&gt;$T$7,Копия_20206[[#This Row],[Volume (in 1000 kg)]]&lt;$T$6),"outlier","not outlier")</f>
        <v>not outlier</v>
      </c>
      <c r="M1916" s="4" t="str">
        <f>IF(OR(Копия_20206[[#This Row],[Number of stores]]&gt;$U$7,Копия_20206[[#This Row],[Number of stores]]&lt;$U$6),"outlier","not outlier")</f>
        <v>not outlier</v>
      </c>
    </row>
    <row r="1917" spans="1:13" x14ac:dyDescent="0.25">
      <c r="A1917">
        <v>2022</v>
      </c>
      <c r="B1917">
        <v>6</v>
      </c>
      <c r="C1917" s="1" t="s">
        <v>8</v>
      </c>
      <c r="D1917" s="1" t="s">
        <v>17</v>
      </c>
      <c r="E1917" s="1" t="s">
        <v>18</v>
      </c>
      <c r="F1917" s="5">
        <v>1.9762999999999999</v>
      </c>
      <c r="G1917" s="5">
        <v>231.50842900000001</v>
      </c>
      <c r="H1917" s="5">
        <v>0.35570000000000002</v>
      </c>
      <c r="I1917">
        <v>189</v>
      </c>
      <c r="J1917" s="4" t="str">
        <f>IF(OR(Копия_20206[[#This Row],[Units (in 1000)]]&gt;$R$7,Копия_20206[[#This Row],[Units (in 1000)]]&lt;$R$6),"outlier","not outlier")</f>
        <v>not outlier</v>
      </c>
      <c r="K1917" s="4" t="str">
        <f>IF(OR(Копия_20206[[#This Row],[Value (in 1000 rub)]]&gt;$S$7,Копия_20206[[#This Row],[Value (in 1000 rub)]]&lt;$S$6),"outlier","not outlier")</f>
        <v>not outlier</v>
      </c>
      <c r="L1917" s="4" t="str">
        <f>IF(OR(Копия_20206[[#This Row],[Volume (in 1000 kg)]]&gt;$T$7,Копия_20206[[#This Row],[Volume (in 1000 kg)]]&lt;$T$6),"outlier","not outlier")</f>
        <v>not outlier</v>
      </c>
      <c r="M1917" s="4" t="str">
        <f>IF(OR(Копия_20206[[#This Row],[Number of stores]]&gt;$U$7,Копия_20206[[#This Row],[Number of stores]]&lt;$U$6),"outlier","not outlier")</f>
        <v>not outlier</v>
      </c>
    </row>
    <row r="1918" spans="1:13" x14ac:dyDescent="0.25">
      <c r="A1918">
        <v>2022</v>
      </c>
      <c r="B1918">
        <v>6</v>
      </c>
      <c r="C1918" s="1" t="s">
        <v>25</v>
      </c>
      <c r="D1918" s="1" t="s">
        <v>17</v>
      </c>
      <c r="E1918" s="1" t="s">
        <v>18</v>
      </c>
      <c r="F1918" s="5">
        <v>3.7427000000000001</v>
      </c>
      <c r="G1918" s="5">
        <v>338.56308899999999</v>
      </c>
      <c r="H1918" s="5">
        <v>0.67369999999999997</v>
      </c>
      <c r="I1918">
        <v>1548</v>
      </c>
      <c r="J1918" s="4" t="str">
        <f>IF(OR(Копия_20206[[#This Row],[Units (in 1000)]]&gt;$R$7,Копия_20206[[#This Row],[Units (in 1000)]]&lt;$R$6),"outlier","not outlier")</f>
        <v>not outlier</v>
      </c>
      <c r="K1918" s="4" t="str">
        <f>IF(OR(Копия_20206[[#This Row],[Value (in 1000 rub)]]&gt;$S$7,Копия_20206[[#This Row],[Value (in 1000 rub)]]&lt;$S$6),"outlier","not outlier")</f>
        <v>not outlier</v>
      </c>
      <c r="L1918" s="4" t="str">
        <f>IF(OR(Копия_20206[[#This Row],[Volume (in 1000 kg)]]&gt;$T$7,Копия_20206[[#This Row],[Volume (in 1000 kg)]]&lt;$T$6),"outlier","not outlier")</f>
        <v>not outlier</v>
      </c>
      <c r="M1918" s="4" t="str">
        <f>IF(OR(Копия_20206[[#This Row],[Number of stores]]&gt;$U$7,Копия_20206[[#This Row],[Number of stores]]&lt;$U$6),"outlier","not outlier")</f>
        <v>not outlier</v>
      </c>
    </row>
    <row r="1919" spans="1:13" x14ac:dyDescent="0.25">
      <c r="A1919">
        <v>2022</v>
      </c>
      <c r="B1919">
        <v>6</v>
      </c>
      <c r="C1919" s="1" t="s">
        <v>29</v>
      </c>
      <c r="D1919" s="1" t="s">
        <v>17</v>
      </c>
      <c r="E1919" s="1" t="s">
        <v>18</v>
      </c>
      <c r="F1919" s="5">
        <v>5.4622999999999999</v>
      </c>
      <c r="G1919" s="5">
        <v>528.67610999999999</v>
      </c>
      <c r="H1919" s="5">
        <v>0.98329999999999995</v>
      </c>
      <c r="I1919">
        <v>2267</v>
      </c>
      <c r="J1919" s="4" t="str">
        <f>IF(OR(Копия_20206[[#This Row],[Units (in 1000)]]&gt;$R$7,Копия_20206[[#This Row],[Units (in 1000)]]&lt;$R$6),"outlier","not outlier")</f>
        <v>not outlier</v>
      </c>
      <c r="K1919" s="4" t="str">
        <f>IF(OR(Копия_20206[[#This Row],[Value (in 1000 rub)]]&gt;$S$7,Копия_20206[[#This Row],[Value (in 1000 rub)]]&lt;$S$6),"outlier","not outlier")</f>
        <v>not outlier</v>
      </c>
      <c r="L1919" s="4" t="str">
        <f>IF(OR(Копия_20206[[#This Row],[Volume (in 1000 kg)]]&gt;$T$7,Копия_20206[[#This Row],[Volume (in 1000 kg)]]&lt;$T$6),"outlier","not outlier")</f>
        <v>not outlier</v>
      </c>
      <c r="M1919" s="4" t="str">
        <f>IF(OR(Копия_20206[[#This Row],[Number of stores]]&gt;$U$7,Копия_20206[[#This Row],[Number of stores]]&lt;$U$6),"outlier","not outlier")</f>
        <v>not outlier</v>
      </c>
    </row>
    <row r="1920" spans="1:13" x14ac:dyDescent="0.25">
      <c r="A1920">
        <v>2022</v>
      </c>
      <c r="B1920">
        <v>7</v>
      </c>
      <c r="C1920" s="1" t="s">
        <v>8</v>
      </c>
      <c r="D1920" s="1" t="s">
        <v>17</v>
      </c>
      <c r="E1920" s="1" t="s">
        <v>18</v>
      </c>
      <c r="F1920" s="5">
        <v>2.3359999999999999</v>
      </c>
      <c r="G1920" s="5">
        <v>263.524314</v>
      </c>
      <c r="H1920" s="5">
        <v>0.42049999999999998</v>
      </c>
      <c r="I1920">
        <v>176</v>
      </c>
      <c r="J1920" s="4" t="str">
        <f>IF(OR(Копия_20206[[#This Row],[Units (in 1000)]]&gt;$R$7,Копия_20206[[#This Row],[Units (in 1000)]]&lt;$R$6),"outlier","not outlier")</f>
        <v>not outlier</v>
      </c>
      <c r="K1920" s="4" t="str">
        <f>IF(OR(Копия_20206[[#This Row],[Value (in 1000 rub)]]&gt;$S$7,Копия_20206[[#This Row],[Value (in 1000 rub)]]&lt;$S$6),"outlier","not outlier")</f>
        <v>not outlier</v>
      </c>
      <c r="L1920" s="4" t="str">
        <f>IF(OR(Копия_20206[[#This Row],[Volume (in 1000 kg)]]&gt;$T$7,Копия_20206[[#This Row],[Volume (in 1000 kg)]]&lt;$T$6),"outlier","not outlier")</f>
        <v>not outlier</v>
      </c>
      <c r="M1920" s="4" t="str">
        <f>IF(OR(Копия_20206[[#This Row],[Number of stores]]&gt;$U$7,Копия_20206[[#This Row],[Number of stores]]&lt;$U$6),"outlier","not outlier")</f>
        <v>not outlier</v>
      </c>
    </row>
    <row r="1921" spans="1:13" x14ac:dyDescent="0.25">
      <c r="A1921">
        <v>2022</v>
      </c>
      <c r="B1921">
        <v>7</v>
      </c>
      <c r="C1921" s="1" t="s">
        <v>25</v>
      </c>
      <c r="D1921" s="1" t="s">
        <v>17</v>
      </c>
      <c r="E1921" s="1" t="s">
        <v>18</v>
      </c>
      <c r="F1921" s="5">
        <v>3.7982999999999998</v>
      </c>
      <c r="G1921" s="5">
        <v>348.84576700000002</v>
      </c>
      <c r="H1921" s="5">
        <v>0.68369999999999997</v>
      </c>
      <c r="I1921">
        <v>1365</v>
      </c>
      <c r="J1921" s="4" t="str">
        <f>IF(OR(Копия_20206[[#This Row],[Units (in 1000)]]&gt;$R$7,Копия_20206[[#This Row],[Units (in 1000)]]&lt;$R$6),"outlier","not outlier")</f>
        <v>not outlier</v>
      </c>
      <c r="K1921" s="4" t="str">
        <f>IF(OR(Копия_20206[[#This Row],[Value (in 1000 rub)]]&gt;$S$7,Копия_20206[[#This Row],[Value (in 1000 rub)]]&lt;$S$6),"outlier","not outlier")</f>
        <v>not outlier</v>
      </c>
      <c r="L1921" s="4" t="str">
        <f>IF(OR(Копия_20206[[#This Row],[Volume (in 1000 kg)]]&gt;$T$7,Копия_20206[[#This Row],[Volume (in 1000 kg)]]&lt;$T$6),"outlier","not outlier")</f>
        <v>not outlier</v>
      </c>
      <c r="M1921" s="4" t="str">
        <f>IF(OR(Копия_20206[[#This Row],[Number of stores]]&gt;$U$7,Копия_20206[[#This Row],[Number of stores]]&lt;$U$6),"outlier","not outlier")</f>
        <v>not outlier</v>
      </c>
    </row>
    <row r="1922" spans="1:13" x14ac:dyDescent="0.25">
      <c r="A1922">
        <v>2022</v>
      </c>
      <c r="B1922">
        <v>7</v>
      </c>
      <c r="C1922" s="1" t="s">
        <v>29</v>
      </c>
      <c r="D1922" s="1" t="s">
        <v>17</v>
      </c>
      <c r="E1922" s="1" t="s">
        <v>18</v>
      </c>
      <c r="F1922" s="5">
        <v>5.2210000000000001</v>
      </c>
      <c r="G1922" s="5">
        <v>520.67634899999996</v>
      </c>
      <c r="H1922" s="5">
        <v>0.93979999999999997</v>
      </c>
      <c r="I1922">
        <v>2169</v>
      </c>
      <c r="J1922" s="4" t="str">
        <f>IF(OR(Копия_20206[[#This Row],[Units (in 1000)]]&gt;$R$7,Копия_20206[[#This Row],[Units (in 1000)]]&lt;$R$6),"outlier","not outlier")</f>
        <v>not outlier</v>
      </c>
      <c r="K1922" s="4" t="str">
        <f>IF(OR(Копия_20206[[#This Row],[Value (in 1000 rub)]]&gt;$S$7,Копия_20206[[#This Row],[Value (in 1000 rub)]]&lt;$S$6),"outlier","not outlier")</f>
        <v>not outlier</v>
      </c>
      <c r="L1922" s="4" t="str">
        <f>IF(OR(Копия_20206[[#This Row],[Volume (in 1000 kg)]]&gt;$T$7,Копия_20206[[#This Row],[Volume (in 1000 kg)]]&lt;$T$6),"outlier","not outlier")</f>
        <v>not outlier</v>
      </c>
      <c r="M1922" s="4" t="str">
        <f>IF(OR(Копия_20206[[#This Row],[Number of stores]]&gt;$U$7,Копия_20206[[#This Row],[Number of stores]]&lt;$U$6),"outlier","not outlier")</f>
        <v>not outlier</v>
      </c>
    </row>
    <row r="1923" spans="1:13" x14ac:dyDescent="0.25">
      <c r="A1923">
        <v>2022</v>
      </c>
      <c r="B1923">
        <v>8</v>
      </c>
      <c r="C1923" s="1" t="s">
        <v>8</v>
      </c>
      <c r="D1923" s="1" t="s">
        <v>17</v>
      </c>
      <c r="E1923" s="1" t="s">
        <v>18</v>
      </c>
      <c r="F1923" s="5">
        <v>3.3197000000000001</v>
      </c>
      <c r="G1923" s="5">
        <v>345.17924099999999</v>
      </c>
      <c r="H1923" s="5">
        <v>0.59760000000000002</v>
      </c>
      <c r="I1923">
        <v>166</v>
      </c>
      <c r="J1923" s="4" t="str">
        <f>IF(OR(Копия_20206[[#This Row],[Units (in 1000)]]&gt;$R$7,Копия_20206[[#This Row],[Units (in 1000)]]&lt;$R$6),"outlier","not outlier")</f>
        <v>not outlier</v>
      </c>
      <c r="K1923" s="4" t="str">
        <f>IF(OR(Копия_20206[[#This Row],[Value (in 1000 rub)]]&gt;$S$7,Копия_20206[[#This Row],[Value (in 1000 rub)]]&lt;$S$6),"outlier","not outlier")</f>
        <v>not outlier</v>
      </c>
      <c r="L1923" s="4" t="str">
        <f>IF(OR(Копия_20206[[#This Row],[Volume (in 1000 kg)]]&gt;$T$7,Копия_20206[[#This Row],[Volume (in 1000 kg)]]&lt;$T$6),"outlier","not outlier")</f>
        <v>not outlier</v>
      </c>
      <c r="M1923" s="4" t="str">
        <f>IF(OR(Копия_20206[[#This Row],[Number of stores]]&gt;$U$7,Копия_20206[[#This Row],[Number of stores]]&lt;$U$6),"outlier","not outlier")</f>
        <v>not outlier</v>
      </c>
    </row>
    <row r="1924" spans="1:13" x14ac:dyDescent="0.25">
      <c r="A1924">
        <v>2022</v>
      </c>
      <c r="B1924">
        <v>8</v>
      </c>
      <c r="C1924" s="1" t="s">
        <v>25</v>
      </c>
      <c r="D1924" s="1" t="s">
        <v>17</v>
      </c>
      <c r="E1924" s="1" t="s">
        <v>18</v>
      </c>
      <c r="F1924" s="5">
        <v>4.0218999999999996</v>
      </c>
      <c r="G1924" s="5">
        <v>357.342625</v>
      </c>
      <c r="H1924" s="5">
        <v>0.72389999999999999</v>
      </c>
      <c r="I1924">
        <v>1354</v>
      </c>
      <c r="J1924" s="4" t="str">
        <f>IF(OR(Копия_20206[[#This Row],[Units (in 1000)]]&gt;$R$7,Копия_20206[[#This Row],[Units (in 1000)]]&lt;$R$6),"outlier","not outlier")</f>
        <v>not outlier</v>
      </c>
      <c r="K1924" s="4" t="str">
        <f>IF(OR(Копия_20206[[#This Row],[Value (in 1000 rub)]]&gt;$S$7,Копия_20206[[#This Row],[Value (in 1000 rub)]]&lt;$S$6),"outlier","not outlier")</f>
        <v>not outlier</v>
      </c>
      <c r="L1924" s="4" t="str">
        <f>IF(OR(Копия_20206[[#This Row],[Volume (in 1000 kg)]]&gt;$T$7,Копия_20206[[#This Row],[Volume (in 1000 kg)]]&lt;$T$6),"outlier","not outlier")</f>
        <v>not outlier</v>
      </c>
      <c r="M1924" s="4" t="str">
        <f>IF(OR(Копия_20206[[#This Row],[Number of stores]]&gt;$U$7,Копия_20206[[#This Row],[Number of stores]]&lt;$U$6),"outlier","not outlier")</f>
        <v>not outlier</v>
      </c>
    </row>
    <row r="1925" spans="1:13" x14ac:dyDescent="0.25">
      <c r="A1925">
        <v>2022</v>
      </c>
      <c r="B1925">
        <v>8</v>
      </c>
      <c r="C1925" s="1" t="s">
        <v>29</v>
      </c>
      <c r="D1925" s="1" t="s">
        <v>17</v>
      </c>
      <c r="E1925" s="1" t="s">
        <v>18</v>
      </c>
      <c r="F1925" s="5">
        <v>5.577</v>
      </c>
      <c r="G1925" s="5">
        <v>506.79238900000001</v>
      </c>
      <c r="H1925" s="5">
        <v>1.0039</v>
      </c>
      <c r="I1925">
        <v>2265</v>
      </c>
      <c r="J1925" s="4" t="str">
        <f>IF(OR(Копия_20206[[#This Row],[Units (in 1000)]]&gt;$R$7,Копия_20206[[#This Row],[Units (in 1000)]]&lt;$R$6),"outlier","not outlier")</f>
        <v>not outlier</v>
      </c>
      <c r="K1925" s="4" t="str">
        <f>IF(OR(Копия_20206[[#This Row],[Value (in 1000 rub)]]&gt;$S$7,Копия_20206[[#This Row],[Value (in 1000 rub)]]&lt;$S$6),"outlier","not outlier")</f>
        <v>not outlier</v>
      </c>
      <c r="L1925" s="4" t="str">
        <f>IF(OR(Копия_20206[[#This Row],[Volume (in 1000 kg)]]&gt;$T$7,Копия_20206[[#This Row],[Volume (in 1000 kg)]]&lt;$T$6),"outlier","not outlier")</f>
        <v>not outlier</v>
      </c>
      <c r="M1925" s="4" t="str">
        <f>IF(OR(Копия_20206[[#This Row],[Number of stores]]&gt;$U$7,Копия_20206[[#This Row],[Number of stores]]&lt;$U$6),"outlier","not outlier")</f>
        <v>not outlier</v>
      </c>
    </row>
    <row r="1926" spans="1:13" x14ac:dyDescent="0.25">
      <c r="A1926">
        <v>2022</v>
      </c>
      <c r="B1926">
        <v>9</v>
      </c>
      <c r="C1926" s="1" t="s">
        <v>8</v>
      </c>
      <c r="D1926" s="1" t="s">
        <v>17</v>
      </c>
      <c r="E1926" s="1" t="s">
        <v>18</v>
      </c>
      <c r="F1926" s="5">
        <v>2.8967999999999998</v>
      </c>
      <c r="G1926" s="5">
        <v>309.26137699999998</v>
      </c>
      <c r="H1926" s="5">
        <v>0.52139999999999997</v>
      </c>
      <c r="I1926">
        <v>156</v>
      </c>
      <c r="J1926" s="4" t="str">
        <f>IF(OR(Копия_20206[[#This Row],[Units (in 1000)]]&gt;$R$7,Копия_20206[[#This Row],[Units (in 1000)]]&lt;$R$6),"outlier","not outlier")</f>
        <v>not outlier</v>
      </c>
      <c r="K1926" s="4" t="str">
        <f>IF(OR(Копия_20206[[#This Row],[Value (in 1000 rub)]]&gt;$S$7,Копия_20206[[#This Row],[Value (in 1000 rub)]]&lt;$S$6),"outlier","not outlier")</f>
        <v>not outlier</v>
      </c>
      <c r="L1926" s="4" t="str">
        <f>IF(OR(Копия_20206[[#This Row],[Volume (in 1000 kg)]]&gt;$T$7,Копия_20206[[#This Row],[Volume (in 1000 kg)]]&lt;$T$6),"outlier","not outlier")</f>
        <v>not outlier</v>
      </c>
      <c r="M1926" s="4" t="str">
        <f>IF(OR(Копия_20206[[#This Row],[Number of stores]]&gt;$U$7,Копия_20206[[#This Row],[Number of stores]]&lt;$U$6),"outlier","not outlier")</f>
        <v>not outlier</v>
      </c>
    </row>
    <row r="1927" spans="1:13" x14ac:dyDescent="0.25">
      <c r="A1927">
        <v>2022</v>
      </c>
      <c r="B1927">
        <v>9</v>
      </c>
      <c r="C1927" s="1" t="s">
        <v>25</v>
      </c>
      <c r="D1927" s="1" t="s">
        <v>17</v>
      </c>
      <c r="E1927" s="1" t="s">
        <v>18</v>
      </c>
      <c r="F1927" s="5">
        <v>3.8073999999999999</v>
      </c>
      <c r="G1927" s="5">
        <v>297.966205</v>
      </c>
      <c r="H1927" s="5">
        <v>0.68530000000000002</v>
      </c>
      <c r="I1927">
        <v>1396</v>
      </c>
      <c r="J1927" s="4" t="str">
        <f>IF(OR(Копия_20206[[#This Row],[Units (in 1000)]]&gt;$R$7,Копия_20206[[#This Row],[Units (in 1000)]]&lt;$R$6),"outlier","not outlier")</f>
        <v>not outlier</v>
      </c>
      <c r="K1927" s="4" t="str">
        <f>IF(OR(Копия_20206[[#This Row],[Value (in 1000 rub)]]&gt;$S$7,Копия_20206[[#This Row],[Value (in 1000 rub)]]&lt;$S$6),"outlier","not outlier")</f>
        <v>not outlier</v>
      </c>
      <c r="L1927" s="4" t="str">
        <f>IF(OR(Копия_20206[[#This Row],[Volume (in 1000 kg)]]&gt;$T$7,Копия_20206[[#This Row],[Volume (in 1000 kg)]]&lt;$T$6),"outlier","not outlier")</f>
        <v>not outlier</v>
      </c>
      <c r="M1927" s="4" t="str">
        <f>IF(OR(Копия_20206[[#This Row],[Number of stores]]&gt;$U$7,Копия_20206[[#This Row],[Number of stores]]&lt;$U$6),"outlier","not outlier")</f>
        <v>not outlier</v>
      </c>
    </row>
    <row r="1928" spans="1:13" x14ac:dyDescent="0.25">
      <c r="A1928">
        <v>2022</v>
      </c>
      <c r="B1928">
        <v>9</v>
      </c>
      <c r="C1928" s="1" t="s">
        <v>29</v>
      </c>
      <c r="D1928" s="1" t="s">
        <v>17</v>
      </c>
      <c r="E1928" s="1" t="s">
        <v>18</v>
      </c>
      <c r="F1928" s="5">
        <v>6.7737999999999996</v>
      </c>
      <c r="G1928" s="5">
        <v>517.05504299999996</v>
      </c>
      <c r="H1928" s="5">
        <v>1.2192000000000001</v>
      </c>
      <c r="I1928">
        <v>2145</v>
      </c>
      <c r="J1928" s="4" t="str">
        <f>IF(OR(Копия_20206[[#This Row],[Units (in 1000)]]&gt;$R$7,Копия_20206[[#This Row],[Units (in 1000)]]&lt;$R$6),"outlier","not outlier")</f>
        <v>not outlier</v>
      </c>
      <c r="K1928" s="4" t="str">
        <f>IF(OR(Копия_20206[[#This Row],[Value (in 1000 rub)]]&gt;$S$7,Копия_20206[[#This Row],[Value (in 1000 rub)]]&lt;$S$6),"outlier","not outlier")</f>
        <v>not outlier</v>
      </c>
      <c r="L1928" s="4" t="str">
        <f>IF(OR(Копия_20206[[#This Row],[Volume (in 1000 kg)]]&gt;$T$7,Копия_20206[[#This Row],[Volume (in 1000 kg)]]&lt;$T$6),"outlier","not outlier")</f>
        <v>not outlier</v>
      </c>
      <c r="M1928" s="4" t="str">
        <f>IF(OR(Копия_20206[[#This Row],[Number of stores]]&gt;$U$7,Копия_20206[[#This Row],[Number of stores]]&lt;$U$6),"outlier","not outlier")</f>
        <v>not outlier</v>
      </c>
    </row>
    <row r="1929" spans="1:13" x14ac:dyDescent="0.25">
      <c r="A1929">
        <v>2022</v>
      </c>
      <c r="B1929">
        <v>10</v>
      </c>
      <c r="C1929" s="1" t="s">
        <v>8</v>
      </c>
      <c r="D1929" s="1" t="s">
        <v>17</v>
      </c>
      <c r="E1929" s="1" t="s">
        <v>18</v>
      </c>
      <c r="F1929" s="5">
        <v>2.3938000000000001</v>
      </c>
      <c r="G1929" s="5">
        <v>280.43919</v>
      </c>
      <c r="H1929" s="5">
        <v>0.43090000000000001</v>
      </c>
      <c r="I1929">
        <v>135</v>
      </c>
      <c r="J1929" s="4" t="str">
        <f>IF(OR(Копия_20206[[#This Row],[Units (in 1000)]]&gt;$R$7,Копия_20206[[#This Row],[Units (in 1000)]]&lt;$R$6),"outlier","not outlier")</f>
        <v>not outlier</v>
      </c>
      <c r="K1929" s="4" t="str">
        <f>IF(OR(Копия_20206[[#This Row],[Value (in 1000 rub)]]&gt;$S$7,Копия_20206[[#This Row],[Value (in 1000 rub)]]&lt;$S$6),"outlier","not outlier")</f>
        <v>not outlier</v>
      </c>
      <c r="L1929" s="4" t="str">
        <f>IF(OR(Копия_20206[[#This Row],[Volume (in 1000 kg)]]&gt;$T$7,Копия_20206[[#This Row],[Volume (in 1000 kg)]]&lt;$T$6),"outlier","not outlier")</f>
        <v>not outlier</v>
      </c>
      <c r="M1929" s="4" t="str">
        <f>IF(OR(Копия_20206[[#This Row],[Number of stores]]&gt;$U$7,Копия_20206[[#This Row],[Number of stores]]&lt;$U$6),"outlier","not outlier")</f>
        <v>not outlier</v>
      </c>
    </row>
    <row r="1930" spans="1:13" x14ac:dyDescent="0.25">
      <c r="A1930">
        <v>2022</v>
      </c>
      <c r="B1930">
        <v>10</v>
      </c>
      <c r="C1930" s="1" t="s">
        <v>25</v>
      </c>
      <c r="D1930" s="1" t="s">
        <v>17</v>
      </c>
      <c r="E1930" s="1" t="s">
        <v>18</v>
      </c>
      <c r="F1930" s="5">
        <v>3.58</v>
      </c>
      <c r="G1930" s="5">
        <v>285.06291099999999</v>
      </c>
      <c r="H1930" s="5">
        <v>0.64439999999999997</v>
      </c>
      <c r="I1930">
        <v>1455</v>
      </c>
      <c r="J1930" s="4" t="str">
        <f>IF(OR(Копия_20206[[#This Row],[Units (in 1000)]]&gt;$R$7,Копия_20206[[#This Row],[Units (in 1000)]]&lt;$R$6),"outlier","not outlier")</f>
        <v>not outlier</v>
      </c>
      <c r="K1930" s="4" t="str">
        <f>IF(OR(Копия_20206[[#This Row],[Value (in 1000 rub)]]&gt;$S$7,Копия_20206[[#This Row],[Value (in 1000 rub)]]&lt;$S$6),"outlier","not outlier")</f>
        <v>not outlier</v>
      </c>
      <c r="L1930" s="4" t="str">
        <f>IF(OR(Копия_20206[[#This Row],[Volume (in 1000 kg)]]&gt;$T$7,Копия_20206[[#This Row],[Volume (in 1000 kg)]]&lt;$T$6),"outlier","not outlier")</f>
        <v>not outlier</v>
      </c>
      <c r="M1930" s="4" t="str">
        <f>IF(OR(Копия_20206[[#This Row],[Number of stores]]&gt;$U$7,Копия_20206[[#This Row],[Number of stores]]&lt;$U$6),"outlier","not outlier")</f>
        <v>not outlier</v>
      </c>
    </row>
    <row r="1931" spans="1:13" x14ac:dyDescent="0.25">
      <c r="A1931">
        <v>2022</v>
      </c>
      <c r="B1931">
        <v>10</v>
      </c>
      <c r="C1931" s="1" t="s">
        <v>29</v>
      </c>
      <c r="D1931" s="1" t="s">
        <v>17</v>
      </c>
      <c r="E1931" s="1" t="s">
        <v>18</v>
      </c>
      <c r="F1931" s="5">
        <v>5.8049999999999997</v>
      </c>
      <c r="G1931" s="5">
        <v>475.92512499999998</v>
      </c>
      <c r="H1931" s="5">
        <v>1.0448999999999999</v>
      </c>
      <c r="I1931">
        <v>1957</v>
      </c>
      <c r="J1931" s="4" t="str">
        <f>IF(OR(Копия_20206[[#This Row],[Units (in 1000)]]&gt;$R$7,Копия_20206[[#This Row],[Units (in 1000)]]&lt;$R$6),"outlier","not outlier")</f>
        <v>not outlier</v>
      </c>
      <c r="K1931" s="4" t="str">
        <f>IF(OR(Копия_20206[[#This Row],[Value (in 1000 rub)]]&gt;$S$7,Копия_20206[[#This Row],[Value (in 1000 rub)]]&lt;$S$6),"outlier","not outlier")</f>
        <v>not outlier</v>
      </c>
      <c r="L1931" s="4" t="str">
        <f>IF(OR(Копия_20206[[#This Row],[Volume (in 1000 kg)]]&gt;$T$7,Копия_20206[[#This Row],[Volume (in 1000 kg)]]&lt;$T$6),"outlier","not outlier")</f>
        <v>not outlier</v>
      </c>
      <c r="M1931" s="4" t="str">
        <f>IF(OR(Копия_20206[[#This Row],[Number of stores]]&gt;$U$7,Копия_20206[[#This Row],[Number of stores]]&lt;$U$6),"outlier","not outlier")</f>
        <v>not outlier</v>
      </c>
    </row>
    <row r="1932" spans="1:13" x14ac:dyDescent="0.25">
      <c r="A1932">
        <v>2022</v>
      </c>
      <c r="B1932">
        <v>11</v>
      </c>
      <c r="C1932" s="1" t="s">
        <v>8</v>
      </c>
      <c r="D1932" s="1" t="s">
        <v>17</v>
      </c>
      <c r="E1932" s="1" t="s">
        <v>18</v>
      </c>
      <c r="F1932" s="5">
        <v>2.2650999999999999</v>
      </c>
      <c r="G1932" s="5">
        <v>272.690067</v>
      </c>
      <c r="H1932" s="5">
        <v>0.40770000000000001</v>
      </c>
      <c r="I1932">
        <v>134</v>
      </c>
      <c r="J1932" s="4" t="str">
        <f>IF(OR(Копия_20206[[#This Row],[Units (in 1000)]]&gt;$R$7,Копия_20206[[#This Row],[Units (in 1000)]]&lt;$R$6),"outlier","not outlier")</f>
        <v>not outlier</v>
      </c>
      <c r="K1932" s="4" t="str">
        <f>IF(OR(Копия_20206[[#This Row],[Value (in 1000 rub)]]&gt;$S$7,Копия_20206[[#This Row],[Value (in 1000 rub)]]&lt;$S$6),"outlier","not outlier")</f>
        <v>not outlier</v>
      </c>
      <c r="L1932" s="4" t="str">
        <f>IF(OR(Копия_20206[[#This Row],[Volume (in 1000 kg)]]&gt;$T$7,Копия_20206[[#This Row],[Volume (in 1000 kg)]]&lt;$T$6),"outlier","not outlier")</f>
        <v>not outlier</v>
      </c>
      <c r="M1932" s="4" t="str">
        <f>IF(OR(Копия_20206[[#This Row],[Number of stores]]&gt;$U$7,Копия_20206[[#This Row],[Number of stores]]&lt;$U$6),"outlier","not outlier")</f>
        <v>not outlier</v>
      </c>
    </row>
    <row r="1933" spans="1:13" x14ac:dyDescent="0.25">
      <c r="A1933">
        <v>2022</v>
      </c>
      <c r="B1933">
        <v>11</v>
      </c>
      <c r="C1933" s="1" t="s">
        <v>25</v>
      </c>
      <c r="D1933" s="1" t="s">
        <v>17</v>
      </c>
      <c r="E1933" s="1" t="s">
        <v>18</v>
      </c>
      <c r="F1933" s="5">
        <v>2.4805999999999999</v>
      </c>
      <c r="G1933" s="5">
        <v>168.139456</v>
      </c>
      <c r="H1933" s="5">
        <v>0.44650000000000001</v>
      </c>
      <c r="I1933">
        <v>1008</v>
      </c>
      <c r="J1933" s="4" t="str">
        <f>IF(OR(Копия_20206[[#This Row],[Units (in 1000)]]&gt;$R$7,Копия_20206[[#This Row],[Units (in 1000)]]&lt;$R$6),"outlier","not outlier")</f>
        <v>not outlier</v>
      </c>
      <c r="K1933" s="4" t="str">
        <f>IF(OR(Копия_20206[[#This Row],[Value (in 1000 rub)]]&gt;$S$7,Копия_20206[[#This Row],[Value (in 1000 rub)]]&lt;$S$6),"outlier","not outlier")</f>
        <v>not outlier</v>
      </c>
      <c r="L1933" s="4" t="str">
        <f>IF(OR(Копия_20206[[#This Row],[Volume (in 1000 kg)]]&gt;$T$7,Копия_20206[[#This Row],[Volume (in 1000 kg)]]&lt;$T$6),"outlier","not outlier")</f>
        <v>not outlier</v>
      </c>
      <c r="M1933" s="4" t="str">
        <f>IF(OR(Копия_20206[[#This Row],[Number of stores]]&gt;$U$7,Копия_20206[[#This Row],[Number of stores]]&lt;$U$6),"outlier","not outlier")</f>
        <v>not outlier</v>
      </c>
    </row>
    <row r="1934" spans="1:13" x14ac:dyDescent="0.25">
      <c r="A1934">
        <v>2022</v>
      </c>
      <c r="B1934">
        <v>11</v>
      </c>
      <c r="C1934" s="1" t="s">
        <v>29</v>
      </c>
      <c r="D1934" s="1" t="s">
        <v>17</v>
      </c>
      <c r="E1934" s="1" t="s">
        <v>18</v>
      </c>
      <c r="F1934" s="5">
        <v>6.0726000000000004</v>
      </c>
      <c r="G1934" s="5">
        <v>460.24659100000002</v>
      </c>
      <c r="H1934" s="5">
        <v>1.0931</v>
      </c>
      <c r="I1934">
        <v>2059</v>
      </c>
      <c r="J1934" s="4" t="str">
        <f>IF(OR(Копия_20206[[#This Row],[Units (in 1000)]]&gt;$R$7,Копия_20206[[#This Row],[Units (in 1000)]]&lt;$R$6),"outlier","not outlier")</f>
        <v>not outlier</v>
      </c>
      <c r="K1934" s="4" t="str">
        <f>IF(OR(Копия_20206[[#This Row],[Value (in 1000 rub)]]&gt;$S$7,Копия_20206[[#This Row],[Value (in 1000 rub)]]&lt;$S$6),"outlier","not outlier")</f>
        <v>not outlier</v>
      </c>
      <c r="L1934" s="4" t="str">
        <f>IF(OR(Копия_20206[[#This Row],[Volume (in 1000 kg)]]&gt;$T$7,Копия_20206[[#This Row],[Volume (in 1000 kg)]]&lt;$T$6),"outlier","not outlier")</f>
        <v>not outlier</v>
      </c>
      <c r="M1934" s="4" t="str">
        <f>IF(OR(Копия_20206[[#This Row],[Number of stores]]&gt;$U$7,Копия_20206[[#This Row],[Number of stores]]&lt;$U$6),"outlier","not outlier")</f>
        <v>not outlier</v>
      </c>
    </row>
    <row r="1935" spans="1:13" x14ac:dyDescent="0.25">
      <c r="A1935">
        <v>2022</v>
      </c>
      <c r="B1935">
        <v>12</v>
      </c>
      <c r="C1935" s="1" t="s">
        <v>8</v>
      </c>
      <c r="D1935" s="1" t="s">
        <v>17</v>
      </c>
      <c r="E1935" s="1" t="s">
        <v>18</v>
      </c>
      <c r="F1935" s="5">
        <v>2.4055</v>
      </c>
      <c r="G1935" s="5">
        <v>288.65046699999999</v>
      </c>
      <c r="H1935" s="5">
        <v>0.433</v>
      </c>
      <c r="I1935">
        <v>119</v>
      </c>
      <c r="J1935" s="4" t="str">
        <f>IF(OR(Копия_20206[[#This Row],[Units (in 1000)]]&gt;$R$7,Копия_20206[[#This Row],[Units (in 1000)]]&lt;$R$6),"outlier","not outlier")</f>
        <v>not outlier</v>
      </c>
      <c r="K1935" s="4" t="str">
        <f>IF(OR(Копия_20206[[#This Row],[Value (in 1000 rub)]]&gt;$S$7,Копия_20206[[#This Row],[Value (in 1000 rub)]]&lt;$S$6),"outlier","not outlier")</f>
        <v>not outlier</v>
      </c>
      <c r="L1935" s="4" t="str">
        <f>IF(OR(Копия_20206[[#This Row],[Volume (in 1000 kg)]]&gt;$T$7,Копия_20206[[#This Row],[Volume (in 1000 kg)]]&lt;$T$6),"outlier","not outlier")</f>
        <v>not outlier</v>
      </c>
      <c r="M1935" s="4" t="str">
        <f>IF(OR(Копия_20206[[#This Row],[Number of stores]]&gt;$U$7,Копия_20206[[#This Row],[Number of stores]]&lt;$U$6),"outlier","not outlier")</f>
        <v>not outlier</v>
      </c>
    </row>
    <row r="1936" spans="1:13" x14ac:dyDescent="0.25">
      <c r="A1936">
        <v>2022</v>
      </c>
      <c r="B1936">
        <v>12</v>
      </c>
      <c r="C1936" s="1" t="s">
        <v>25</v>
      </c>
      <c r="D1936" s="1" t="s">
        <v>17</v>
      </c>
      <c r="E1936" s="1" t="s">
        <v>18</v>
      </c>
      <c r="F1936" s="5">
        <v>1.9166000000000001</v>
      </c>
      <c r="G1936" s="5">
        <v>127.604833</v>
      </c>
      <c r="H1936" s="5">
        <v>0.34489999999999998</v>
      </c>
      <c r="I1936">
        <v>946</v>
      </c>
      <c r="J1936" s="4" t="str">
        <f>IF(OR(Копия_20206[[#This Row],[Units (in 1000)]]&gt;$R$7,Копия_20206[[#This Row],[Units (in 1000)]]&lt;$R$6),"outlier","not outlier")</f>
        <v>not outlier</v>
      </c>
      <c r="K1936" s="4" t="str">
        <f>IF(OR(Копия_20206[[#This Row],[Value (in 1000 rub)]]&gt;$S$7,Копия_20206[[#This Row],[Value (in 1000 rub)]]&lt;$S$6),"outlier","not outlier")</f>
        <v>not outlier</v>
      </c>
      <c r="L1936" s="4" t="str">
        <f>IF(OR(Копия_20206[[#This Row],[Volume (in 1000 kg)]]&gt;$T$7,Копия_20206[[#This Row],[Volume (in 1000 kg)]]&lt;$T$6),"outlier","not outlier")</f>
        <v>not outlier</v>
      </c>
      <c r="M1936" s="4" t="str">
        <f>IF(OR(Копия_20206[[#This Row],[Number of stores]]&gt;$U$7,Копия_20206[[#This Row],[Number of stores]]&lt;$U$6),"outlier","not outlier")</f>
        <v>not outlier</v>
      </c>
    </row>
    <row r="1937" spans="1:13" x14ac:dyDescent="0.25">
      <c r="A1937">
        <v>2022</v>
      </c>
      <c r="B1937">
        <v>12</v>
      </c>
      <c r="C1937" s="1" t="s">
        <v>29</v>
      </c>
      <c r="D1937" s="1" t="s">
        <v>17</v>
      </c>
      <c r="E1937" s="1" t="s">
        <v>18</v>
      </c>
      <c r="F1937" s="5">
        <v>5.3833000000000002</v>
      </c>
      <c r="G1937" s="5">
        <v>408.10701399999999</v>
      </c>
      <c r="H1937" s="5">
        <v>0.96899999999999997</v>
      </c>
      <c r="I1937">
        <v>1679</v>
      </c>
      <c r="J1937" s="4" t="str">
        <f>IF(OR(Копия_20206[[#This Row],[Units (in 1000)]]&gt;$R$7,Копия_20206[[#This Row],[Units (in 1000)]]&lt;$R$6),"outlier","not outlier")</f>
        <v>not outlier</v>
      </c>
      <c r="K1937" s="4" t="str">
        <f>IF(OR(Копия_20206[[#This Row],[Value (in 1000 rub)]]&gt;$S$7,Копия_20206[[#This Row],[Value (in 1000 rub)]]&lt;$S$6),"outlier","not outlier")</f>
        <v>not outlier</v>
      </c>
      <c r="L1937" s="4" t="str">
        <f>IF(OR(Копия_20206[[#This Row],[Volume (in 1000 kg)]]&gt;$T$7,Копия_20206[[#This Row],[Volume (in 1000 kg)]]&lt;$T$6),"outlier","not outlier")</f>
        <v>not outlier</v>
      </c>
      <c r="M1937" s="4" t="str">
        <f>IF(OR(Копия_20206[[#This Row],[Number of stores]]&gt;$U$7,Копия_20206[[#This Row],[Number of stores]]&lt;$U$6),"outlier","not outlier")</f>
        <v>not outlier</v>
      </c>
    </row>
    <row r="1938" spans="1:13" x14ac:dyDescent="0.25">
      <c r="A1938">
        <v>2022</v>
      </c>
      <c r="B1938">
        <v>1</v>
      </c>
      <c r="C1938" s="1" t="s">
        <v>8</v>
      </c>
      <c r="D1938" s="1" t="s">
        <v>16</v>
      </c>
      <c r="E1938" s="1" t="s">
        <v>21</v>
      </c>
      <c r="F1938" s="5">
        <v>5.0000000000000001E-4</v>
      </c>
      <c r="G1938" s="5">
        <v>2.9770999999999999E-2</v>
      </c>
      <c r="H1938" s="5">
        <v>1E-4</v>
      </c>
      <c r="I1938">
        <v>2</v>
      </c>
      <c r="J1938" s="4" t="str">
        <f>IF(OR(Копия_20206[[#This Row],[Units (in 1000)]]&gt;$R$7,Копия_20206[[#This Row],[Units (in 1000)]]&lt;$R$6),"outlier","not outlier")</f>
        <v>not outlier</v>
      </c>
      <c r="K1938" s="4" t="str">
        <f>IF(OR(Копия_20206[[#This Row],[Value (in 1000 rub)]]&gt;$S$7,Копия_20206[[#This Row],[Value (in 1000 rub)]]&lt;$S$6),"outlier","not outlier")</f>
        <v>not outlier</v>
      </c>
      <c r="L1938" s="4" t="str">
        <f>IF(OR(Копия_20206[[#This Row],[Volume (in 1000 kg)]]&gt;$T$7,Копия_20206[[#This Row],[Volume (in 1000 kg)]]&lt;$T$6),"outlier","not outlier")</f>
        <v>not outlier</v>
      </c>
      <c r="M1938" s="4" t="str">
        <f>IF(OR(Копия_20206[[#This Row],[Number of stores]]&gt;$U$7,Копия_20206[[#This Row],[Number of stores]]&lt;$U$6),"outlier","not outlier")</f>
        <v>not outlier</v>
      </c>
    </row>
    <row r="1939" spans="1:13" x14ac:dyDescent="0.25">
      <c r="A1939">
        <v>2022</v>
      </c>
      <c r="B1939">
        <v>1</v>
      </c>
      <c r="C1939" s="1" t="s">
        <v>8</v>
      </c>
      <c r="D1939" s="1" t="s">
        <v>16</v>
      </c>
      <c r="E1939" s="1" t="s">
        <v>11</v>
      </c>
      <c r="F1939" s="5">
        <v>1.4560999999999999</v>
      </c>
      <c r="G1939" s="5">
        <v>116.992414</v>
      </c>
      <c r="H1939" s="5">
        <v>0.5242</v>
      </c>
      <c r="I1939">
        <v>155</v>
      </c>
      <c r="J1939" s="4" t="str">
        <f>IF(OR(Копия_20206[[#This Row],[Units (in 1000)]]&gt;$R$7,Копия_20206[[#This Row],[Units (in 1000)]]&lt;$R$6),"outlier","not outlier")</f>
        <v>not outlier</v>
      </c>
      <c r="K1939" s="4" t="str">
        <f>IF(OR(Копия_20206[[#This Row],[Value (in 1000 rub)]]&gt;$S$7,Копия_20206[[#This Row],[Value (in 1000 rub)]]&lt;$S$6),"outlier","not outlier")</f>
        <v>not outlier</v>
      </c>
      <c r="L1939" s="4" t="str">
        <f>IF(OR(Копия_20206[[#This Row],[Volume (in 1000 kg)]]&gt;$T$7,Копия_20206[[#This Row],[Volume (in 1000 kg)]]&lt;$T$6),"outlier","not outlier")</f>
        <v>not outlier</v>
      </c>
      <c r="M1939" s="4" t="str">
        <f>IF(OR(Копия_20206[[#This Row],[Number of stores]]&gt;$U$7,Копия_20206[[#This Row],[Number of stores]]&lt;$U$6),"outlier","not outlier")</f>
        <v>not outlier</v>
      </c>
    </row>
    <row r="1940" spans="1:13" x14ac:dyDescent="0.25">
      <c r="A1940">
        <v>2022</v>
      </c>
      <c r="B1940">
        <v>1</v>
      </c>
      <c r="C1940" s="1" t="s">
        <v>25</v>
      </c>
      <c r="D1940" s="1" t="s">
        <v>16</v>
      </c>
      <c r="E1940" s="1" t="s">
        <v>21</v>
      </c>
      <c r="F1940" s="5">
        <v>0.62350000000000005</v>
      </c>
      <c r="G1940" s="5">
        <v>38.738590000000002</v>
      </c>
      <c r="H1940" s="5">
        <v>0.16209999999999999</v>
      </c>
      <c r="I1940">
        <v>128</v>
      </c>
      <c r="J1940" s="4" t="str">
        <f>IF(OR(Копия_20206[[#This Row],[Units (in 1000)]]&gt;$R$7,Копия_20206[[#This Row],[Units (in 1000)]]&lt;$R$6),"outlier","not outlier")</f>
        <v>not outlier</v>
      </c>
      <c r="K1940" s="4" t="str">
        <f>IF(OR(Копия_20206[[#This Row],[Value (in 1000 rub)]]&gt;$S$7,Копия_20206[[#This Row],[Value (in 1000 rub)]]&lt;$S$6),"outlier","not outlier")</f>
        <v>not outlier</v>
      </c>
      <c r="L1940" s="4" t="str">
        <f>IF(OR(Копия_20206[[#This Row],[Volume (in 1000 kg)]]&gt;$T$7,Копия_20206[[#This Row],[Volume (in 1000 kg)]]&lt;$T$6),"outlier","not outlier")</f>
        <v>not outlier</v>
      </c>
      <c r="M1940" s="4" t="str">
        <f>IF(OR(Копия_20206[[#This Row],[Number of stores]]&gt;$U$7,Копия_20206[[#This Row],[Number of stores]]&lt;$U$6),"outlier","not outlier")</f>
        <v>not outlier</v>
      </c>
    </row>
    <row r="1941" spans="1:13" x14ac:dyDescent="0.25">
      <c r="A1941">
        <v>2022</v>
      </c>
      <c r="B1941">
        <v>1</v>
      </c>
      <c r="C1941" s="1" t="s">
        <v>25</v>
      </c>
      <c r="D1941" s="1" t="s">
        <v>16</v>
      </c>
      <c r="E1941" s="1" t="s">
        <v>11</v>
      </c>
      <c r="F1941" s="5">
        <v>11.9015</v>
      </c>
      <c r="G1941" s="5">
        <v>701.60339399999998</v>
      </c>
      <c r="H1941" s="5">
        <v>4.2846000000000002</v>
      </c>
      <c r="I1941">
        <v>1386</v>
      </c>
      <c r="J1941" s="4" t="str">
        <f>IF(OR(Копия_20206[[#This Row],[Units (in 1000)]]&gt;$R$7,Копия_20206[[#This Row],[Units (in 1000)]]&lt;$R$6),"outlier","not outlier")</f>
        <v>not outlier</v>
      </c>
      <c r="K1941" s="4" t="str">
        <f>IF(OR(Копия_20206[[#This Row],[Value (in 1000 rub)]]&gt;$S$7,Копия_20206[[#This Row],[Value (in 1000 rub)]]&lt;$S$6),"outlier","not outlier")</f>
        <v>not outlier</v>
      </c>
      <c r="L1941" s="4" t="str">
        <f>IF(OR(Копия_20206[[#This Row],[Volume (in 1000 kg)]]&gt;$T$7,Копия_20206[[#This Row],[Volume (in 1000 kg)]]&lt;$T$6),"outlier","not outlier")</f>
        <v>not outlier</v>
      </c>
      <c r="M1941" s="4" t="str">
        <f>IF(OR(Копия_20206[[#This Row],[Number of stores]]&gt;$U$7,Копия_20206[[#This Row],[Number of stores]]&lt;$U$6),"outlier","not outlier")</f>
        <v>not outlier</v>
      </c>
    </row>
    <row r="1942" spans="1:13" x14ac:dyDescent="0.25">
      <c r="A1942">
        <v>2022</v>
      </c>
      <c r="B1942">
        <v>1</v>
      </c>
      <c r="C1942" s="1" t="s">
        <v>29</v>
      </c>
      <c r="D1942" s="1" t="s">
        <v>16</v>
      </c>
      <c r="E1942" s="1" t="s">
        <v>21</v>
      </c>
      <c r="F1942" s="5">
        <v>1.5709</v>
      </c>
      <c r="G1942" s="5">
        <v>96.490976000000003</v>
      </c>
      <c r="H1942" s="5">
        <v>0.40839999999999999</v>
      </c>
      <c r="I1942">
        <v>309</v>
      </c>
      <c r="J1942" s="4" t="str">
        <f>IF(OR(Копия_20206[[#This Row],[Units (in 1000)]]&gt;$R$7,Копия_20206[[#This Row],[Units (in 1000)]]&lt;$R$6),"outlier","not outlier")</f>
        <v>not outlier</v>
      </c>
      <c r="K1942" s="4" t="str">
        <f>IF(OR(Копия_20206[[#This Row],[Value (in 1000 rub)]]&gt;$S$7,Копия_20206[[#This Row],[Value (in 1000 rub)]]&lt;$S$6),"outlier","not outlier")</f>
        <v>not outlier</v>
      </c>
      <c r="L1942" s="4" t="str">
        <f>IF(OR(Копия_20206[[#This Row],[Volume (in 1000 kg)]]&gt;$T$7,Копия_20206[[#This Row],[Volume (in 1000 kg)]]&lt;$T$6),"outlier","not outlier")</f>
        <v>not outlier</v>
      </c>
      <c r="M1942" s="4" t="str">
        <f>IF(OR(Копия_20206[[#This Row],[Number of stores]]&gt;$U$7,Копия_20206[[#This Row],[Number of stores]]&lt;$U$6),"outlier","not outlier")</f>
        <v>not outlier</v>
      </c>
    </row>
    <row r="1943" spans="1:13" x14ac:dyDescent="0.25">
      <c r="A1943">
        <v>2022</v>
      </c>
      <c r="B1943">
        <v>1</v>
      </c>
      <c r="C1943" s="1" t="s">
        <v>29</v>
      </c>
      <c r="D1943" s="1" t="s">
        <v>16</v>
      </c>
      <c r="E1943" s="1" t="s">
        <v>11</v>
      </c>
      <c r="F1943" s="5">
        <v>19.016200000000001</v>
      </c>
      <c r="G1943" s="5">
        <v>1335.5663770000001</v>
      </c>
      <c r="H1943" s="5">
        <v>6.8459000000000003</v>
      </c>
      <c r="I1943">
        <v>1751</v>
      </c>
      <c r="J1943" s="4" t="str">
        <f>IF(OR(Копия_20206[[#This Row],[Units (in 1000)]]&gt;$R$7,Копия_20206[[#This Row],[Units (in 1000)]]&lt;$R$6),"outlier","not outlier")</f>
        <v>not outlier</v>
      </c>
      <c r="K1943" s="4" t="str">
        <f>IF(OR(Копия_20206[[#This Row],[Value (in 1000 rub)]]&gt;$S$7,Копия_20206[[#This Row],[Value (in 1000 rub)]]&lt;$S$6),"outlier","not outlier")</f>
        <v>not outlier</v>
      </c>
      <c r="L1943" s="4" t="str">
        <f>IF(OR(Копия_20206[[#This Row],[Volume (in 1000 kg)]]&gt;$T$7,Копия_20206[[#This Row],[Volume (in 1000 kg)]]&lt;$T$6),"outlier","not outlier")</f>
        <v>not outlier</v>
      </c>
      <c r="M1943" s="4" t="str">
        <f>IF(OR(Копия_20206[[#This Row],[Number of stores]]&gt;$U$7,Копия_20206[[#This Row],[Number of stores]]&lt;$U$6),"outlier","not outlier")</f>
        <v>not outlier</v>
      </c>
    </row>
    <row r="1944" spans="1:13" x14ac:dyDescent="0.25">
      <c r="A1944">
        <v>2022</v>
      </c>
      <c r="B1944">
        <v>2</v>
      </c>
      <c r="C1944" s="1" t="s">
        <v>8</v>
      </c>
      <c r="D1944" s="1" t="s">
        <v>16</v>
      </c>
      <c r="E1944" s="1" t="s">
        <v>21</v>
      </c>
      <c r="F1944" s="5">
        <v>3.8999999999999998E-3</v>
      </c>
      <c r="G1944" s="5">
        <v>0.20893</v>
      </c>
      <c r="H1944" s="5">
        <v>1E-3</v>
      </c>
      <c r="I1944">
        <v>1</v>
      </c>
      <c r="J1944" s="4" t="str">
        <f>IF(OR(Копия_20206[[#This Row],[Units (in 1000)]]&gt;$R$7,Копия_20206[[#This Row],[Units (in 1000)]]&lt;$R$6),"outlier","not outlier")</f>
        <v>not outlier</v>
      </c>
      <c r="K1944" s="4" t="str">
        <f>IF(OR(Копия_20206[[#This Row],[Value (in 1000 rub)]]&gt;$S$7,Копия_20206[[#This Row],[Value (in 1000 rub)]]&lt;$S$6),"outlier","not outlier")</f>
        <v>not outlier</v>
      </c>
      <c r="L1944" s="4" t="str">
        <f>IF(OR(Копия_20206[[#This Row],[Volume (in 1000 kg)]]&gt;$T$7,Копия_20206[[#This Row],[Volume (in 1000 kg)]]&lt;$T$6),"outlier","not outlier")</f>
        <v>not outlier</v>
      </c>
      <c r="M1944" s="4" t="str">
        <f>IF(OR(Копия_20206[[#This Row],[Number of stores]]&gt;$U$7,Копия_20206[[#This Row],[Number of stores]]&lt;$U$6),"outlier","not outlier")</f>
        <v>not outlier</v>
      </c>
    </row>
    <row r="1945" spans="1:13" x14ac:dyDescent="0.25">
      <c r="A1945">
        <v>2022</v>
      </c>
      <c r="B1945">
        <v>2</v>
      </c>
      <c r="C1945" s="1" t="s">
        <v>8</v>
      </c>
      <c r="D1945" s="1" t="s">
        <v>16</v>
      </c>
      <c r="E1945" s="1" t="s">
        <v>11</v>
      </c>
      <c r="F1945" s="5">
        <v>1.5125999999999999</v>
      </c>
      <c r="G1945" s="5">
        <v>124.99615300000001</v>
      </c>
      <c r="H1945" s="5">
        <v>0.54449999999999998</v>
      </c>
      <c r="I1945">
        <v>151</v>
      </c>
      <c r="J1945" s="4" t="str">
        <f>IF(OR(Копия_20206[[#This Row],[Units (in 1000)]]&gt;$R$7,Копия_20206[[#This Row],[Units (in 1000)]]&lt;$R$6),"outlier","not outlier")</f>
        <v>not outlier</v>
      </c>
      <c r="K1945" s="4" t="str">
        <f>IF(OR(Копия_20206[[#This Row],[Value (in 1000 rub)]]&gt;$S$7,Копия_20206[[#This Row],[Value (in 1000 rub)]]&lt;$S$6),"outlier","not outlier")</f>
        <v>not outlier</v>
      </c>
      <c r="L1945" s="4" t="str">
        <f>IF(OR(Копия_20206[[#This Row],[Volume (in 1000 kg)]]&gt;$T$7,Копия_20206[[#This Row],[Volume (in 1000 kg)]]&lt;$T$6),"outlier","not outlier")</f>
        <v>not outlier</v>
      </c>
      <c r="M1945" s="4" t="str">
        <f>IF(OR(Копия_20206[[#This Row],[Number of stores]]&gt;$U$7,Копия_20206[[#This Row],[Number of stores]]&lt;$U$6),"outlier","not outlier")</f>
        <v>not outlier</v>
      </c>
    </row>
    <row r="1946" spans="1:13" x14ac:dyDescent="0.25">
      <c r="A1946">
        <v>2022</v>
      </c>
      <c r="B1946">
        <v>2</v>
      </c>
      <c r="C1946" s="1" t="s">
        <v>25</v>
      </c>
      <c r="D1946" s="1" t="s">
        <v>16</v>
      </c>
      <c r="E1946" s="1" t="s">
        <v>21</v>
      </c>
      <c r="F1946" s="5">
        <v>0.96379999999999999</v>
      </c>
      <c r="G1946" s="5">
        <v>54.697266999999997</v>
      </c>
      <c r="H1946" s="5">
        <v>0.25059999999999999</v>
      </c>
      <c r="I1946">
        <v>153</v>
      </c>
      <c r="J1946" s="4" t="str">
        <f>IF(OR(Копия_20206[[#This Row],[Units (in 1000)]]&gt;$R$7,Копия_20206[[#This Row],[Units (in 1000)]]&lt;$R$6),"outlier","not outlier")</f>
        <v>not outlier</v>
      </c>
      <c r="K1946" s="4" t="str">
        <f>IF(OR(Копия_20206[[#This Row],[Value (in 1000 rub)]]&gt;$S$7,Копия_20206[[#This Row],[Value (in 1000 rub)]]&lt;$S$6),"outlier","not outlier")</f>
        <v>not outlier</v>
      </c>
      <c r="L1946" s="4" t="str">
        <f>IF(OR(Копия_20206[[#This Row],[Volume (in 1000 kg)]]&gt;$T$7,Копия_20206[[#This Row],[Volume (in 1000 kg)]]&lt;$T$6),"outlier","not outlier")</f>
        <v>not outlier</v>
      </c>
      <c r="M1946" s="4" t="str">
        <f>IF(OR(Копия_20206[[#This Row],[Number of stores]]&gt;$U$7,Копия_20206[[#This Row],[Number of stores]]&lt;$U$6),"outlier","not outlier")</f>
        <v>not outlier</v>
      </c>
    </row>
    <row r="1947" spans="1:13" x14ac:dyDescent="0.25">
      <c r="A1947">
        <v>2022</v>
      </c>
      <c r="B1947">
        <v>2</v>
      </c>
      <c r="C1947" s="1" t="s">
        <v>25</v>
      </c>
      <c r="D1947" s="1" t="s">
        <v>16</v>
      </c>
      <c r="E1947" s="1" t="s">
        <v>11</v>
      </c>
      <c r="F1947" s="5">
        <v>7.0537999999999998</v>
      </c>
      <c r="G1947" s="5">
        <v>530.28847399999995</v>
      </c>
      <c r="H1947" s="5">
        <v>2.5392999999999999</v>
      </c>
      <c r="I1947">
        <v>1340</v>
      </c>
      <c r="J1947" s="4" t="str">
        <f>IF(OR(Копия_20206[[#This Row],[Units (in 1000)]]&gt;$R$7,Копия_20206[[#This Row],[Units (in 1000)]]&lt;$R$6),"outlier","not outlier")</f>
        <v>not outlier</v>
      </c>
      <c r="K1947" s="4" t="str">
        <f>IF(OR(Копия_20206[[#This Row],[Value (in 1000 rub)]]&gt;$S$7,Копия_20206[[#This Row],[Value (in 1000 rub)]]&lt;$S$6),"outlier","not outlier")</f>
        <v>not outlier</v>
      </c>
      <c r="L1947" s="4" t="str">
        <f>IF(OR(Копия_20206[[#This Row],[Volume (in 1000 kg)]]&gt;$T$7,Копия_20206[[#This Row],[Volume (in 1000 kg)]]&lt;$T$6),"outlier","not outlier")</f>
        <v>not outlier</v>
      </c>
      <c r="M1947" s="4" t="str">
        <f>IF(OR(Копия_20206[[#This Row],[Number of stores]]&gt;$U$7,Копия_20206[[#This Row],[Number of stores]]&lt;$U$6),"outlier","not outlier")</f>
        <v>not outlier</v>
      </c>
    </row>
    <row r="1948" spans="1:13" x14ac:dyDescent="0.25">
      <c r="A1948">
        <v>2022</v>
      </c>
      <c r="B1948">
        <v>2</v>
      </c>
      <c r="C1948" s="1" t="s">
        <v>29</v>
      </c>
      <c r="D1948" s="1" t="s">
        <v>16</v>
      </c>
      <c r="E1948" s="1" t="s">
        <v>21</v>
      </c>
      <c r="F1948" s="5">
        <v>2.2894999999999999</v>
      </c>
      <c r="G1948" s="5">
        <v>130.56964199999999</v>
      </c>
      <c r="H1948" s="5">
        <v>0.59519999999999995</v>
      </c>
      <c r="I1948">
        <v>321</v>
      </c>
      <c r="J1948" s="4" t="str">
        <f>IF(OR(Копия_20206[[#This Row],[Units (in 1000)]]&gt;$R$7,Копия_20206[[#This Row],[Units (in 1000)]]&lt;$R$6),"outlier","not outlier")</f>
        <v>not outlier</v>
      </c>
      <c r="K1948" s="4" t="str">
        <f>IF(OR(Копия_20206[[#This Row],[Value (in 1000 rub)]]&gt;$S$7,Копия_20206[[#This Row],[Value (in 1000 rub)]]&lt;$S$6),"outlier","not outlier")</f>
        <v>not outlier</v>
      </c>
      <c r="L1948" s="4" t="str">
        <f>IF(OR(Копия_20206[[#This Row],[Volume (in 1000 kg)]]&gt;$T$7,Копия_20206[[#This Row],[Volume (in 1000 kg)]]&lt;$T$6),"outlier","not outlier")</f>
        <v>not outlier</v>
      </c>
      <c r="M1948" s="4" t="str">
        <f>IF(OR(Копия_20206[[#This Row],[Number of stores]]&gt;$U$7,Копия_20206[[#This Row],[Number of stores]]&lt;$U$6),"outlier","not outlier")</f>
        <v>not outlier</v>
      </c>
    </row>
    <row r="1949" spans="1:13" x14ac:dyDescent="0.25">
      <c r="A1949">
        <v>2022</v>
      </c>
      <c r="B1949">
        <v>2</v>
      </c>
      <c r="C1949" s="1" t="s">
        <v>29</v>
      </c>
      <c r="D1949" s="1" t="s">
        <v>16</v>
      </c>
      <c r="E1949" s="1" t="s">
        <v>11</v>
      </c>
      <c r="F1949" s="5">
        <v>26.069199999999999</v>
      </c>
      <c r="G1949" s="5">
        <v>1788.1330680000001</v>
      </c>
      <c r="H1949" s="5">
        <v>9.3849</v>
      </c>
      <c r="I1949">
        <v>1739</v>
      </c>
      <c r="J1949" s="4" t="str">
        <f>IF(OR(Копия_20206[[#This Row],[Units (in 1000)]]&gt;$R$7,Копия_20206[[#This Row],[Units (in 1000)]]&lt;$R$6),"outlier","not outlier")</f>
        <v>outlier</v>
      </c>
      <c r="K1949" s="4" t="str">
        <f>IF(OR(Копия_20206[[#This Row],[Value (in 1000 rub)]]&gt;$S$7,Копия_20206[[#This Row],[Value (in 1000 rub)]]&lt;$S$6),"outlier","not outlier")</f>
        <v>not outlier</v>
      </c>
      <c r="L1949" s="4" t="str">
        <f>IF(OR(Копия_20206[[#This Row],[Volume (in 1000 kg)]]&gt;$T$7,Копия_20206[[#This Row],[Volume (in 1000 kg)]]&lt;$T$6),"outlier","not outlier")</f>
        <v>outlier</v>
      </c>
      <c r="M1949" s="4" t="str">
        <f>IF(OR(Копия_20206[[#This Row],[Number of stores]]&gt;$U$7,Копия_20206[[#This Row],[Number of stores]]&lt;$U$6),"outlier","not outlier")</f>
        <v>not outlier</v>
      </c>
    </row>
    <row r="1950" spans="1:13" x14ac:dyDescent="0.25">
      <c r="A1950">
        <v>2022</v>
      </c>
      <c r="B1950">
        <v>3</v>
      </c>
      <c r="C1950" s="1" t="s">
        <v>8</v>
      </c>
      <c r="D1950" s="1" t="s">
        <v>16</v>
      </c>
      <c r="E1950" s="1" t="s">
        <v>21</v>
      </c>
      <c r="F1950" s="5">
        <v>3.8E-3</v>
      </c>
      <c r="G1950" s="5">
        <v>0.20919599999999999</v>
      </c>
      <c r="H1950" s="5">
        <v>1E-3</v>
      </c>
      <c r="I1950">
        <v>2</v>
      </c>
      <c r="J1950" s="4" t="str">
        <f>IF(OR(Копия_20206[[#This Row],[Units (in 1000)]]&gt;$R$7,Копия_20206[[#This Row],[Units (in 1000)]]&lt;$R$6),"outlier","not outlier")</f>
        <v>not outlier</v>
      </c>
      <c r="K1950" s="4" t="str">
        <f>IF(OR(Копия_20206[[#This Row],[Value (in 1000 rub)]]&gt;$S$7,Копия_20206[[#This Row],[Value (in 1000 rub)]]&lt;$S$6),"outlier","not outlier")</f>
        <v>not outlier</v>
      </c>
      <c r="L1950" s="4" t="str">
        <f>IF(OR(Копия_20206[[#This Row],[Volume (in 1000 kg)]]&gt;$T$7,Копия_20206[[#This Row],[Volume (in 1000 kg)]]&lt;$T$6),"outlier","not outlier")</f>
        <v>not outlier</v>
      </c>
      <c r="M1950" s="4" t="str">
        <f>IF(OR(Копия_20206[[#This Row],[Number of stores]]&gt;$U$7,Копия_20206[[#This Row],[Number of stores]]&lt;$U$6),"outlier","not outlier")</f>
        <v>not outlier</v>
      </c>
    </row>
    <row r="1951" spans="1:13" x14ac:dyDescent="0.25">
      <c r="A1951">
        <v>2022</v>
      </c>
      <c r="B1951">
        <v>3</v>
      </c>
      <c r="C1951" s="1" t="s">
        <v>8</v>
      </c>
      <c r="D1951" s="1" t="s">
        <v>16</v>
      </c>
      <c r="E1951" s="1" t="s">
        <v>11</v>
      </c>
      <c r="F1951" s="5">
        <v>2.7622</v>
      </c>
      <c r="G1951" s="5">
        <v>225.40303299999999</v>
      </c>
      <c r="H1951" s="5">
        <v>0.99439999999999995</v>
      </c>
      <c r="I1951">
        <v>148</v>
      </c>
      <c r="J1951" s="4" t="str">
        <f>IF(OR(Копия_20206[[#This Row],[Units (in 1000)]]&gt;$R$7,Копия_20206[[#This Row],[Units (in 1000)]]&lt;$R$6),"outlier","not outlier")</f>
        <v>not outlier</v>
      </c>
      <c r="K1951" s="4" t="str">
        <f>IF(OR(Копия_20206[[#This Row],[Value (in 1000 rub)]]&gt;$S$7,Копия_20206[[#This Row],[Value (in 1000 rub)]]&lt;$S$6),"outlier","not outlier")</f>
        <v>not outlier</v>
      </c>
      <c r="L1951" s="4" t="str">
        <f>IF(OR(Копия_20206[[#This Row],[Volume (in 1000 kg)]]&gt;$T$7,Копия_20206[[#This Row],[Volume (in 1000 kg)]]&lt;$T$6),"outlier","not outlier")</f>
        <v>not outlier</v>
      </c>
      <c r="M1951" s="4" t="str">
        <f>IF(OR(Копия_20206[[#This Row],[Number of stores]]&gt;$U$7,Копия_20206[[#This Row],[Number of stores]]&lt;$U$6),"outlier","not outlier")</f>
        <v>not outlier</v>
      </c>
    </row>
    <row r="1952" spans="1:13" x14ac:dyDescent="0.25">
      <c r="A1952">
        <v>2022</v>
      </c>
      <c r="B1952">
        <v>3</v>
      </c>
      <c r="C1952" s="1" t="s">
        <v>25</v>
      </c>
      <c r="D1952" s="1" t="s">
        <v>16</v>
      </c>
      <c r="E1952" s="1" t="s">
        <v>21</v>
      </c>
      <c r="F1952" s="5">
        <v>1.1108</v>
      </c>
      <c r="G1952" s="5">
        <v>68.207659000000007</v>
      </c>
      <c r="H1952" s="5">
        <v>0.2888</v>
      </c>
      <c r="I1952">
        <v>136</v>
      </c>
      <c r="J1952" s="4" t="str">
        <f>IF(OR(Копия_20206[[#This Row],[Units (in 1000)]]&gt;$R$7,Копия_20206[[#This Row],[Units (in 1000)]]&lt;$R$6),"outlier","not outlier")</f>
        <v>not outlier</v>
      </c>
      <c r="K1952" s="4" t="str">
        <f>IF(OR(Копия_20206[[#This Row],[Value (in 1000 rub)]]&gt;$S$7,Копия_20206[[#This Row],[Value (in 1000 rub)]]&lt;$S$6),"outlier","not outlier")</f>
        <v>not outlier</v>
      </c>
      <c r="L1952" s="4" t="str">
        <f>IF(OR(Копия_20206[[#This Row],[Volume (in 1000 kg)]]&gt;$T$7,Копия_20206[[#This Row],[Volume (in 1000 kg)]]&lt;$T$6),"outlier","not outlier")</f>
        <v>not outlier</v>
      </c>
      <c r="M1952" s="4" t="str">
        <f>IF(OR(Копия_20206[[#This Row],[Number of stores]]&gt;$U$7,Копия_20206[[#This Row],[Number of stores]]&lt;$U$6),"outlier","not outlier")</f>
        <v>not outlier</v>
      </c>
    </row>
    <row r="1953" spans="1:13" x14ac:dyDescent="0.25">
      <c r="A1953">
        <v>2022</v>
      </c>
      <c r="B1953">
        <v>3</v>
      </c>
      <c r="C1953" s="1" t="s">
        <v>25</v>
      </c>
      <c r="D1953" s="1" t="s">
        <v>16</v>
      </c>
      <c r="E1953" s="1" t="s">
        <v>11</v>
      </c>
      <c r="F1953" s="5">
        <v>11.5989</v>
      </c>
      <c r="G1953" s="5">
        <v>762.579249</v>
      </c>
      <c r="H1953" s="5">
        <v>4.1756000000000002</v>
      </c>
      <c r="I1953">
        <v>1371</v>
      </c>
      <c r="J1953" s="4" t="str">
        <f>IF(OR(Копия_20206[[#This Row],[Units (in 1000)]]&gt;$R$7,Копия_20206[[#This Row],[Units (in 1000)]]&lt;$R$6),"outlier","not outlier")</f>
        <v>not outlier</v>
      </c>
      <c r="K1953" s="4" t="str">
        <f>IF(OR(Копия_20206[[#This Row],[Value (in 1000 rub)]]&gt;$S$7,Копия_20206[[#This Row],[Value (in 1000 rub)]]&lt;$S$6),"outlier","not outlier")</f>
        <v>not outlier</v>
      </c>
      <c r="L1953" s="4" t="str">
        <f>IF(OR(Копия_20206[[#This Row],[Volume (in 1000 kg)]]&gt;$T$7,Копия_20206[[#This Row],[Volume (in 1000 kg)]]&lt;$T$6),"outlier","not outlier")</f>
        <v>not outlier</v>
      </c>
      <c r="M1953" s="4" t="str">
        <f>IF(OR(Копия_20206[[#This Row],[Number of stores]]&gt;$U$7,Копия_20206[[#This Row],[Number of stores]]&lt;$U$6),"outlier","not outlier")</f>
        <v>not outlier</v>
      </c>
    </row>
    <row r="1954" spans="1:13" x14ac:dyDescent="0.25">
      <c r="A1954">
        <v>2022</v>
      </c>
      <c r="B1954">
        <v>3</v>
      </c>
      <c r="C1954" s="1" t="s">
        <v>29</v>
      </c>
      <c r="D1954" s="1" t="s">
        <v>16</v>
      </c>
      <c r="E1954" s="1" t="s">
        <v>21</v>
      </c>
      <c r="F1954" s="5">
        <v>2.6452</v>
      </c>
      <c r="G1954" s="5">
        <v>160.44801799999999</v>
      </c>
      <c r="H1954" s="5">
        <v>0.68769999999999998</v>
      </c>
      <c r="I1954">
        <v>335</v>
      </c>
      <c r="J1954" s="4" t="str">
        <f>IF(OR(Копия_20206[[#This Row],[Units (in 1000)]]&gt;$R$7,Копия_20206[[#This Row],[Units (in 1000)]]&lt;$R$6),"outlier","not outlier")</f>
        <v>not outlier</v>
      </c>
      <c r="K1954" s="4" t="str">
        <f>IF(OR(Копия_20206[[#This Row],[Value (in 1000 rub)]]&gt;$S$7,Копия_20206[[#This Row],[Value (in 1000 rub)]]&lt;$S$6),"outlier","not outlier")</f>
        <v>not outlier</v>
      </c>
      <c r="L1954" s="4" t="str">
        <f>IF(OR(Копия_20206[[#This Row],[Volume (in 1000 kg)]]&gt;$T$7,Копия_20206[[#This Row],[Volume (in 1000 kg)]]&lt;$T$6),"outlier","not outlier")</f>
        <v>not outlier</v>
      </c>
      <c r="M1954" s="4" t="str">
        <f>IF(OR(Копия_20206[[#This Row],[Number of stores]]&gt;$U$7,Копия_20206[[#This Row],[Number of stores]]&lt;$U$6),"outlier","not outlier")</f>
        <v>not outlier</v>
      </c>
    </row>
    <row r="1955" spans="1:13" x14ac:dyDescent="0.25">
      <c r="A1955">
        <v>2022</v>
      </c>
      <c r="B1955">
        <v>3</v>
      </c>
      <c r="C1955" s="1" t="s">
        <v>29</v>
      </c>
      <c r="D1955" s="1" t="s">
        <v>16</v>
      </c>
      <c r="E1955" s="1" t="s">
        <v>11</v>
      </c>
      <c r="F1955" s="5">
        <v>32.647399999999998</v>
      </c>
      <c r="G1955" s="5">
        <v>2284.9223910000001</v>
      </c>
      <c r="H1955" s="5">
        <v>11.753</v>
      </c>
      <c r="I1955">
        <v>1770</v>
      </c>
      <c r="J1955" s="4" t="str">
        <f>IF(OR(Копия_20206[[#This Row],[Units (in 1000)]]&gt;$R$7,Копия_20206[[#This Row],[Units (in 1000)]]&lt;$R$6),"outlier","not outlier")</f>
        <v>outlier</v>
      </c>
      <c r="K1955" s="4" t="str">
        <f>IF(OR(Копия_20206[[#This Row],[Value (in 1000 rub)]]&gt;$S$7,Копия_20206[[#This Row],[Value (in 1000 rub)]]&lt;$S$6),"outlier","not outlier")</f>
        <v>outlier</v>
      </c>
      <c r="L1955" s="4" t="str">
        <f>IF(OR(Копия_20206[[#This Row],[Volume (in 1000 kg)]]&gt;$T$7,Копия_20206[[#This Row],[Volume (in 1000 kg)]]&lt;$T$6),"outlier","not outlier")</f>
        <v>outlier</v>
      </c>
      <c r="M1955" s="4" t="str">
        <f>IF(OR(Копия_20206[[#This Row],[Number of stores]]&gt;$U$7,Копия_20206[[#This Row],[Number of stores]]&lt;$U$6),"outlier","not outlier")</f>
        <v>not outlier</v>
      </c>
    </row>
    <row r="1956" spans="1:13" x14ac:dyDescent="0.25">
      <c r="A1956">
        <v>2022</v>
      </c>
      <c r="B1956">
        <v>4</v>
      </c>
      <c r="C1956" s="1" t="s">
        <v>8</v>
      </c>
      <c r="D1956" s="1" t="s">
        <v>16</v>
      </c>
      <c r="E1956" s="1" t="s">
        <v>21</v>
      </c>
      <c r="F1956" s="5">
        <v>4.5999999999999999E-3</v>
      </c>
      <c r="G1956" s="5">
        <v>0.27464</v>
      </c>
      <c r="H1956" s="5">
        <v>1.1999999999999999E-3</v>
      </c>
      <c r="I1956">
        <v>1</v>
      </c>
      <c r="J1956" s="4" t="str">
        <f>IF(OR(Копия_20206[[#This Row],[Units (in 1000)]]&gt;$R$7,Копия_20206[[#This Row],[Units (in 1000)]]&lt;$R$6),"outlier","not outlier")</f>
        <v>not outlier</v>
      </c>
      <c r="K1956" s="4" t="str">
        <f>IF(OR(Копия_20206[[#This Row],[Value (in 1000 rub)]]&gt;$S$7,Копия_20206[[#This Row],[Value (in 1000 rub)]]&lt;$S$6),"outlier","not outlier")</f>
        <v>not outlier</v>
      </c>
      <c r="L1956" s="4" t="str">
        <f>IF(OR(Копия_20206[[#This Row],[Volume (in 1000 kg)]]&gt;$T$7,Копия_20206[[#This Row],[Volume (in 1000 kg)]]&lt;$T$6),"outlier","not outlier")</f>
        <v>not outlier</v>
      </c>
      <c r="M1956" s="4" t="str">
        <f>IF(OR(Копия_20206[[#This Row],[Number of stores]]&gt;$U$7,Копия_20206[[#This Row],[Number of stores]]&lt;$U$6),"outlier","not outlier")</f>
        <v>not outlier</v>
      </c>
    </row>
    <row r="1957" spans="1:13" x14ac:dyDescent="0.25">
      <c r="A1957">
        <v>2022</v>
      </c>
      <c r="B1957">
        <v>4</v>
      </c>
      <c r="C1957" s="1" t="s">
        <v>8</v>
      </c>
      <c r="D1957" s="1" t="s">
        <v>16</v>
      </c>
      <c r="E1957" s="1" t="s">
        <v>11</v>
      </c>
      <c r="F1957" s="5">
        <v>2.3275000000000001</v>
      </c>
      <c r="G1957" s="5">
        <v>195.82847100000001</v>
      </c>
      <c r="H1957" s="5">
        <v>0.83789999999999998</v>
      </c>
      <c r="I1957">
        <v>140</v>
      </c>
      <c r="J1957" s="4" t="str">
        <f>IF(OR(Копия_20206[[#This Row],[Units (in 1000)]]&gt;$R$7,Копия_20206[[#This Row],[Units (in 1000)]]&lt;$R$6),"outlier","not outlier")</f>
        <v>not outlier</v>
      </c>
      <c r="K1957" s="4" t="str">
        <f>IF(OR(Копия_20206[[#This Row],[Value (in 1000 rub)]]&gt;$S$7,Копия_20206[[#This Row],[Value (in 1000 rub)]]&lt;$S$6),"outlier","not outlier")</f>
        <v>not outlier</v>
      </c>
      <c r="L1957" s="4" t="str">
        <f>IF(OR(Копия_20206[[#This Row],[Volume (in 1000 kg)]]&gt;$T$7,Копия_20206[[#This Row],[Volume (in 1000 kg)]]&lt;$T$6),"outlier","not outlier")</f>
        <v>not outlier</v>
      </c>
      <c r="M1957" s="4" t="str">
        <f>IF(OR(Копия_20206[[#This Row],[Number of stores]]&gt;$U$7,Копия_20206[[#This Row],[Number of stores]]&lt;$U$6),"outlier","not outlier")</f>
        <v>not outlier</v>
      </c>
    </row>
    <row r="1958" spans="1:13" x14ac:dyDescent="0.25">
      <c r="A1958">
        <v>2022</v>
      </c>
      <c r="B1958">
        <v>4</v>
      </c>
      <c r="C1958" s="1" t="s">
        <v>25</v>
      </c>
      <c r="D1958" s="1" t="s">
        <v>16</v>
      </c>
      <c r="E1958" s="1" t="s">
        <v>21</v>
      </c>
      <c r="F1958" s="5">
        <v>1.0960000000000001</v>
      </c>
      <c r="G1958" s="5">
        <v>63.418239</v>
      </c>
      <c r="H1958" s="5">
        <v>0.28499999999999998</v>
      </c>
      <c r="I1958">
        <v>155</v>
      </c>
      <c r="J1958" s="4" t="str">
        <f>IF(OR(Копия_20206[[#This Row],[Units (in 1000)]]&gt;$R$7,Копия_20206[[#This Row],[Units (in 1000)]]&lt;$R$6),"outlier","not outlier")</f>
        <v>not outlier</v>
      </c>
      <c r="K1958" s="4" t="str">
        <f>IF(OR(Копия_20206[[#This Row],[Value (in 1000 rub)]]&gt;$S$7,Копия_20206[[#This Row],[Value (in 1000 rub)]]&lt;$S$6),"outlier","not outlier")</f>
        <v>not outlier</v>
      </c>
      <c r="L1958" s="4" t="str">
        <f>IF(OR(Копия_20206[[#This Row],[Volume (in 1000 kg)]]&gt;$T$7,Копия_20206[[#This Row],[Volume (in 1000 kg)]]&lt;$T$6),"outlier","not outlier")</f>
        <v>not outlier</v>
      </c>
      <c r="M1958" s="4" t="str">
        <f>IF(OR(Копия_20206[[#This Row],[Number of stores]]&gt;$U$7,Копия_20206[[#This Row],[Number of stores]]&lt;$U$6),"outlier","not outlier")</f>
        <v>not outlier</v>
      </c>
    </row>
    <row r="1959" spans="1:13" x14ac:dyDescent="0.25">
      <c r="A1959">
        <v>2022</v>
      </c>
      <c r="B1959">
        <v>4</v>
      </c>
      <c r="C1959" s="1" t="s">
        <v>25</v>
      </c>
      <c r="D1959" s="1" t="s">
        <v>16</v>
      </c>
      <c r="E1959" s="1" t="s">
        <v>11</v>
      </c>
      <c r="F1959" s="5">
        <v>10.1778</v>
      </c>
      <c r="G1959" s="5">
        <v>634.86123199999997</v>
      </c>
      <c r="H1959" s="5">
        <v>3.6640999999999999</v>
      </c>
      <c r="I1959">
        <v>1409</v>
      </c>
      <c r="J1959" s="4" t="str">
        <f>IF(OR(Копия_20206[[#This Row],[Units (in 1000)]]&gt;$R$7,Копия_20206[[#This Row],[Units (in 1000)]]&lt;$R$6),"outlier","not outlier")</f>
        <v>not outlier</v>
      </c>
      <c r="K1959" s="4" t="str">
        <f>IF(OR(Копия_20206[[#This Row],[Value (in 1000 rub)]]&gt;$S$7,Копия_20206[[#This Row],[Value (in 1000 rub)]]&lt;$S$6),"outlier","not outlier")</f>
        <v>not outlier</v>
      </c>
      <c r="L1959" s="4" t="str">
        <f>IF(OR(Копия_20206[[#This Row],[Volume (in 1000 kg)]]&gt;$T$7,Копия_20206[[#This Row],[Volume (in 1000 kg)]]&lt;$T$6),"outlier","not outlier")</f>
        <v>not outlier</v>
      </c>
      <c r="M1959" s="4" t="str">
        <f>IF(OR(Копия_20206[[#This Row],[Number of stores]]&gt;$U$7,Копия_20206[[#This Row],[Number of stores]]&lt;$U$6),"outlier","not outlier")</f>
        <v>not outlier</v>
      </c>
    </row>
    <row r="1960" spans="1:13" x14ac:dyDescent="0.25">
      <c r="A1960">
        <v>2022</v>
      </c>
      <c r="B1960">
        <v>4</v>
      </c>
      <c r="C1960" s="1" t="s">
        <v>29</v>
      </c>
      <c r="D1960" s="1" t="s">
        <v>16</v>
      </c>
      <c r="E1960" s="1" t="s">
        <v>21</v>
      </c>
      <c r="F1960" s="5">
        <v>2.6467000000000001</v>
      </c>
      <c r="G1960" s="5">
        <v>152.97903700000001</v>
      </c>
      <c r="H1960" s="5">
        <v>0.68810000000000004</v>
      </c>
      <c r="I1960">
        <v>337</v>
      </c>
      <c r="J1960" s="4" t="str">
        <f>IF(OR(Копия_20206[[#This Row],[Units (in 1000)]]&gt;$R$7,Копия_20206[[#This Row],[Units (in 1000)]]&lt;$R$6),"outlier","not outlier")</f>
        <v>not outlier</v>
      </c>
      <c r="K1960" s="4" t="str">
        <f>IF(OR(Копия_20206[[#This Row],[Value (in 1000 rub)]]&gt;$S$7,Копия_20206[[#This Row],[Value (in 1000 rub)]]&lt;$S$6),"outlier","not outlier")</f>
        <v>not outlier</v>
      </c>
      <c r="L1960" s="4" t="str">
        <f>IF(OR(Копия_20206[[#This Row],[Volume (in 1000 kg)]]&gt;$T$7,Копия_20206[[#This Row],[Volume (in 1000 kg)]]&lt;$T$6),"outlier","not outlier")</f>
        <v>not outlier</v>
      </c>
      <c r="M1960" s="4" t="str">
        <f>IF(OR(Копия_20206[[#This Row],[Number of stores]]&gt;$U$7,Копия_20206[[#This Row],[Number of stores]]&lt;$U$6),"outlier","not outlier")</f>
        <v>not outlier</v>
      </c>
    </row>
    <row r="1961" spans="1:13" x14ac:dyDescent="0.25">
      <c r="A1961">
        <v>2022</v>
      </c>
      <c r="B1961">
        <v>4</v>
      </c>
      <c r="C1961" s="1" t="s">
        <v>29</v>
      </c>
      <c r="D1961" s="1" t="s">
        <v>16</v>
      </c>
      <c r="E1961" s="1" t="s">
        <v>11</v>
      </c>
      <c r="F1961" s="5">
        <v>32.6462</v>
      </c>
      <c r="G1961" s="5">
        <v>2037.907029</v>
      </c>
      <c r="H1961" s="5">
        <v>11.752599999999999</v>
      </c>
      <c r="I1961">
        <v>1760</v>
      </c>
      <c r="J1961" s="4" t="str">
        <f>IF(OR(Копия_20206[[#This Row],[Units (in 1000)]]&gt;$R$7,Копия_20206[[#This Row],[Units (in 1000)]]&lt;$R$6),"outlier","not outlier")</f>
        <v>outlier</v>
      </c>
      <c r="K1961" s="4" t="str">
        <f>IF(OR(Копия_20206[[#This Row],[Value (in 1000 rub)]]&gt;$S$7,Копия_20206[[#This Row],[Value (in 1000 rub)]]&lt;$S$6),"outlier","not outlier")</f>
        <v>not outlier</v>
      </c>
      <c r="L1961" s="4" t="str">
        <f>IF(OR(Копия_20206[[#This Row],[Volume (in 1000 kg)]]&gt;$T$7,Копия_20206[[#This Row],[Volume (in 1000 kg)]]&lt;$T$6),"outlier","not outlier")</f>
        <v>outlier</v>
      </c>
      <c r="M1961" s="4" t="str">
        <f>IF(OR(Копия_20206[[#This Row],[Number of stores]]&gt;$U$7,Копия_20206[[#This Row],[Number of stores]]&lt;$U$6),"outlier","not outlier")</f>
        <v>not outlier</v>
      </c>
    </row>
    <row r="1962" spans="1:13" x14ac:dyDescent="0.25">
      <c r="A1962">
        <v>2022</v>
      </c>
      <c r="B1962">
        <v>5</v>
      </c>
      <c r="C1962" s="1" t="s">
        <v>8</v>
      </c>
      <c r="D1962" s="1" t="s">
        <v>16</v>
      </c>
      <c r="E1962" s="1" t="s">
        <v>21</v>
      </c>
      <c r="F1962" s="5">
        <v>6.1899999999999997E-2</v>
      </c>
      <c r="G1962" s="5">
        <v>3.6242230000000002</v>
      </c>
      <c r="H1962" s="5">
        <v>1.61E-2</v>
      </c>
      <c r="I1962">
        <v>6</v>
      </c>
      <c r="J1962" s="4" t="str">
        <f>IF(OR(Копия_20206[[#This Row],[Units (in 1000)]]&gt;$R$7,Копия_20206[[#This Row],[Units (in 1000)]]&lt;$R$6),"outlier","not outlier")</f>
        <v>not outlier</v>
      </c>
      <c r="K1962" s="4" t="str">
        <f>IF(OR(Копия_20206[[#This Row],[Value (in 1000 rub)]]&gt;$S$7,Копия_20206[[#This Row],[Value (in 1000 rub)]]&lt;$S$6),"outlier","not outlier")</f>
        <v>not outlier</v>
      </c>
      <c r="L1962" s="4" t="str">
        <f>IF(OR(Копия_20206[[#This Row],[Volume (in 1000 kg)]]&gt;$T$7,Копия_20206[[#This Row],[Volume (in 1000 kg)]]&lt;$T$6),"outlier","not outlier")</f>
        <v>not outlier</v>
      </c>
      <c r="M1962" s="4" t="str">
        <f>IF(OR(Копия_20206[[#This Row],[Number of stores]]&gt;$U$7,Копия_20206[[#This Row],[Number of stores]]&lt;$U$6),"outlier","not outlier")</f>
        <v>not outlier</v>
      </c>
    </row>
    <row r="1963" spans="1:13" x14ac:dyDescent="0.25">
      <c r="A1963">
        <v>2022</v>
      </c>
      <c r="B1963">
        <v>5</v>
      </c>
      <c r="C1963" s="1" t="s">
        <v>8</v>
      </c>
      <c r="D1963" s="1" t="s">
        <v>16</v>
      </c>
      <c r="E1963" s="1" t="s">
        <v>11</v>
      </c>
      <c r="F1963" s="5">
        <v>2.3174000000000001</v>
      </c>
      <c r="G1963" s="5">
        <v>190.920762</v>
      </c>
      <c r="H1963" s="5">
        <v>0.83430000000000004</v>
      </c>
      <c r="I1963">
        <v>151</v>
      </c>
      <c r="J1963" s="4" t="str">
        <f>IF(OR(Копия_20206[[#This Row],[Units (in 1000)]]&gt;$R$7,Копия_20206[[#This Row],[Units (in 1000)]]&lt;$R$6),"outlier","not outlier")</f>
        <v>not outlier</v>
      </c>
      <c r="K1963" s="4" t="str">
        <f>IF(OR(Копия_20206[[#This Row],[Value (in 1000 rub)]]&gt;$S$7,Копия_20206[[#This Row],[Value (in 1000 rub)]]&lt;$S$6),"outlier","not outlier")</f>
        <v>not outlier</v>
      </c>
      <c r="L1963" s="4" t="str">
        <f>IF(OR(Копия_20206[[#This Row],[Volume (in 1000 kg)]]&gt;$T$7,Копия_20206[[#This Row],[Volume (in 1000 kg)]]&lt;$T$6),"outlier","not outlier")</f>
        <v>not outlier</v>
      </c>
      <c r="M1963" s="4" t="str">
        <f>IF(OR(Копия_20206[[#This Row],[Number of stores]]&gt;$U$7,Копия_20206[[#This Row],[Number of stores]]&lt;$U$6),"outlier","not outlier")</f>
        <v>not outlier</v>
      </c>
    </row>
    <row r="1964" spans="1:13" x14ac:dyDescent="0.25">
      <c r="A1964">
        <v>2022</v>
      </c>
      <c r="B1964">
        <v>5</v>
      </c>
      <c r="C1964" s="1" t="s">
        <v>25</v>
      </c>
      <c r="D1964" s="1" t="s">
        <v>16</v>
      </c>
      <c r="E1964" s="1" t="s">
        <v>21</v>
      </c>
      <c r="F1964" s="5">
        <v>1.0163</v>
      </c>
      <c r="G1964" s="5">
        <v>58.583002</v>
      </c>
      <c r="H1964" s="5">
        <v>0.26419999999999999</v>
      </c>
      <c r="I1964">
        <v>134</v>
      </c>
      <c r="J1964" s="4" t="str">
        <f>IF(OR(Копия_20206[[#This Row],[Units (in 1000)]]&gt;$R$7,Копия_20206[[#This Row],[Units (in 1000)]]&lt;$R$6),"outlier","not outlier")</f>
        <v>not outlier</v>
      </c>
      <c r="K1964" s="4" t="str">
        <f>IF(OR(Копия_20206[[#This Row],[Value (in 1000 rub)]]&gt;$S$7,Копия_20206[[#This Row],[Value (in 1000 rub)]]&lt;$S$6),"outlier","not outlier")</f>
        <v>not outlier</v>
      </c>
      <c r="L1964" s="4" t="str">
        <f>IF(OR(Копия_20206[[#This Row],[Volume (in 1000 kg)]]&gt;$T$7,Копия_20206[[#This Row],[Volume (in 1000 kg)]]&lt;$T$6),"outlier","not outlier")</f>
        <v>not outlier</v>
      </c>
      <c r="M1964" s="4" t="str">
        <f>IF(OR(Копия_20206[[#This Row],[Number of stores]]&gt;$U$7,Копия_20206[[#This Row],[Number of stores]]&lt;$U$6),"outlier","not outlier")</f>
        <v>not outlier</v>
      </c>
    </row>
    <row r="1965" spans="1:13" x14ac:dyDescent="0.25">
      <c r="A1965">
        <v>2022</v>
      </c>
      <c r="B1965">
        <v>5</v>
      </c>
      <c r="C1965" s="1" t="s">
        <v>25</v>
      </c>
      <c r="D1965" s="1" t="s">
        <v>16</v>
      </c>
      <c r="E1965" s="1" t="s">
        <v>11</v>
      </c>
      <c r="F1965" s="5">
        <v>5.2721999999999998</v>
      </c>
      <c r="G1965" s="5">
        <v>410.25194900000002</v>
      </c>
      <c r="H1965" s="5">
        <v>1.8978999999999999</v>
      </c>
      <c r="I1965">
        <v>1380</v>
      </c>
      <c r="J1965" s="4" t="str">
        <f>IF(OR(Копия_20206[[#This Row],[Units (in 1000)]]&gt;$R$7,Копия_20206[[#This Row],[Units (in 1000)]]&lt;$R$6),"outlier","not outlier")</f>
        <v>not outlier</v>
      </c>
      <c r="K1965" s="4" t="str">
        <f>IF(OR(Копия_20206[[#This Row],[Value (in 1000 rub)]]&gt;$S$7,Копия_20206[[#This Row],[Value (in 1000 rub)]]&lt;$S$6),"outlier","not outlier")</f>
        <v>not outlier</v>
      </c>
      <c r="L1965" s="4" t="str">
        <f>IF(OR(Копия_20206[[#This Row],[Volume (in 1000 kg)]]&gt;$T$7,Копия_20206[[#This Row],[Volume (in 1000 kg)]]&lt;$T$6),"outlier","not outlier")</f>
        <v>not outlier</v>
      </c>
      <c r="M1965" s="4" t="str">
        <f>IF(OR(Копия_20206[[#This Row],[Number of stores]]&gt;$U$7,Копия_20206[[#This Row],[Number of stores]]&lt;$U$6),"outlier","not outlier")</f>
        <v>not outlier</v>
      </c>
    </row>
    <row r="1966" spans="1:13" x14ac:dyDescent="0.25">
      <c r="A1966">
        <v>2022</v>
      </c>
      <c r="B1966">
        <v>5</v>
      </c>
      <c r="C1966" s="1" t="s">
        <v>29</v>
      </c>
      <c r="D1966" s="1" t="s">
        <v>16</v>
      </c>
      <c r="E1966" s="1" t="s">
        <v>21</v>
      </c>
      <c r="F1966" s="5">
        <v>2.7366000000000001</v>
      </c>
      <c r="G1966" s="5">
        <v>157.761561</v>
      </c>
      <c r="H1966" s="5">
        <v>0.71150000000000002</v>
      </c>
      <c r="I1966">
        <v>352</v>
      </c>
      <c r="J1966" s="4" t="str">
        <f>IF(OR(Копия_20206[[#This Row],[Units (in 1000)]]&gt;$R$7,Копия_20206[[#This Row],[Units (in 1000)]]&lt;$R$6),"outlier","not outlier")</f>
        <v>not outlier</v>
      </c>
      <c r="K1966" s="4" t="str">
        <f>IF(OR(Копия_20206[[#This Row],[Value (in 1000 rub)]]&gt;$S$7,Копия_20206[[#This Row],[Value (in 1000 rub)]]&lt;$S$6),"outlier","not outlier")</f>
        <v>not outlier</v>
      </c>
      <c r="L1966" s="4" t="str">
        <f>IF(OR(Копия_20206[[#This Row],[Volume (in 1000 kg)]]&gt;$T$7,Копия_20206[[#This Row],[Volume (in 1000 kg)]]&lt;$T$6),"outlier","not outlier")</f>
        <v>not outlier</v>
      </c>
      <c r="M1966" s="4" t="str">
        <f>IF(OR(Копия_20206[[#This Row],[Number of stores]]&gt;$U$7,Копия_20206[[#This Row],[Number of stores]]&lt;$U$6),"outlier","not outlier")</f>
        <v>not outlier</v>
      </c>
    </row>
    <row r="1967" spans="1:13" x14ac:dyDescent="0.25">
      <c r="A1967">
        <v>2022</v>
      </c>
      <c r="B1967">
        <v>5</v>
      </c>
      <c r="C1967" s="1" t="s">
        <v>29</v>
      </c>
      <c r="D1967" s="1" t="s">
        <v>16</v>
      </c>
      <c r="E1967" s="1" t="s">
        <v>11</v>
      </c>
      <c r="F1967" s="5">
        <v>23.697700000000001</v>
      </c>
      <c r="G1967" s="5">
        <v>1670.173912</v>
      </c>
      <c r="H1967" s="5">
        <v>8.5312000000000001</v>
      </c>
      <c r="I1967">
        <v>1669</v>
      </c>
      <c r="J1967" s="4" t="str">
        <f>IF(OR(Копия_20206[[#This Row],[Units (in 1000)]]&gt;$R$7,Копия_20206[[#This Row],[Units (in 1000)]]&lt;$R$6),"outlier","not outlier")</f>
        <v>outlier</v>
      </c>
      <c r="K1967" s="4" t="str">
        <f>IF(OR(Копия_20206[[#This Row],[Value (in 1000 rub)]]&gt;$S$7,Копия_20206[[#This Row],[Value (in 1000 rub)]]&lt;$S$6),"outlier","not outlier")</f>
        <v>not outlier</v>
      </c>
      <c r="L1967" s="4" t="str">
        <f>IF(OR(Копия_20206[[#This Row],[Volume (in 1000 kg)]]&gt;$T$7,Копия_20206[[#This Row],[Volume (in 1000 kg)]]&lt;$T$6),"outlier","not outlier")</f>
        <v>outlier</v>
      </c>
      <c r="M1967" s="4" t="str">
        <f>IF(OR(Копия_20206[[#This Row],[Number of stores]]&gt;$U$7,Копия_20206[[#This Row],[Number of stores]]&lt;$U$6),"outlier","not outlier")</f>
        <v>not outlier</v>
      </c>
    </row>
    <row r="1968" spans="1:13" x14ac:dyDescent="0.25">
      <c r="A1968">
        <v>2022</v>
      </c>
      <c r="B1968">
        <v>6</v>
      </c>
      <c r="C1968" s="1" t="s">
        <v>8</v>
      </c>
      <c r="D1968" s="1" t="s">
        <v>16</v>
      </c>
      <c r="E1968" s="1" t="s">
        <v>21</v>
      </c>
      <c r="F1968" s="5">
        <v>4.3200000000000002E-2</v>
      </c>
      <c r="G1968" s="5">
        <v>2.4590269999999999</v>
      </c>
      <c r="H1968" s="5">
        <v>1.12E-2</v>
      </c>
      <c r="I1968">
        <v>5</v>
      </c>
      <c r="J1968" s="4" t="str">
        <f>IF(OR(Копия_20206[[#This Row],[Units (in 1000)]]&gt;$R$7,Копия_20206[[#This Row],[Units (in 1000)]]&lt;$R$6),"outlier","not outlier")</f>
        <v>not outlier</v>
      </c>
      <c r="K1968" s="4" t="str">
        <f>IF(OR(Копия_20206[[#This Row],[Value (in 1000 rub)]]&gt;$S$7,Копия_20206[[#This Row],[Value (in 1000 rub)]]&lt;$S$6),"outlier","not outlier")</f>
        <v>not outlier</v>
      </c>
      <c r="L1968" s="4" t="str">
        <f>IF(OR(Копия_20206[[#This Row],[Volume (in 1000 kg)]]&gt;$T$7,Копия_20206[[#This Row],[Volume (in 1000 kg)]]&lt;$T$6),"outlier","not outlier")</f>
        <v>not outlier</v>
      </c>
      <c r="M1968" s="4" t="str">
        <f>IF(OR(Копия_20206[[#This Row],[Number of stores]]&gt;$U$7,Копия_20206[[#This Row],[Number of stores]]&lt;$U$6),"outlier","not outlier")</f>
        <v>not outlier</v>
      </c>
    </row>
    <row r="1969" spans="1:13" x14ac:dyDescent="0.25">
      <c r="A1969">
        <v>2022</v>
      </c>
      <c r="B1969">
        <v>6</v>
      </c>
      <c r="C1969" s="1" t="s">
        <v>8</v>
      </c>
      <c r="D1969" s="1" t="s">
        <v>16</v>
      </c>
      <c r="E1969" s="1" t="s">
        <v>11</v>
      </c>
      <c r="F1969" s="5">
        <v>1.9363999999999999</v>
      </c>
      <c r="G1969" s="5">
        <v>166.33234999999999</v>
      </c>
      <c r="H1969" s="5">
        <v>0.69710000000000005</v>
      </c>
      <c r="I1969">
        <v>156</v>
      </c>
      <c r="J1969" s="4" t="str">
        <f>IF(OR(Копия_20206[[#This Row],[Units (in 1000)]]&gt;$R$7,Копия_20206[[#This Row],[Units (in 1000)]]&lt;$R$6),"outlier","not outlier")</f>
        <v>not outlier</v>
      </c>
      <c r="K1969" s="4" t="str">
        <f>IF(OR(Копия_20206[[#This Row],[Value (in 1000 rub)]]&gt;$S$7,Копия_20206[[#This Row],[Value (in 1000 rub)]]&lt;$S$6),"outlier","not outlier")</f>
        <v>not outlier</v>
      </c>
      <c r="L1969" s="4" t="str">
        <f>IF(OR(Копия_20206[[#This Row],[Volume (in 1000 kg)]]&gt;$T$7,Копия_20206[[#This Row],[Volume (in 1000 kg)]]&lt;$T$6),"outlier","not outlier")</f>
        <v>not outlier</v>
      </c>
      <c r="M1969" s="4" t="str">
        <f>IF(OR(Копия_20206[[#This Row],[Number of stores]]&gt;$U$7,Копия_20206[[#This Row],[Number of stores]]&lt;$U$6),"outlier","not outlier")</f>
        <v>not outlier</v>
      </c>
    </row>
    <row r="1970" spans="1:13" x14ac:dyDescent="0.25">
      <c r="A1970">
        <v>2022</v>
      </c>
      <c r="B1970">
        <v>6</v>
      </c>
      <c r="C1970" s="1" t="s">
        <v>25</v>
      </c>
      <c r="D1970" s="1" t="s">
        <v>16</v>
      </c>
      <c r="E1970" s="1" t="s">
        <v>21</v>
      </c>
      <c r="F1970" s="5">
        <v>0.7601</v>
      </c>
      <c r="G1970" s="5">
        <v>47.310042000000003</v>
      </c>
      <c r="H1970" s="5">
        <v>0.19769999999999999</v>
      </c>
      <c r="I1970">
        <v>132</v>
      </c>
      <c r="J1970" s="4" t="str">
        <f>IF(OR(Копия_20206[[#This Row],[Units (in 1000)]]&gt;$R$7,Копия_20206[[#This Row],[Units (in 1000)]]&lt;$R$6),"outlier","not outlier")</f>
        <v>not outlier</v>
      </c>
      <c r="K1970" s="4" t="str">
        <f>IF(OR(Копия_20206[[#This Row],[Value (in 1000 rub)]]&gt;$S$7,Копия_20206[[#This Row],[Value (in 1000 rub)]]&lt;$S$6),"outlier","not outlier")</f>
        <v>not outlier</v>
      </c>
      <c r="L1970" s="4" t="str">
        <f>IF(OR(Копия_20206[[#This Row],[Volume (in 1000 kg)]]&gt;$T$7,Копия_20206[[#This Row],[Volume (in 1000 kg)]]&lt;$T$6),"outlier","not outlier")</f>
        <v>not outlier</v>
      </c>
      <c r="M1970" s="4" t="str">
        <f>IF(OR(Копия_20206[[#This Row],[Number of stores]]&gt;$U$7,Копия_20206[[#This Row],[Number of stores]]&lt;$U$6),"outlier","not outlier")</f>
        <v>not outlier</v>
      </c>
    </row>
    <row r="1971" spans="1:13" x14ac:dyDescent="0.25">
      <c r="A1971">
        <v>2022</v>
      </c>
      <c r="B1971">
        <v>6</v>
      </c>
      <c r="C1971" s="1" t="s">
        <v>25</v>
      </c>
      <c r="D1971" s="1" t="s">
        <v>16</v>
      </c>
      <c r="E1971" s="1" t="s">
        <v>11</v>
      </c>
      <c r="F1971" s="5">
        <v>4.6069000000000004</v>
      </c>
      <c r="G1971" s="5">
        <v>358.47950900000001</v>
      </c>
      <c r="H1971" s="5">
        <v>1.6584000000000001</v>
      </c>
      <c r="I1971">
        <v>1378</v>
      </c>
      <c r="J1971" s="4" t="str">
        <f>IF(OR(Копия_20206[[#This Row],[Units (in 1000)]]&gt;$R$7,Копия_20206[[#This Row],[Units (in 1000)]]&lt;$R$6),"outlier","not outlier")</f>
        <v>not outlier</v>
      </c>
      <c r="K1971" s="4" t="str">
        <f>IF(OR(Копия_20206[[#This Row],[Value (in 1000 rub)]]&gt;$S$7,Копия_20206[[#This Row],[Value (in 1000 rub)]]&lt;$S$6),"outlier","not outlier")</f>
        <v>not outlier</v>
      </c>
      <c r="L1971" s="4" t="str">
        <f>IF(OR(Копия_20206[[#This Row],[Volume (in 1000 kg)]]&gt;$T$7,Копия_20206[[#This Row],[Volume (in 1000 kg)]]&lt;$T$6),"outlier","not outlier")</f>
        <v>not outlier</v>
      </c>
      <c r="M1971" s="4" t="str">
        <f>IF(OR(Копия_20206[[#This Row],[Number of stores]]&gt;$U$7,Копия_20206[[#This Row],[Number of stores]]&lt;$U$6),"outlier","not outlier")</f>
        <v>not outlier</v>
      </c>
    </row>
    <row r="1972" spans="1:13" x14ac:dyDescent="0.25">
      <c r="A1972">
        <v>2022</v>
      </c>
      <c r="B1972">
        <v>6</v>
      </c>
      <c r="C1972" s="1" t="s">
        <v>29</v>
      </c>
      <c r="D1972" s="1" t="s">
        <v>16</v>
      </c>
      <c r="E1972" s="1" t="s">
        <v>21</v>
      </c>
      <c r="F1972" s="5">
        <v>2.2017000000000002</v>
      </c>
      <c r="G1972" s="5">
        <v>135.54107200000001</v>
      </c>
      <c r="H1972" s="5">
        <v>0.57240000000000002</v>
      </c>
      <c r="I1972">
        <v>359</v>
      </c>
      <c r="J1972" s="4" t="str">
        <f>IF(OR(Копия_20206[[#This Row],[Units (in 1000)]]&gt;$R$7,Копия_20206[[#This Row],[Units (in 1000)]]&lt;$R$6),"outlier","not outlier")</f>
        <v>not outlier</v>
      </c>
      <c r="K1972" s="4" t="str">
        <f>IF(OR(Копия_20206[[#This Row],[Value (in 1000 rub)]]&gt;$S$7,Копия_20206[[#This Row],[Value (in 1000 rub)]]&lt;$S$6),"outlier","not outlier")</f>
        <v>not outlier</v>
      </c>
      <c r="L1972" s="4" t="str">
        <f>IF(OR(Копия_20206[[#This Row],[Volume (in 1000 kg)]]&gt;$T$7,Копия_20206[[#This Row],[Volume (in 1000 kg)]]&lt;$T$6),"outlier","not outlier")</f>
        <v>not outlier</v>
      </c>
      <c r="M1972" s="4" t="str">
        <f>IF(OR(Копия_20206[[#This Row],[Number of stores]]&gt;$U$7,Копия_20206[[#This Row],[Number of stores]]&lt;$U$6),"outlier","not outlier")</f>
        <v>not outlier</v>
      </c>
    </row>
    <row r="1973" spans="1:13" x14ac:dyDescent="0.25">
      <c r="A1973">
        <v>2022</v>
      </c>
      <c r="B1973">
        <v>6</v>
      </c>
      <c r="C1973" s="1" t="s">
        <v>29</v>
      </c>
      <c r="D1973" s="1" t="s">
        <v>16</v>
      </c>
      <c r="E1973" s="1" t="s">
        <v>11</v>
      </c>
      <c r="F1973" s="5">
        <v>11.8421</v>
      </c>
      <c r="G1973" s="5">
        <v>998.02327500000001</v>
      </c>
      <c r="H1973" s="5">
        <v>4.2630999999999997</v>
      </c>
      <c r="I1973">
        <v>1694</v>
      </c>
      <c r="J1973" s="4" t="str">
        <f>IF(OR(Копия_20206[[#This Row],[Units (in 1000)]]&gt;$R$7,Копия_20206[[#This Row],[Units (in 1000)]]&lt;$R$6),"outlier","not outlier")</f>
        <v>not outlier</v>
      </c>
      <c r="K1973" s="4" t="str">
        <f>IF(OR(Копия_20206[[#This Row],[Value (in 1000 rub)]]&gt;$S$7,Копия_20206[[#This Row],[Value (in 1000 rub)]]&lt;$S$6),"outlier","not outlier")</f>
        <v>not outlier</v>
      </c>
      <c r="L1973" s="4" t="str">
        <f>IF(OR(Копия_20206[[#This Row],[Volume (in 1000 kg)]]&gt;$T$7,Копия_20206[[#This Row],[Volume (in 1000 kg)]]&lt;$T$6),"outlier","not outlier")</f>
        <v>not outlier</v>
      </c>
      <c r="M1973" s="4" t="str">
        <f>IF(OR(Копия_20206[[#This Row],[Number of stores]]&gt;$U$7,Копия_20206[[#This Row],[Number of stores]]&lt;$U$6),"outlier","not outlier")</f>
        <v>not outlier</v>
      </c>
    </row>
    <row r="1974" spans="1:13" x14ac:dyDescent="0.25">
      <c r="A1974">
        <v>2022</v>
      </c>
      <c r="B1974">
        <v>7</v>
      </c>
      <c r="C1974" s="1" t="s">
        <v>8</v>
      </c>
      <c r="D1974" s="1" t="s">
        <v>16</v>
      </c>
      <c r="E1974" s="1" t="s">
        <v>21</v>
      </c>
      <c r="F1974" s="5">
        <v>6.0499999999999998E-2</v>
      </c>
      <c r="G1974" s="5">
        <v>3.3097340000000002</v>
      </c>
      <c r="H1974" s="5">
        <v>1.5699999999999999E-2</v>
      </c>
      <c r="I1974">
        <v>6</v>
      </c>
      <c r="J1974" s="4" t="str">
        <f>IF(OR(Копия_20206[[#This Row],[Units (in 1000)]]&gt;$R$7,Копия_20206[[#This Row],[Units (in 1000)]]&lt;$R$6),"outlier","not outlier")</f>
        <v>not outlier</v>
      </c>
      <c r="K1974" s="4" t="str">
        <f>IF(OR(Копия_20206[[#This Row],[Value (in 1000 rub)]]&gt;$S$7,Копия_20206[[#This Row],[Value (in 1000 rub)]]&lt;$S$6),"outlier","not outlier")</f>
        <v>not outlier</v>
      </c>
      <c r="L1974" s="4" t="str">
        <f>IF(OR(Копия_20206[[#This Row],[Volume (in 1000 kg)]]&gt;$T$7,Копия_20206[[#This Row],[Volume (in 1000 kg)]]&lt;$T$6),"outlier","not outlier")</f>
        <v>not outlier</v>
      </c>
      <c r="M1974" s="4" t="str">
        <f>IF(OR(Копия_20206[[#This Row],[Number of stores]]&gt;$U$7,Копия_20206[[#This Row],[Number of stores]]&lt;$U$6),"outlier","not outlier")</f>
        <v>not outlier</v>
      </c>
    </row>
    <row r="1975" spans="1:13" x14ac:dyDescent="0.25">
      <c r="A1975">
        <v>2022</v>
      </c>
      <c r="B1975">
        <v>7</v>
      </c>
      <c r="C1975" s="1" t="s">
        <v>8</v>
      </c>
      <c r="D1975" s="1" t="s">
        <v>16</v>
      </c>
      <c r="E1975" s="1" t="s">
        <v>11</v>
      </c>
      <c r="F1975" s="5">
        <v>2.6688999999999998</v>
      </c>
      <c r="G1975" s="5">
        <v>170.50021699999999</v>
      </c>
      <c r="H1975" s="5">
        <v>0.96079999999999999</v>
      </c>
      <c r="I1975">
        <v>157</v>
      </c>
      <c r="J1975" s="4" t="str">
        <f>IF(OR(Копия_20206[[#This Row],[Units (in 1000)]]&gt;$R$7,Копия_20206[[#This Row],[Units (in 1000)]]&lt;$R$6),"outlier","not outlier")</f>
        <v>not outlier</v>
      </c>
      <c r="K1975" s="4" t="str">
        <f>IF(OR(Копия_20206[[#This Row],[Value (in 1000 rub)]]&gt;$S$7,Копия_20206[[#This Row],[Value (in 1000 rub)]]&lt;$S$6),"outlier","not outlier")</f>
        <v>not outlier</v>
      </c>
      <c r="L1975" s="4" t="str">
        <f>IF(OR(Копия_20206[[#This Row],[Volume (in 1000 kg)]]&gt;$T$7,Копия_20206[[#This Row],[Volume (in 1000 kg)]]&lt;$T$6),"outlier","not outlier")</f>
        <v>not outlier</v>
      </c>
      <c r="M1975" s="4" t="str">
        <f>IF(OR(Копия_20206[[#This Row],[Number of stores]]&gt;$U$7,Копия_20206[[#This Row],[Number of stores]]&lt;$U$6),"outlier","not outlier")</f>
        <v>not outlier</v>
      </c>
    </row>
    <row r="1976" spans="1:13" x14ac:dyDescent="0.25">
      <c r="A1976">
        <v>2022</v>
      </c>
      <c r="B1976">
        <v>7</v>
      </c>
      <c r="C1976" s="1" t="s">
        <v>25</v>
      </c>
      <c r="D1976" s="1" t="s">
        <v>16</v>
      </c>
      <c r="E1976" s="1" t="s">
        <v>21</v>
      </c>
      <c r="F1976" s="5">
        <v>1.0439000000000001</v>
      </c>
      <c r="G1976" s="5">
        <v>59.966875999999999</v>
      </c>
      <c r="H1976" s="5">
        <v>0.27150000000000002</v>
      </c>
      <c r="I1976">
        <v>133</v>
      </c>
      <c r="J1976" s="4" t="str">
        <f>IF(OR(Копия_20206[[#This Row],[Units (in 1000)]]&gt;$R$7,Копия_20206[[#This Row],[Units (in 1000)]]&lt;$R$6),"outlier","not outlier")</f>
        <v>not outlier</v>
      </c>
      <c r="K1976" s="4" t="str">
        <f>IF(OR(Копия_20206[[#This Row],[Value (in 1000 rub)]]&gt;$S$7,Копия_20206[[#This Row],[Value (in 1000 rub)]]&lt;$S$6),"outlier","not outlier")</f>
        <v>not outlier</v>
      </c>
      <c r="L1976" s="4" t="str">
        <f>IF(OR(Копия_20206[[#This Row],[Volume (in 1000 kg)]]&gt;$T$7,Копия_20206[[#This Row],[Volume (in 1000 kg)]]&lt;$T$6),"outlier","not outlier")</f>
        <v>not outlier</v>
      </c>
      <c r="M1976" s="4" t="str">
        <f>IF(OR(Копия_20206[[#This Row],[Number of stores]]&gt;$U$7,Копия_20206[[#This Row],[Number of stores]]&lt;$U$6),"outlier","not outlier")</f>
        <v>not outlier</v>
      </c>
    </row>
    <row r="1977" spans="1:13" x14ac:dyDescent="0.25">
      <c r="A1977">
        <v>2022</v>
      </c>
      <c r="B1977">
        <v>7</v>
      </c>
      <c r="C1977" s="1" t="s">
        <v>25</v>
      </c>
      <c r="D1977" s="1" t="s">
        <v>16</v>
      </c>
      <c r="E1977" s="1" t="s">
        <v>11</v>
      </c>
      <c r="F1977" s="5">
        <v>6.6272000000000002</v>
      </c>
      <c r="G1977" s="5">
        <v>438.45218399999999</v>
      </c>
      <c r="H1977" s="5">
        <v>2.3858000000000001</v>
      </c>
      <c r="I1977">
        <v>1430</v>
      </c>
      <c r="J1977" s="4" t="str">
        <f>IF(OR(Копия_20206[[#This Row],[Units (in 1000)]]&gt;$R$7,Копия_20206[[#This Row],[Units (in 1000)]]&lt;$R$6),"outlier","not outlier")</f>
        <v>not outlier</v>
      </c>
      <c r="K1977" s="4" t="str">
        <f>IF(OR(Копия_20206[[#This Row],[Value (in 1000 rub)]]&gt;$S$7,Копия_20206[[#This Row],[Value (in 1000 rub)]]&lt;$S$6),"outlier","not outlier")</f>
        <v>not outlier</v>
      </c>
      <c r="L1977" s="4" t="str">
        <f>IF(OR(Копия_20206[[#This Row],[Volume (in 1000 kg)]]&gt;$T$7,Копия_20206[[#This Row],[Volume (in 1000 kg)]]&lt;$T$6),"outlier","not outlier")</f>
        <v>not outlier</v>
      </c>
      <c r="M1977" s="4" t="str">
        <f>IF(OR(Копия_20206[[#This Row],[Number of stores]]&gt;$U$7,Копия_20206[[#This Row],[Number of stores]]&lt;$U$6),"outlier","not outlier")</f>
        <v>not outlier</v>
      </c>
    </row>
    <row r="1978" spans="1:13" x14ac:dyDescent="0.25">
      <c r="A1978">
        <v>2022</v>
      </c>
      <c r="B1978">
        <v>7</v>
      </c>
      <c r="C1978" s="1" t="s">
        <v>29</v>
      </c>
      <c r="D1978" s="1" t="s">
        <v>16</v>
      </c>
      <c r="E1978" s="1" t="s">
        <v>21</v>
      </c>
      <c r="F1978" s="5">
        <v>2.8408000000000002</v>
      </c>
      <c r="G1978" s="5">
        <v>162.03147300000001</v>
      </c>
      <c r="H1978" s="5">
        <v>0.73860000000000003</v>
      </c>
      <c r="I1978">
        <v>357</v>
      </c>
      <c r="J1978" s="4" t="str">
        <f>IF(OR(Копия_20206[[#This Row],[Units (in 1000)]]&gt;$R$7,Копия_20206[[#This Row],[Units (in 1000)]]&lt;$R$6),"outlier","not outlier")</f>
        <v>not outlier</v>
      </c>
      <c r="K1978" s="4" t="str">
        <f>IF(OR(Копия_20206[[#This Row],[Value (in 1000 rub)]]&gt;$S$7,Копия_20206[[#This Row],[Value (in 1000 rub)]]&lt;$S$6),"outlier","not outlier")</f>
        <v>not outlier</v>
      </c>
      <c r="L1978" s="4" t="str">
        <f>IF(OR(Копия_20206[[#This Row],[Volume (in 1000 kg)]]&gt;$T$7,Копия_20206[[#This Row],[Volume (in 1000 kg)]]&lt;$T$6),"outlier","not outlier")</f>
        <v>not outlier</v>
      </c>
      <c r="M1978" s="4" t="str">
        <f>IF(OR(Копия_20206[[#This Row],[Number of stores]]&gt;$U$7,Копия_20206[[#This Row],[Number of stores]]&lt;$U$6),"outlier","not outlier")</f>
        <v>not outlier</v>
      </c>
    </row>
    <row r="1979" spans="1:13" x14ac:dyDescent="0.25">
      <c r="A1979">
        <v>2022</v>
      </c>
      <c r="B1979">
        <v>7</v>
      </c>
      <c r="C1979" s="1" t="s">
        <v>29</v>
      </c>
      <c r="D1979" s="1" t="s">
        <v>16</v>
      </c>
      <c r="E1979" s="1" t="s">
        <v>11</v>
      </c>
      <c r="F1979" s="5">
        <v>23.921399999999998</v>
      </c>
      <c r="G1979" s="5">
        <v>1649.0916990000001</v>
      </c>
      <c r="H1979" s="5">
        <v>8.6118000000000006</v>
      </c>
      <c r="I1979">
        <v>1727</v>
      </c>
      <c r="J1979" s="4" t="str">
        <f>IF(OR(Копия_20206[[#This Row],[Units (in 1000)]]&gt;$R$7,Копия_20206[[#This Row],[Units (in 1000)]]&lt;$R$6),"outlier","not outlier")</f>
        <v>outlier</v>
      </c>
      <c r="K1979" s="4" t="str">
        <f>IF(OR(Копия_20206[[#This Row],[Value (in 1000 rub)]]&gt;$S$7,Копия_20206[[#This Row],[Value (in 1000 rub)]]&lt;$S$6),"outlier","not outlier")</f>
        <v>not outlier</v>
      </c>
      <c r="L1979" s="4" t="str">
        <f>IF(OR(Копия_20206[[#This Row],[Volume (in 1000 kg)]]&gt;$T$7,Копия_20206[[#This Row],[Volume (in 1000 kg)]]&lt;$T$6),"outlier","not outlier")</f>
        <v>outlier</v>
      </c>
      <c r="M1979" s="4" t="str">
        <f>IF(OR(Копия_20206[[#This Row],[Number of stores]]&gt;$U$7,Копия_20206[[#This Row],[Number of stores]]&lt;$U$6),"outlier","not outlier")</f>
        <v>not outlier</v>
      </c>
    </row>
    <row r="1980" spans="1:13" x14ac:dyDescent="0.25">
      <c r="A1980">
        <v>2022</v>
      </c>
      <c r="B1980">
        <v>8</v>
      </c>
      <c r="C1980" s="1" t="s">
        <v>8</v>
      </c>
      <c r="D1980" s="1" t="s">
        <v>16</v>
      </c>
      <c r="E1980" s="1" t="s">
        <v>21</v>
      </c>
      <c r="F1980" s="5">
        <v>4.1399999999999999E-2</v>
      </c>
      <c r="G1980" s="5">
        <v>2.1983779999999999</v>
      </c>
      <c r="H1980" s="5">
        <v>1.0699999999999999E-2</v>
      </c>
      <c r="I1980">
        <v>4</v>
      </c>
      <c r="J1980" s="4" t="str">
        <f>IF(OR(Копия_20206[[#This Row],[Units (in 1000)]]&gt;$R$7,Копия_20206[[#This Row],[Units (in 1000)]]&lt;$R$6),"outlier","not outlier")</f>
        <v>not outlier</v>
      </c>
      <c r="K1980" s="4" t="str">
        <f>IF(OR(Копия_20206[[#This Row],[Value (in 1000 rub)]]&gt;$S$7,Копия_20206[[#This Row],[Value (in 1000 rub)]]&lt;$S$6),"outlier","not outlier")</f>
        <v>not outlier</v>
      </c>
      <c r="L1980" s="4" t="str">
        <f>IF(OR(Копия_20206[[#This Row],[Volume (in 1000 kg)]]&gt;$T$7,Копия_20206[[#This Row],[Volume (in 1000 kg)]]&lt;$T$6),"outlier","not outlier")</f>
        <v>not outlier</v>
      </c>
      <c r="M1980" s="4" t="str">
        <f>IF(OR(Копия_20206[[#This Row],[Number of stores]]&gt;$U$7,Копия_20206[[#This Row],[Number of stores]]&lt;$U$6),"outlier","not outlier")</f>
        <v>not outlier</v>
      </c>
    </row>
    <row r="1981" spans="1:13" x14ac:dyDescent="0.25">
      <c r="A1981">
        <v>2022</v>
      </c>
      <c r="B1981">
        <v>8</v>
      </c>
      <c r="C1981" s="1" t="s">
        <v>8</v>
      </c>
      <c r="D1981" s="1" t="s">
        <v>16</v>
      </c>
      <c r="E1981" s="1" t="s">
        <v>11</v>
      </c>
      <c r="F1981" s="5">
        <v>2.4137</v>
      </c>
      <c r="G1981" s="5">
        <v>161.85470100000001</v>
      </c>
      <c r="H1981" s="5">
        <v>0.86890000000000001</v>
      </c>
      <c r="I1981">
        <v>156</v>
      </c>
      <c r="J1981" s="4" t="str">
        <f>IF(OR(Копия_20206[[#This Row],[Units (in 1000)]]&gt;$R$7,Копия_20206[[#This Row],[Units (in 1000)]]&lt;$R$6),"outlier","not outlier")</f>
        <v>not outlier</v>
      </c>
      <c r="K1981" s="4" t="str">
        <f>IF(OR(Копия_20206[[#This Row],[Value (in 1000 rub)]]&gt;$S$7,Копия_20206[[#This Row],[Value (in 1000 rub)]]&lt;$S$6),"outlier","not outlier")</f>
        <v>not outlier</v>
      </c>
      <c r="L1981" s="4" t="str">
        <f>IF(OR(Копия_20206[[#This Row],[Volume (in 1000 kg)]]&gt;$T$7,Копия_20206[[#This Row],[Volume (in 1000 kg)]]&lt;$T$6),"outlier","not outlier")</f>
        <v>not outlier</v>
      </c>
      <c r="M1981" s="4" t="str">
        <f>IF(OR(Копия_20206[[#This Row],[Number of stores]]&gt;$U$7,Копия_20206[[#This Row],[Number of stores]]&lt;$U$6),"outlier","not outlier")</f>
        <v>not outlier</v>
      </c>
    </row>
    <row r="1982" spans="1:13" x14ac:dyDescent="0.25">
      <c r="A1982">
        <v>2022</v>
      </c>
      <c r="B1982">
        <v>8</v>
      </c>
      <c r="C1982" s="1" t="s">
        <v>25</v>
      </c>
      <c r="D1982" s="1" t="s">
        <v>16</v>
      </c>
      <c r="E1982" s="1" t="s">
        <v>21</v>
      </c>
      <c r="F1982" s="5">
        <v>1.0464</v>
      </c>
      <c r="G1982" s="5">
        <v>61.849902</v>
      </c>
      <c r="H1982" s="5">
        <v>0.27210000000000001</v>
      </c>
      <c r="I1982">
        <v>200</v>
      </c>
      <c r="J1982" s="4" t="str">
        <f>IF(OR(Копия_20206[[#This Row],[Units (in 1000)]]&gt;$R$7,Копия_20206[[#This Row],[Units (in 1000)]]&lt;$R$6),"outlier","not outlier")</f>
        <v>not outlier</v>
      </c>
      <c r="K1982" s="4" t="str">
        <f>IF(OR(Копия_20206[[#This Row],[Value (in 1000 rub)]]&gt;$S$7,Копия_20206[[#This Row],[Value (in 1000 rub)]]&lt;$S$6),"outlier","not outlier")</f>
        <v>not outlier</v>
      </c>
      <c r="L1982" s="4" t="str">
        <f>IF(OR(Копия_20206[[#This Row],[Volume (in 1000 kg)]]&gt;$T$7,Копия_20206[[#This Row],[Volume (in 1000 kg)]]&lt;$T$6),"outlier","not outlier")</f>
        <v>not outlier</v>
      </c>
      <c r="M1982" s="4" t="str">
        <f>IF(OR(Копия_20206[[#This Row],[Number of stores]]&gt;$U$7,Копия_20206[[#This Row],[Number of stores]]&lt;$U$6),"outlier","not outlier")</f>
        <v>not outlier</v>
      </c>
    </row>
    <row r="1983" spans="1:13" x14ac:dyDescent="0.25">
      <c r="A1983">
        <v>2022</v>
      </c>
      <c r="B1983">
        <v>8</v>
      </c>
      <c r="C1983" s="1" t="s">
        <v>25</v>
      </c>
      <c r="D1983" s="1" t="s">
        <v>16</v>
      </c>
      <c r="E1983" s="1" t="s">
        <v>11</v>
      </c>
      <c r="F1983" s="5">
        <v>6.7550999999999997</v>
      </c>
      <c r="G1983" s="5">
        <v>479.08673099999999</v>
      </c>
      <c r="H1983" s="5">
        <v>2.4318</v>
      </c>
      <c r="I1983">
        <v>1405</v>
      </c>
      <c r="J1983" s="4" t="str">
        <f>IF(OR(Копия_20206[[#This Row],[Units (in 1000)]]&gt;$R$7,Копия_20206[[#This Row],[Units (in 1000)]]&lt;$R$6),"outlier","not outlier")</f>
        <v>not outlier</v>
      </c>
      <c r="K1983" s="4" t="str">
        <f>IF(OR(Копия_20206[[#This Row],[Value (in 1000 rub)]]&gt;$S$7,Копия_20206[[#This Row],[Value (in 1000 rub)]]&lt;$S$6),"outlier","not outlier")</f>
        <v>not outlier</v>
      </c>
      <c r="L1983" s="4" t="str">
        <f>IF(OR(Копия_20206[[#This Row],[Volume (in 1000 kg)]]&gt;$T$7,Копия_20206[[#This Row],[Volume (in 1000 kg)]]&lt;$T$6),"outlier","not outlier")</f>
        <v>not outlier</v>
      </c>
      <c r="M1983" s="4" t="str">
        <f>IF(OR(Копия_20206[[#This Row],[Number of stores]]&gt;$U$7,Копия_20206[[#This Row],[Number of stores]]&lt;$U$6),"outlier","not outlier")</f>
        <v>not outlier</v>
      </c>
    </row>
    <row r="1984" spans="1:13" x14ac:dyDescent="0.25">
      <c r="A1984">
        <v>2022</v>
      </c>
      <c r="B1984">
        <v>8</v>
      </c>
      <c r="C1984" s="1" t="s">
        <v>29</v>
      </c>
      <c r="D1984" s="1" t="s">
        <v>16</v>
      </c>
      <c r="E1984" s="1" t="s">
        <v>21</v>
      </c>
      <c r="F1984" s="5">
        <v>2.8089</v>
      </c>
      <c r="G1984" s="5">
        <v>160.881395</v>
      </c>
      <c r="H1984" s="5">
        <v>0.73029999999999995</v>
      </c>
      <c r="I1984">
        <v>350</v>
      </c>
      <c r="J1984" s="4" t="str">
        <f>IF(OR(Копия_20206[[#This Row],[Units (in 1000)]]&gt;$R$7,Копия_20206[[#This Row],[Units (in 1000)]]&lt;$R$6),"outlier","not outlier")</f>
        <v>not outlier</v>
      </c>
      <c r="K1984" s="4" t="str">
        <f>IF(OR(Копия_20206[[#This Row],[Value (in 1000 rub)]]&gt;$S$7,Копия_20206[[#This Row],[Value (in 1000 rub)]]&lt;$S$6),"outlier","not outlier")</f>
        <v>not outlier</v>
      </c>
      <c r="L1984" s="4" t="str">
        <f>IF(OR(Копия_20206[[#This Row],[Volume (in 1000 kg)]]&gt;$T$7,Копия_20206[[#This Row],[Volume (in 1000 kg)]]&lt;$T$6),"outlier","not outlier")</f>
        <v>not outlier</v>
      </c>
      <c r="M1984" s="4" t="str">
        <f>IF(OR(Копия_20206[[#This Row],[Number of stores]]&gt;$U$7,Копия_20206[[#This Row],[Number of stores]]&lt;$U$6),"outlier","not outlier")</f>
        <v>not outlier</v>
      </c>
    </row>
    <row r="1985" spans="1:13" x14ac:dyDescent="0.25">
      <c r="A1985">
        <v>2022</v>
      </c>
      <c r="B1985">
        <v>8</v>
      </c>
      <c r="C1985" s="1" t="s">
        <v>29</v>
      </c>
      <c r="D1985" s="1" t="s">
        <v>16</v>
      </c>
      <c r="E1985" s="1" t="s">
        <v>11</v>
      </c>
      <c r="F1985" s="5">
        <v>13.5756</v>
      </c>
      <c r="G1985" s="5">
        <v>1101.436074</v>
      </c>
      <c r="H1985" s="5">
        <v>4.8872</v>
      </c>
      <c r="I1985">
        <v>1795</v>
      </c>
      <c r="J1985" s="4" t="str">
        <f>IF(OR(Копия_20206[[#This Row],[Units (in 1000)]]&gt;$R$7,Копия_20206[[#This Row],[Units (in 1000)]]&lt;$R$6),"outlier","not outlier")</f>
        <v>not outlier</v>
      </c>
      <c r="K1985" s="4" t="str">
        <f>IF(OR(Копия_20206[[#This Row],[Value (in 1000 rub)]]&gt;$S$7,Копия_20206[[#This Row],[Value (in 1000 rub)]]&lt;$S$6),"outlier","not outlier")</f>
        <v>not outlier</v>
      </c>
      <c r="L1985" s="4" t="str">
        <f>IF(OR(Копия_20206[[#This Row],[Volume (in 1000 kg)]]&gt;$T$7,Копия_20206[[#This Row],[Volume (in 1000 kg)]]&lt;$T$6),"outlier","not outlier")</f>
        <v>not outlier</v>
      </c>
      <c r="M1985" s="4" t="str">
        <f>IF(OR(Копия_20206[[#This Row],[Number of stores]]&gt;$U$7,Копия_20206[[#This Row],[Number of stores]]&lt;$U$6),"outlier","not outlier")</f>
        <v>not outlier</v>
      </c>
    </row>
    <row r="1986" spans="1:13" x14ac:dyDescent="0.25">
      <c r="A1986">
        <v>2022</v>
      </c>
      <c r="B1986">
        <v>9</v>
      </c>
      <c r="C1986" s="1" t="s">
        <v>8</v>
      </c>
      <c r="D1986" s="1" t="s">
        <v>16</v>
      </c>
      <c r="E1986" s="1" t="s">
        <v>21</v>
      </c>
      <c r="F1986" s="5">
        <v>5.3800000000000001E-2</v>
      </c>
      <c r="G1986" s="5">
        <v>3.2104729999999999</v>
      </c>
      <c r="H1986" s="5">
        <v>1.4E-2</v>
      </c>
      <c r="I1986">
        <v>4</v>
      </c>
      <c r="J1986" s="4" t="str">
        <f>IF(OR(Копия_20206[[#This Row],[Units (in 1000)]]&gt;$R$7,Копия_20206[[#This Row],[Units (in 1000)]]&lt;$R$6),"outlier","not outlier")</f>
        <v>not outlier</v>
      </c>
      <c r="K1986" s="4" t="str">
        <f>IF(OR(Копия_20206[[#This Row],[Value (in 1000 rub)]]&gt;$S$7,Копия_20206[[#This Row],[Value (in 1000 rub)]]&lt;$S$6),"outlier","not outlier")</f>
        <v>not outlier</v>
      </c>
      <c r="L1986" s="4" t="str">
        <f>IF(OR(Копия_20206[[#This Row],[Volume (in 1000 kg)]]&gt;$T$7,Копия_20206[[#This Row],[Volume (in 1000 kg)]]&lt;$T$6),"outlier","not outlier")</f>
        <v>not outlier</v>
      </c>
      <c r="M1986" s="4" t="str">
        <f>IF(OR(Копия_20206[[#This Row],[Number of stores]]&gt;$U$7,Копия_20206[[#This Row],[Number of stores]]&lt;$U$6),"outlier","not outlier")</f>
        <v>not outlier</v>
      </c>
    </row>
    <row r="1987" spans="1:13" x14ac:dyDescent="0.25">
      <c r="A1987">
        <v>2022</v>
      </c>
      <c r="B1987">
        <v>9</v>
      </c>
      <c r="C1987" s="1" t="s">
        <v>8</v>
      </c>
      <c r="D1987" s="1" t="s">
        <v>16</v>
      </c>
      <c r="E1987" s="1" t="s">
        <v>11</v>
      </c>
      <c r="F1987" s="5">
        <v>2.4312999999999998</v>
      </c>
      <c r="G1987" s="5">
        <v>168.27213399999999</v>
      </c>
      <c r="H1987" s="5">
        <v>0.87529999999999997</v>
      </c>
      <c r="I1987">
        <v>159</v>
      </c>
      <c r="J1987" s="4" t="str">
        <f>IF(OR(Копия_20206[[#This Row],[Units (in 1000)]]&gt;$R$7,Копия_20206[[#This Row],[Units (in 1000)]]&lt;$R$6),"outlier","not outlier")</f>
        <v>not outlier</v>
      </c>
      <c r="K1987" s="4" t="str">
        <f>IF(OR(Копия_20206[[#This Row],[Value (in 1000 rub)]]&gt;$S$7,Копия_20206[[#This Row],[Value (in 1000 rub)]]&lt;$S$6),"outlier","not outlier")</f>
        <v>not outlier</v>
      </c>
      <c r="L1987" s="4" t="str">
        <f>IF(OR(Копия_20206[[#This Row],[Volume (in 1000 kg)]]&gt;$T$7,Копия_20206[[#This Row],[Volume (in 1000 kg)]]&lt;$T$6),"outlier","not outlier")</f>
        <v>not outlier</v>
      </c>
      <c r="M1987" s="4" t="str">
        <f>IF(OR(Копия_20206[[#This Row],[Number of stores]]&gt;$U$7,Копия_20206[[#This Row],[Number of stores]]&lt;$U$6),"outlier","not outlier")</f>
        <v>not outlier</v>
      </c>
    </row>
    <row r="1988" spans="1:13" x14ac:dyDescent="0.25">
      <c r="A1988">
        <v>2022</v>
      </c>
      <c r="B1988">
        <v>9</v>
      </c>
      <c r="C1988" s="1" t="s">
        <v>25</v>
      </c>
      <c r="D1988" s="1" t="s">
        <v>16</v>
      </c>
      <c r="E1988" s="1" t="s">
        <v>21</v>
      </c>
      <c r="F1988" s="5">
        <v>0.78269999999999995</v>
      </c>
      <c r="G1988" s="5">
        <v>48.973263000000003</v>
      </c>
      <c r="H1988" s="5">
        <v>0.20349999999999999</v>
      </c>
      <c r="I1988">
        <v>191</v>
      </c>
      <c r="J1988" s="4" t="str">
        <f>IF(OR(Копия_20206[[#This Row],[Units (in 1000)]]&gt;$R$7,Копия_20206[[#This Row],[Units (in 1000)]]&lt;$R$6),"outlier","not outlier")</f>
        <v>not outlier</v>
      </c>
      <c r="K1988" s="4" t="str">
        <f>IF(OR(Копия_20206[[#This Row],[Value (in 1000 rub)]]&gt;$S$7,Копия_20206[[#This Row],[Value (in 1000 rub)]]&lt;$S$6),"outlier","not outlier")</f>
        <v>not outlier</v>
      </c>
      <c r="L1988" s="4" t="str">
        <f>IF(OR(Копия_20206[[#This Row],[Volume (in 1000 kg)]]&gt;$T$7,Копия_20206[[#This Row],[Volume (in 1000 kg)]]&lt;$T$6),"outlier","not outlier")</f>
        <v>not outlier</v>
      </c>
      <c r="M1988" s="4" t="str">
        <f>IF(OR(Копия_20206[[#This Row],[Number of stores]]&gt;$U$7,Копия_20206[[#This Row],[Number of stores]]&lt;$U$6),"outlier","not outlier")</f>
        <v>not outlier</v>
      </c>
    </row>
    <row r="1989" spans="1:13" x14ac:dyDescent="0.25">
      <c r="A1989">
        <v>2022</v>
      </c>
      <c r="B1989">
        <v>9</v>
      </c>
      <c r="C1989" s="1" t="s">
        <v>25</v>
      </c>
      <c r="D1989" s="1" t="s">
        <v>16</v>
      </c>
      <c r="E1989" s="1" t="s">
        <v>11</v>
      </c>
      <c r="F1989" s="5">
        <v>14.0677</v>
      </c>
      <c r="G1989" s="5">
        <v>770.71858399999996</v>
      </c>
      <c r="H1989" s="5">
        <v>5.0643000000000002</v>
      </c>
      <c r="I1989">
        <v>1386</v>
      </c>
      <c r="J1989" s="4" t="str">
        <f>IF(OR(Копия_20206[[#This Row],[Units (in 1000)]]&gt;$R$7,Копия_20206[[#This Row],[Units (in 1000)]]&lt;$R$6),"outlier","not outlier")</f>
        <v>not outlier</v>
      </c>
      <c r="K1989" s="4" t="str">
        <f>IF(OR(Копия_20206[[#This Row],[Value (in 1000 rub)]]&gt;$S$7,Копия_20206[[#This Row],[Value (in 1000 rub)]]&lt;$S$6),"outlier","not outlier")</f>
        <v>not outlier</v>
      </c>
      <c r="L1989" s="4" t="str">
        <f>IF(OR(Копия_20206[[#This Row],[Volume (in 1000 kg)]]&gt;$T$7,Копия_20206[[#This Row],[Volume (in 1000 kg)]]&lt;$T$6),"outlier","not outlier")</f>
        <v>not outlier</v>
      </c>
      <c r="M1989" s="4" t="str">
        <f>IF(OR(Копия_20206[[#This Row],[Number of stores]]&gt;$U$7,Копия_20206[[#This Row],[Number of stores]]&lt;$U$6),"outlier","not outlier")</f>
        <v>not outlier</v>
      </c>
    </row>
    <row r="1990" spans="1:13" x14ac:dyDescent="0.25">
      <c r="A1990">
        <v>2022</v>
      </c>
      <c r="B1990">
        <v>9</v>
      </c>
      <c r="C1990" s="1" t="s">
        <v>29</v>
      </c>
      <c r="D1990" s="1" t="s">
        <v>16</v>
      </c>
      <c r="E1990" s="1" t="s">
        <v>21</v>
      </c>
      <c r="F1990" s="5">
        <v>2.4691999999999998</v>
      </c>
      <c r="G1990" s="5">
        <v>153.16091499999999</v>
      </c>
      <c r="H1990" s="5">
        <v>0.64200000000000002</v>
      </c>
      <c r="I1990">
        <v>338</v>
      </c>
      <c r="J1990" s="4" t="str">
        <f>IF(OR(Копия_20206[[#This Row],[Units (in 1000)]]&gt;$R$7,Копия_20206[[#This Row],[Units (in 1000)]]&lt;$R$6),"outlier","not outlier")</f>
        <v>not outlier</v>
      </c>
      <c r="K1990" s="4" t="str">
        <f>IF(OR(Копия_20206[[#This Row],[Value (in 1000 rub)]]&gt;$S$7,Копия_20206[[#This Row],[Value (in 1000 rub)]]&lt;$S$6),"outlier","not outlier")</f>
        <v>not outlier</v>
      </c>
      <c r="L1990" s="4" t="str">
        <f>IF(OR(Копия_20206[[#This Row],[Volume (in 1000 kg)]]&gt;$T$7,Копия_20206[[#This Row],[Volume (in 1000 kg)]]&lt;$T$6),"outlier","not outlier")</f>
        <v>not outlier</v>
      </c>
      <c r="M1990" s="4" t="str">
        <f>IF(OR(Копия_20206[[#This Row],[Number of stores]]&gt;$U$7,Копия_20206[[#This Row],[Number of stores]]&lt;$U$6),"outlier","not outlier")</f>
        <v>not outlier</v>
      </c>
    </row>
    <row r="1991" spans="1:13" x14ac:dyDescent="0.25">
      <c r="A1991">
        <v>2022</v>
      </c>
      <c r="B1991">
        <v>9</v>
      </c>
      <c r="C1991" s="1" t="s">
        <v>29</v>
      </c>
      <c r="D1991" s="1" t="s">
        <v>16</v>
      </c>
      <c r="E1991" s="1" t="s">
        <v>11</v>
      </c>
      <c r="F1991" s="5">
        <v>26.1782</v>
      </c>
      <c r="G1991" s="5">
        <v>1815.597704</v>
      </c>
      <c r="H1991" s="5">
        <v>9.4240999999999993</v>
      </c>
      <c r="I1991">
        <v>1827</v>
      </c>
      <c r="J1991" s="4" t="str">
        <f>IF(OR(Копия_20206[[#This Row],[Units (in 1000)]]&gt;$R$7,Копия_20206[[#This Row],[Units (in 1000)]]&lt;$R$6),"outlier","not outlier")</f>
        <v>outlier</v>
      </c>
      <c r="K1991" s="4" t="str">
        <f>IF(OR(Копия_20206[[#This Row],[Value (in 1000 rub)]]&gt;$S$7,Копия_20206[[#This Row],[Value (in 1000 rub)]]&lt;$S$6),"outlier","not outlier")</f>
        <v>not outlier</v>
      </c>
      <c r="L1991" s="4" t="str">
        <f>IF(OR(Копия_20206[[#This Row],[Volume (in 1000 kg)]]&gt;$T$7,Копия_20206[[#This Row],[Volume (in 1000 kg)]]&lt;$T$6),"outlier","not outlier")</f>
        <v>outlier</v>
      </c>
      <c r="M1991" s="4" t="str">
        <f>IF(OR(Копия_20206[[#This Row],[Number of stores]]&gt;$U$7,Копия_20206[[#This Row],[Number of stores]]&lt;$U$6),"outlier","not outlier")</f>
        <v>not outlier</v>
      </c>
    </row>
    <row r="1992" spans="1:13" x14ac:dyDescent="0.25">
      <c r="A1992">
        <v>2022</v>
      </c>
      <c r="B1992">
        <v>10</v>
      </c>
      <c r="C1992" s="1" t="s">
        <v>8</v>
      </c>
      <c r="D1992" s="1" t="s">
        <v>16</v>
      </c>
      <c r="E1992" s="1" t="s">
        <v>21</v>
      </c>
      <c r="F1992" s="5">
        <v>3.9300000000000002E-2</v>
      </c>
      <c r="G1992" s="5">
        <v>2.3331119999999999</v>
      </c>
      <c r="H1992" s="5">
        <v>1.0200000000000001E-2</v>
      </c>
      <c r="I1992">
        <v>4</v>
      </c>
      <c r="J1992" s="4" t="str">
        <f>IF(OR(Копия_20206[[#This Row],[Units (in 1000)]]&gt;$R$7,Копия_20206[[#This Row],[Units (in 1000)]]&lt;$R$6),"outlier","not outlier")</f>
        <v>not outlier</v>
      </c>
      <c r="K1992" s="4" t="str">
        <f>IF(OR(Копия_20206[[#This Row],[Value (in 1000 rub)]]&gt;$S$7,Копия_20206[[#This Row],[Value (in 1000 rub)]]&lt;$S$6),"outlier","not outlier")</f>
        <v>not outlier</v>
      </c>
      <c r="L1992" s="4" t="str">
        <f>IF(OR(Копия_20206[[#This Row],[Volume (in 1000 kg)]]&gt;$T$7,Копия_20206[[#This Row],[Volume (in 1000 kg)]]&lt;$T$6),"outlier","not outlier")</f>
        <v>not outlier</v>
      </c>
      <c r="M1992" s="4" t="str">
        <f>IF(OR(Копия_20206[[#This Row],[Number of stores]]&gt;$U$7,Копия_20206[[#This Row],[Number of stores]]&lt;$U$6),"outlier","not outlier")</f>
        <v>not outlier</v>
      </c>
    </row>
    <row r="1993" spans="1:13" x14ac:dyDescent="0.25">
      <c r="A1993">
        <v>2022</v>
      </c>
      <c r="B1993">
        <v>10</v>
      </c>
      <c r="C1993" s="1" t="s">
        <v>8</v>
      </c>
      <c r="D1993" s="1" t="s">
        <v>16</v>
      </c>
      <c r="E1993" s="1" t="s">
        <v>11</v>
      </c>
      <c r="F1993" s="5">
        <v>2.3325</v>
      </c>
      <c r="G1993" s="5">
        <v>168.95727500000001</v>
      </c>
      <c r="H1993" s="5">
        <v>0.8397</v>
      </c>
      <c r="I1993">
        <v>157</v>
      </c>
      <c r="J1993" s="4" t="str">
        <f>IF(OR(Копия_20206[[#This Row],[Units (in 1000)]]&gt;$R$7,Копия_20206[[#This Row],[Units (in 1000)]]&lt;$R$6),"outlier","not outlier")</f>
        <v>not outlier</v>
      </c>
      <c r="K1993" s="4" t="str">
        <f>IF(OR(Копия_20206[[#This Row],[Value (in 1000 rub)]]&gt;$S$7,Копия_20206[[#This Row],[Value (in 1000 rub)]]&lt;$S$6),"outlier","not outlier")</f>
        <v>not outlier</v>
      </c>
      <c r="L1993" s="4" t="str">
        <f>IF(OR(Копия_20206[[#This Row],[Volume (in 1000 kg)]]&gt;$T$7,Копия_20206[[#This Row],[Volume (in 1000 kg)]]&lt;$T$6),"outlier","not outlier")</f>
        <v>not outlier</v>
      </c>
      <c r="M1993" s="4" t="str">
        <f>IF(OR(Копия_20206[[#This Row],[Number of stores]]&gt;$U$7,Копия_20206[[#This Row],[Number of stores]]&lt;$U$6),"outlier","not outlier")</f>
        <v>not outlier</v>
      </c>
    </row>
    <row r="1994" spans="1:13" x14ac:dyDescent="0.25">
      <c r="A1994">
        <v>2022</v>
      </c>
      <c r="B1994">
        <v>10</v>
      </c>
      <c r="C1994" s="1" t="s">
        <v>25</v>
      </c>
      <c r="D1994" s="1" t="s">
        <v>16</v>
      </c>
      <c r="E1994" s="1" t="s">
        <v>21</v>
      </c>
      <c r="F1994" s="5">
        <v>0.84799999999999998</v>
      </c>
      <c r="G1994" s="5">
        <v>53.446204000000002</v>
      </c>
      <c r="H1994" s="5">
        <v>0.2205</v>
      </c>
      <c r="I1994">
        <v>193</v>
      </c>
      <c r="J1994" s="4" t="str">
        <f>IF(OR(Копия_20206[[#This Row],[Units (in 1000)]]&gt;$R$7,Копия_20206[[#This Row],[Units (in 1000)]]&lt;$R$6),"outlier","not outlier")</f>
        <v>not outlier</v>
      </c>
      <c r="K1994" s="4" t="str">
        <f>IF(OR(Копия_20206[[#This Row],[Value (in 1000 rub)]]&gt;$S$7,Копия_20206[[#This Row],[Value (in 1000 rub)]]&lt;$S$6),"outlier","not outlier")</f>
        <v>not outlier</v>
      </c>
      <c r="L1994" s="4" t="str">
        <f>IF(OR(Копия_20206[[#This Row],[Volume (in 1000 kg)]]&gt;$T$7,Копия_20206[[#This Row],[Volume (in 1000 kg)]]&lt;$T$6),"outlier","not outlier")</f>
        <v>not outlier</v>
      </c>
      <c r="M1994" s="4" t="str">
        <f>IF(OR(Копия_20206[[#This Row],[Number of stores]]&gt;$U$7,Копия_20206[[#This Row],[Number of stores]]&lt;$U$6),"outlier","not outlier")</f>
        <v>not outlier</v>
      </c>
    </row>
    <row r="1995" spans="1:13" x14ac:dyDescent="0.25">
      <c r="A1995">
        <v>2022</v>
      </c>
      <c r="B1995">
        <v>10</v>
      </c>
      <c r="C1995" s="1" t="s">
        <v>25</v>
      </c>
      <c r="D1995" s="1" t="s">
        <v>16</v>
      </c>
      <c r="E1995" s="1" t="s">
        <v>11</v>
      </c>
      <c r="F1995" s="5">
        <v>10.3903</v>
      </c>
      <c r="G1995" s="5">
        <v>648.87627899999995</v>
      </c>
      <c r="H1995" s="5">
        <v>3.7404999999999999</v>
      </c>
      <c r="I1995">
        <v>1361</v>
      </c>
      <c r="J1995" s="4" t="str">
        <f>IF(OR(Копия_20206[[#This Row],[Units (in 1000)]]&gt;$R$7,Копия_20206[[#This Row],[Units (in 1000)]]&lt;$R$6),"outlier","not outlier")</f>
        <v>not outlier</v>
      </c>
      <c r="K1995" s="4" t="str">
        <f>IF(OR(Копия_20206[[#This Row],[Value (in 1000 rub)]]&gt;$S$7,Копия_20206[[#This Row],[Value (in 1000 rub)]]&lt;$S$6),"outlier","not outlier")</f>
        <v>not outlier</v>
      </c>
      <c r="L1995" s="4" t="str">
        <f>IF(OR(Копия_20206[[#This Row],[Volume (in 1000 kg)]]&gt;$T$7,Копия_20206[[#This Row],[Volume (in 1000 kg)]]&lt;$T$6),"outlier","not outlier")</f>
        <v>not outlier</v>
      </c>
      <c r="M1995" s="4" t="str">
        <f>IF(OR(Копия_20206[[#This Row],[Number of stores]]&gt;$U$7,Копия_20206[[#This Row],[Number of stores]]&lt;$U$6),"outlier","not outlier")</f>
        <v>not outlier</v>
      </c>
    </row>
    <row r="1996" spans="1:13" x14ac:dyDescent="0.25">
      <c r="A1996">
        <v>2022</v>
      </c>
      <c r="B1996">
        <v>10</v>
      </c>
      <c r="C1996" s="1" t="s">
        <v>29</v>
      </c>
      <c r="D1996" s="1" t="s">
        <v>16</v>
      </c>
      <c r="E1996" s="1" t="s">
        <v>21</v>
      </c>
      <c r="F1996" s="5">
        <v>2.7494999999999998</v>
      </c>
      <c r="G1996" s="5">
        <v>170.62845300000001</v>
      </c>
      <c r="H1996" s="5">
        <v>0.71489999999999998</v>
      </c>
      <c r="I1996">
        <v>340</v>
      </c>
      <c r="J1996" s="4" t="str">
        <f>IF(OR(Копия_20206[[#This Row],[Units (in 1000)]]&gt;$R$7,Копия_20206[[#This Row],[Units (in 1000)]]&lt;$R$6),"outlier","not outlier")</f>
        <v>not outlier</v>
      </c>
      <c r="K1996" s="4" t="str">
        <f>IF(OR(Копия_20206[[#This Row],[Value (in 1000 rub)]]&gt;$S$7,Копия_20206[[#This Row],[Value (in 1000 rub)]]&lt;$S$6),"outlier","not outlier")</f>
        <v>not outlier</v>
      </c>
      <c r="L1996" s="4" t="str">
        <f>IF(OR(Копия_20206[[#This Row],[Volume (in 1000 kg)]]&gt;$T$7,Копия_20206[[#This Row],[Volume (in 1000 kg)]]&lt;$T$6),"outlier","not outlier")</f>
        <v>not outlier</v>
      </c>
      <c r="M1996" s="4" t="str">
        <f>IF(OR(Копия_20206[[#This Row],[Number of stores]]&gt;$U$7,Копия_20206[[#This Row],[Number of stores]]&lt;$U$6),"outlier","not outlier")</f>
        <v>not outlier</v>
      </c>
    </row>
    <row r="1997" spans="1:13" x14ac:dyDescent="0.25">
      <c r="A1997">
        <v>2022</v>
      </c>
      <c r="B1997">
        <v>10</v>
      </c>
      <c r="C1997" s="1" t="s">
        <v>29</v>
      </c>
      <c r="D1997" s="1" t="s">
        <v>16</v>
      </c>
      <c r="E1997" s="1" t="s">
        <v>11</v>
      </c>
      <c r="F1997" s="5">
        <v>16.1191</v>
      </c>
      <c r="G1997" s="5">
        <v>1233.1125629999999</v>
      </c>
      <c r="H1997" s="5">
        <v>5.8029000000000002</v>
      </c>
      <c r="I1997">
        <v>1747</v>
      </c>
      <c r="J1997" s="4" t="str">
        <f>IF(OR(Копия_20206[[#This Row],[Units (in 1000)]]&gt;$R$7,Копия_20206[[#This Row],[Units (in 1000)]]&lt;$R$6),"outlier","not outlier")</f>
        <v>not outlier</v>
      </c>
      <c r="K1997" s="4" t="str">
        <f>IF(OR(Копия_20206[[#This Row],[Value (in 1000 rub)]]&gt;$S$7,Копия_20206[[#This Row],[Value (in 1000 rub)]]&lt;$S$6),"outlier","not outlier")</f>
        <v>not outlier</v>
      </c>
      <c r="L1997" s="4" t="str">
        <f>IF(OR(Копия_20206[[#This Row],[Volume (in 1000 kg)]]&gt;$T$7,Копия_20206[[#This Row],[Volume (in 1000 kg)]]&lt;$T$6),"outlier","not outlier")</f>
        <v>not outlier</v>
      </c>
      <c r="M1997" s="4" t="str">
        <f>IF(OR(Копия_20206[[#This Row],[Number of stores]]&gt;$U$7,Копия_20206[[#This Row],[Number of stores]]&lt;$U$6),"outlier","not outlier")</f>
        <v>not outlier</v>
      </c>
    </row>
    <row r="1998" spans="1:13" x14ac:dyDescent="0.25">
      <c r="A1998">
        <v>2022</v>
      </c>
      <c r="B1998">
        <v>11</v>
      </c>
      <c r="C1998" s="1" t="s">
        <v>8</v>
      </c>
      <c r="D1998" s="1" t="s">
        <v>16</v>
      </c>
      <c r="E1998" s="1" t="s">
        <v>21</v>
      </c>
      <c r="F1998" s="5">
        <v>3.4700000000000002E-2</v>
      </c>
      <c r="G1998" s="5">
        <v>2.1055489999999999</v>
      </c>
      <c r="H1998" s="5">
        <v>8.9999999999999993E-3</v>
      </c>
      <c r="I1998">
        <v>5</v>
      </c>
      <c r="J1998" s="4" t="str">
        <f>IF(OR(Копия_20206[[#This Row],[Units (in 1000)]]&gt;$R$7,Копия_20206[[#This Row],[Units (in 1000)]]&lt;$R$6),"outlier","not outlier")</f>
        <v>not outlier</v>
      </c>
      <c r="K1998" s="4" t="str">
        <f>IF(OR(Копия_20206[[#This Row],[Value (in 1000 rub)]]&gt;$S$7,Копия_20206[[#This Row],[Value (in 1000 rub)]]&lt;$S$6),"outlier","not outlier")</f>
        <v>not outlier</v>
      </c>
      <c r="L1998" s="4" t="str">
        <f>IF(OR(Копия_20206[[#This Row],[Volume (in 1000 kg)]]&gt;$T$7,Копия_20206[[#This Row],[Volume (in 1000 kg)]]&lt;$T$6),"outlier","not outlier")</f>
        <v>not outlier</v>
      </c>
      <c r="M1998" s="4" t="str">
        <f>IF(OR(Копия_20206[[#This Row],[Number of stores]]&gt;$U$7,Копия_20206[[#This Row],[Number of stores]]&lt;$U$6),"outlier","not outlier")</f>
        <v>not outlier</v>
      </c>
    </row>
    <row r="1999" spans="1:13" x14ac:dyDescent="0.25">
      <c r="A1999">
        <v>2022</v>
      </c>
      <c r="B1999">
        <v>11</v>
      </c>
      <c r="C1999" s="1" t="s">
        <v>8</v>
      </c>
      <c r="D1999" s="1" t="s">
        <v>16</v>
      </c>
      <c r="E1999" s="1" t="s">
        <v>11</v>
      </c>
      <c r="F1999" s="5">
        <v>1.9805999999999999</v>
      </c>
      <c r="G1999" s="5">
        <v>150.15154799999999</v>
      </c>
      <c r="H1999" s="5">
        <v>0.71299999999999997</v>
      </c>
      <c r="I1999">
        <v>158</v>
      </c>
      <c r="J1999" s="4" t="str">
        <f>IF(OR(Копия_20206[[#This Row],[Units (in 1000)]]&gt;$R$7,Копия_20206[[#This Row],[Units (in 1000)]]&lt;$R$6),"outlier","not outlier")</f>
        <v>not outlier</v>
      </c>
      <c r="K1999" s="4" t="str">
        <f>IF(OR(Копия_20206[[#This Row],[Value (in 1000 rub)]]&gt;$S$7,Копия_20206[[#This Row],[Value (in 1000 rub)]]&lt;$S$6),"outlier","not outlier")</f>
        <v>not outlier</v>
      </c>
      <c r="L1999" s="4" t="str">
        <f>IF(OR(Копия_20206[[#This Row],[Volume (in 1000 kg)]]&gt;$T$7,Копия_20206[[#This Row],[Volume (in 1000 kg)]]&lt;$T$6),"outlier","not outlier")</f>
        <v>not outlier</v>
      </c>
      <c r="M1999" s="4" t="str">
        <f>IF(OR(Копия_20206[[#This Row],[Number of stores]]&gt;$U$7,Копия_20206[[#This Row],[Number of stores]]&lt;$U$6),"outlier","not outlier")</f>
        <v>not outlier</v>
      </c>
    </row>
    <row r="2000" spans="1:13" x14ac:dyDescent="0.25">
      <c r="A2000">
        <v>2022</v>
      </c>
      <c r="B2000">
        <v>11</v>
      </c>
      <c r="C2000" s="1" t="s">
        <v>25</v>
      </c>
      <c r="D2000" s="1" t="s">
        <v>16</v>
      </c>
      <c r="E2000" s="1" t="s">
        <v>21</v>
      </c>
      <c r="F2000" s="5">
        <v>0.94530000000000003</v>
      </c>
      <c r="G2000" s="5">
        <v>61.275691000000002</v>
      </c>
      <c r="H2000" s="5">
        <v>0.2457</v>
      </c>
      <c r="I2000">
        <v>143</v>
      </c>
      <c r="J2000" s="4" t="str">
        <f>IF(OR(Копия_20206[[#This Row],[Units (in 1000)]]&gt;$R$7,Копия_20206[[#This Row],[Units (in 1000)]]&lt;$R$6),"outlier","not outlier")</f>
        <v>not outlier</v>
      </c>
      <c r="K2000" s="4" t="str">
        <f>IF(OR(Копия_20206[[#This Row],[Value (in 1000 rub)]]&gt;$S$7,Копия_20206[[#This Row],[Value (in 1000 rub)]]&lt;$S$6),"outlier","not outlier")</f>
        <v>not outlier</v>
      </c>
      <c r="L2000" s="4" t="str">
        <f>IF(OR(Копия_20206[[#This Row],[Volume (in 1000 kg)]]&gt;$T$7,Копия_20206[[#This Row],[Volume (in 1000 kg)]]&lt;$T$6),"outlier","not outlier")</f>
        <v>not outlier</v>
      </c>
      <c r="M2000" s="4" t="str">
        <f>IF(OR(Копия_20206[[#This Row],[Number of stores]]&gt;$U$7,Копия_20206[[#This Row],[Number of stores]]&lt;$U$6),"outlier","not outlier")</f>
        <v>not outlier</v>
      </c>
    </row>
    <row r="2001" spans="1:13" x14ac:dyDescent="0.25">
      <c r="A2001">
        <v>2022</v>
      </c>
      <c r="B2001">
        <v>11</v>
      </c>
      <c r="C2001" s="1" t="s">
        <v>25</v>
      </c>
      <c r="D2001" s="1" t="s">
        <v>16</v>
      </c>
      <c r="E2001" s="1" t="s">
        <v>11</v>
      </c>
      <c r="F2001" s="5">
        <v>10.4442</v>
      </c>
      <c r="G2001" s="5">
        <v>688.06409299999996</v>
      </c>
      <c r="H2001" s="5">
        <v>3.76</v>
      </c>
      <c r="I2001">
        <v>1374</v>
      </c>
      <c r="J2001" s="4" t="str">
        <f>IF(OR(Копия_20206[[#This Row],[Units (in 1000)]]&gt;$R$7,Копия_20206[[#This Row],[Units (in 1000)]]&lt;$R$6),"outlier","not outlier")</f>
        <v>not outlier</v>
      </c>
      <c r="K2001" s="4" t="str">
        <f>IF(OR(Копия_20206[[#This Row],[Value (in 1000 rub)]]&gt;$S$7,Копия_20206[[#This Row],[Value (in 1000 rub)]]&lt;$S$6),"outlier","not outlier")</f>
        <v>not outlier</v>
      </c>
      <c r="L2001" s="4" t="str">
        <f>IF(OR(Копия_20206[[#This Row],[Volume (in 1000 kg)]]&gt;$T$7,Копия_20206[[#This Row],[Volume (in 1000 kg)]]&lt;$T$6),"outlier","not outlier")</f>
        <v>not outlier</v>
      </c>
      <c r="M2001" s="4" t="str">
        <f>IF(OR(Копия_20206[[#This Row],[Number of stores]]&gt;$U$7,Копия_20206[[#This Row],[Number of stores]]&lt;$U$6),"outlier","not outlier")</f>
        <v>not outlier</v>
      </c>
    </row>
    <row r="2002" spans="1:13" x14ac:dyDescent="0.25">
      <c r="A2002">
        <v>2022</v>
      </c>
      <c r="B2002">
        <v>11</v>
      </c>
      <c r="C2002" s="1" t="s">
        <v>29</v>
      </c>
      <c r="D2002" s="1" t="s">
        <v>16</v>
      </c>
      <c r="E2002" s="1" t="s">
        <v>21</v>
      </c>
      <c r="F2002" s="5">
        <v>2.8355000000000001</v>
      </c>
      <c r="G2002" s="5">
        <v>186.03771800000001</v>
      </c>
      <c r="H2002" s="5">
        <v>0.73729999999999996</v>
      </c>
      <c r="I2002">
        <v>357</v>
      </c>
      <c r="J2002" s="4" t="str">
        <f>IF(OR(Копия_20206[[#This Row],[Units (in 1000)]]&gt;$R$7,Копия_20206[[#This Row],[Units (in 1000)]]&lt;$R$6),"outlier","not outlier")</f>
        <v>not outlier</v>
      </c>
      <c r="K2002" s="4" t="str">
        <f>IF(OR(Копия_20206[[#This Row],[Value (in 1000 rub)]]&gt;$S$7,Копия_20206[[#This Row],[Value (in 1000 rub)]]&lt;$S$6),"outlier","not outlier")</f>
        <v>not outlier</v>
      </c>
      <c r="L2002" s="4" t="str">
        <f>IF(OR(Копия_20206[[#This Row],[Volume (in 1000 kg)]]&gt;$T$7,Копия_20206[[#This Row],[Volume (in 1000 kg)]]&lt;$T$6),"outlier","not outlier")</f>
        <v>not outlier</v>
      </c>
      <c r="M2002" s="4" t="str">
        <f>IF(OR(Копия_20206[[#This Row],[Number of stores]]&gt;$U$7,Копия_20206[[#This Row],[Number of stores]]&lt;$U$6),"outlier","not outlier")</f>
        <v>not outlier</v>
      </c>
    </row>
    <row r="2003" spans="1:13" x14ac:dyDescent="0.25">
      <c r="A2003">
        <v>2022</v>
      </c>
      <c r="B2003">
        <v>11</v>
      </c>
      <c r="C2003" s="1" t="s">
        <v>29</v>
      </c>
      <c r="D2003" s="1" t="s">
        <v>16</v>
      </c>
      <c r="E2003" s="1" t="s">
        <v>11</v>
      </c>
      <c r="F2003" s="5">
        <v>21.208300000000001</v>
      </c>
      <c r="G2003" s="5">
        <v>1613.6895629999999</v>
      </c>
      <c r="H2003" s="5">
        <v>7.6349</v>
      </c>
      <c r="I2003">
        <v>1850</v>
      </c>
      <c r="J2003" s="4" t="str">
        <f>IF(OR(Копия_20206[[#This Row],[Units (in 1000)]]&gt;$R$7,Копия_20206[[#This Row],[Units (in 1000)]]&lt;$R$6),"outlier","not outlier")</f>
        <v>not outlier</v>
      </c>
      <c r="K2003" s="4" t="str">
        <f>IF(OR(Копия_20206[[#This Row],[Value (in 1000 rub)]]&gt;$S$7,Копия_20206[[#This Row],[Value (in 1000 rub)]]&lt;$S$6),"outlier","not outlier")</f>
        <v>not outlier</v>
      </c>
      <c r="L2003" s="4" t="str">
        <f>IF(OR(Копия_20206[[#This Row],[Volume (in 1000 kg)]]&gt;$T$7,Копия_20206[[#This Row],[Volume (in 1000 kg)]]&lt;$T$6),"outlier","not outlier")</f>
        <v>outlier</v>
      </c>
      <c r="M2003" s="4" t="str">
        <f>IF(OR(Копия_20206[[#This Row],[Number of stores]]&gt;$U$7,Копия_20206[[#This Row],[Number of stores]]&lt;$U$6),"outlier","not outlier")</f>
        <v>not outlier</v>
      </c>
    </row>
    <row r="2004" spans="1:13" x14ac:dyDescent="0.25">
      <c r="A2004">
        <v>2022</v>
      </c>
      <c r="B2004">
        <v>12</v>
      </c>
      <c r="C2004" s="1" t="s">
        <v>8</v>
      </c>
      <c r="D2004" s="1" t="s">
        <v>16</v>
      </c>
      <c r="E2004" s="1" t="s">
        <v>21</v>
      </c>
      <c r="F2004" s="5">
        <v>3.5499999999999997E-2</v>
      </c>
      <c r="G2004" s="5">
        <v>2.0761090000000002</v>
      </c>
      <c r="H2004" s="5">
        <v>9.1999999999999998E-3</v>
      </c>
      <c r="I2004">
        <v>5</v>
      </c>
      <c r="J2004" s="4" t="str">
        <f>IF(OR(Копия_20206[[#This Row],[Units (in 1000)]]&gt;$R$7,Копия_20206[[#This Row],[Units (in 1000)]]&lt;$R$6),"outlier","not outlier")</f>
        <v>not outlier</v>
      </c>
      <c r="K2004" s="4" t="str">
        <f>IF(OR(Копия_20206[[#This Row],[Value (in 1000 rub)]]&gt;$S$7,Копия_20206[[#This Row],[Value (in 1000 rub)]]&lt;$S$6),"outlier","not outlier")</f>
        <v>not outlier</v>
      </c>
      <c r="L2004" s="4" t="str">
        <f>IF(OR(Копия_20206[[#This Row],[Volume (in 1000 kg)]]&gt;$T$7,Копия_20206[[#This Row],[Volume (in 1000 kg)]]&lt;$T$6),"outlier","not outlier")</f>
        <v>not outlier</v>
      </c>
      <c r="M2004" s="4" t="str">
        <f>IF(OR(Копия_20206[[#This Row],[Number of stores]]&gt;$U$7,Копия_20206[[#This Row],[Number of stores]]&lt;$U$6),"outlier","not outlier")</f>
        <v>not outlier</v>
      </c>
    </row>
    <row r="2005" spans="1:13" x14ac:dyDescent="0.25">
      <c r="A2005">
        <v>2022</v>
      </c>
      <c r="B2005">
        <v>12</v>
      </c>
      <c r="C2005" s="1" t="s">
        <v>8</v>
      </c>
      <c r="D2005" s="1" t="s">
        <v>16</v>
      </c>
      <c r="E2005" s="1" t="s">
        <v>11</v>
      </c>
      <c r="F2005" s="5">
        <v>2.4146999999999998</v>
      </c>
      <c r="G2005" s="5">
        <v>179.24161100000001</v>
      </c>
      <c r="H2005" s="5">
        <v>0.86929999999999996</v>
      </c>
      <c r="I2005">
        <v>151</v>
      </c>
      <c r="J2005" s="4" t="str">
        <f>IF(OR(Копия_20206[[#This Row],[Units (in 1000)]]&gt;$R$7,Копия_20206[[#This Row],[Units (in 1000)]]&lt;$R$6),"outlier","not outlier")</f>
        <v>not outlier</v>
      </c>
      <c r="K2005" s="4" t="str">
        <f>IF(OR(Копия_20206[[#This Row],[Value (in 1000 rub)]]&gt;$S$7,Копия_20206[[#This Row],[Value (in 1000 rub)]]&lt;$S$6),"outlier","not outlier")</f>
        <v>not outlier</v>
      </c>
      <c r="L2005" s="4" t="str">
        <f>IF(OR(Копия_20206[[#This Row],[Volume (in 1000 kg)]]&gt;$T$7,Копия_20206[[#This Row],[Volume (in 1000 kg)]]&lt;$T$6),"outlier","not outlier")</f>
        <v>not outlier</v>
      </c>
      <c r="M2005" s="4" t="str">
        <f>IF(OR(Копия_20206[[#This Row],[Number of stores]]&gt;$U$7,Копия_20206[[#This Row],[Number of stores]]&lt;$U$6),"outlier","not outlier")</f>
        <v>not outlier</v>
      </c>
    </row>
    <row r="2006" spans="1:13" x14ac:dyDescent="0.25">
      <c r="A2006">
        <v>2022</v>
      </c>
      <c r="B2006">
        <v>12</v>
      </c>
      <c r="C2006" s="1" t="s">
        <v>25</v>
      </c>
      <c r="D2006" s="1" t="s">
        <v>16</v>
      </c>
      <c r="E2006" s="1" t="s">
        <v>21</v>
      </c>
      <c r="F2006" s="5">
        <v>1.1649</v>
      </c>
      <c r="G2006" s="5">
        <v>74.095637999999994</v>
      </c>
      <c r="H2006" s="5">
        <v>0.3029</v>
      </c>
      <c r="I2006">
        <v>120</v>
      </c>
      <c r="J2006" s="4" t="str">
        <f>IF(OR(Копия_20206[[#This Row],[Units (in 1000)]]&gt;$R$7,Копия_20206[[#This Row],[Units (in 1000)]]&lt;$R$6),"outlier","not outlier")</f>
        <v>not outlier</v>
      </c>
      <c r="K2006" s="4" t="str">
        <f>IF(OR(Копия_20206[[#This Row],[Value (in 1000 rub)]]&gt;$S$7,Копия_20206[[#This Row],[Value (in 1000 rub)]]&lt;$S$6),"outlier","not outlier")</f>
        <v>not outlier</v>
      </c>
      <c r="L2006" s="4" t="str">
        <f>IF(OR(Копия_20206[[#This Row],[Volume (in 1000 kg)]]&gt;$T$7,Копия_20206[[#This Row],[Volume (in 1000 kg)]]&lt;$T$6),"outlier","not outlier")</f>
        <v>not outlier</v>
      </c>
      <c r="M2006" s="4" t="str">
        <f>IF(OR(Копия_20206[[#This Row],[Number of stores]]&gt;$U$7,Копия_20206[[#This Row],[Number of stores]]&lt;$U$6),"outlier","not outlier")</f>
        <v>not outlier</v>
      </c>
    </row>
    <row r="2007" spans="1:13" x14ac:dyDescent="0.25">
      <c r="A2007">
        <v>2022</v>
      </c>
      <c r="B2007">
        <v>12</v>
      </c>
      <c r="C2007" s="1" t="s">
        <v>25</v>
      </c>
      <c r="D2007" s="1" t="s">
        <v>16</v>
      </c>
      <c r="E2007" s="1" t="s">
        <v>11</v>
      </c>
      <c r="F2007" s="5">
        <v>9.7878000000000007</v>
      </c>
      <c r="G2007" s="5">
        <v>674.81985399999996</v>
      </c>
      <c r="H2007" s="5">
        <v>3.5236000000000001</v>
      </c>
      <c r="I2007">
        <v>1357</v>
      </c>
      <c r="J2007" s="4" t="str">
        <f>IF(OR(Копия_20206[[#This Row],[Units (in 1000)]]&gt;$R$7,Копия_20206[[#This Row],[Units (in 1000)]]&lt;$R$6),"outlier","not outlier")</f>
        <v>not outlier</v>
      </c>
      <c r="K2007" s="4" t="str">
        <f>IF(OR(Копия_20206[[#This Row],[Value (in 1000 rub)]]&gt;$S$7,Копия_20206[[#This Row],[Value (in 1000 rub)]]&lt;$S$6),"outlier","not outlier")</f>
        <v>not outlier</v>
      </c>
      <c r="L2007" s="4" t="str">
        <f>IF(OR(Копия_20206[[#This Row],[Volume (in 1000 kg)]]&gt;$T$7,Копия_20206[[#This Row],[Volume (in 1000 kg)]]&lt;$T$6),"outlier","not outlier")</f>
        <v>not outlier</v>
      </c>
      <c r="M2007" s="4" t="str">
        <f>IF(OR(Копия_20206[[#This Row],[Number of stores]]&gt;$U$7,Копия_20206[[#This Row],[Number of stores]]&lt;$U$6),"outlier","not outlier")</f>
        <v>not outlier</v>
      </c>
    </row>
    <row r="2008" spans="1:13" x14ac:dyDescent="0.25">
      <c r="A2008">
        <v>2022</v>
      </c>
      <c r="B2008">
        <v>12</v>
      </c>
      <c r="C2008" s="1" t="s">
        <v>29</v>
      </c>
      <c r="D2008" s="1" t="s">
        <v>16</v>
      </c>
      <c r="E2008" s="1" t="s">
        <v>21</v>
      </c>
      <c r="F2008" s="5">
        <v>3.4786999999999999</v>
      </c>
      <c r="G2008" s="5">
        <v>220.70644100000001</v>
      </c>
      <c r="H2008" s="5">
        <v>0.90449999999999997</v>
      </c>
      <c r="I2008">
        <v>354</v>
      </c>
      <c r="J2008" s="4" t="str">
        <f>IF(OR(Копия_20206[[#This Row],[Units (in 1000)]]&gt;$R$7,Копия_20206[[#This Row],[Units (in 1000)]]&lt;$R$6),"outlier","not outlier")</f>
        <v>not outlier</v>
      </c>
      <c r="K2008" s="4" t="str">
        <f>IF(OR(Копия_20206[[#This Row],[Value (in 1000 rub)]]&gt;$S$7,Копия_20206[[#This Row],[Value (in 1000 rub)]]&lt;$S$6),"outlier","not outlier")</f>
        <v>not outlier</v>
      </c>
      <c r="L2008" s="4" t="str">
        <f>IF(OR(Копия_20206[[#This Row],[Volume (in 1000 kg)]]&gt;$T$7,Копия_20206[[#This Row],[Volume (in 1000 kg)]]&lt;$T$6),"outlier","not outlier")</f>
        <v>not outlier</v>
      </c>
      <c r="M2008" s="4" t="str">
        <f>IF(OR(Копия_20206[[#This Row],[Number of stores]]&gt;$U$7,Копия_20206[[#This Row],[Number of stores]]&lt;$U$6),"outlier","not outlier")</f>
        <v>not outlier</v>
      </c>
    </row>
    <row r="2009" spans="1:13" x14ac:dyDescent="0.25">
      <c r="A2009">
        <v>2022</v>
      </c>
      <c r="B2009">
        <v>12</v>
      </c>
      <c r="C2009" s="1" t="s">
        <v>29</v>
      </c>
      <c r="D2009" s="1" t="s">
        <v>16</v>
      </c>
      <c r="E2009" s="1" t="s">
        <v>11</v>
      </c>
      <c r="F2009" s="5">
        <v>24.732500000000002</v>
      </c>
      <c r="G2009" s="5">
        <v>1815.368418</v>
      </c>
      <c r="H2009" s="5">
        <v>8.9037000000000006</v>
      </c>
      <c r="I2009">
        <v>1841</v>
      </c>
      <c r="J2009" s="4" t="str">
        <f>IF(OR(Копия_20206[[#This Row],[Units (in 1000)]]&gt;$R$7,Копия_20206[[#This Row],[Units (in 1000)]]&lt;$R$6),"outlier","not outlier")</f>
        <v>outlier</v>
      </c>
      <c r="K2009" s="4" t="str">
        <f>IF(OR(Копия_20206[[#This Row],[Value (in 1000 rub)]]&gt;$S$7,Копия_20206[[#This Row],[Value (in 1000 rub)]]&lt;$S$6),"outlier","not outlier")</f>
        <v>not outlier</v>
      </c>
      <c r="L2009" s="4" t="str">
        <f>IF(OR(Копия_20206[[#This Row],[Volume (in 1000 kg)]]&gt;$T$7,Копия_20206[[#This Row],[Volume (in 1000 kg)]]&lt;$T$6),"outlier","not outlier")</f>
        <v>outlier</v>
      </c>
      <c r="M2009" s="4" t="str">
        <f>IF(OR(Копия_20206[[#This Row],[Number of stores]]&gt;$U$7,Копия_20206[[#This Row],[Number of stores]]&lt;$U$6),"outlier","not outlier")</f>
        <v>not outlier</v>
      </c>
    </row>
  </sheetData>
  <dataValidations count="4">
    <dataValidation type="whole" operator="greaterThan" allowBlank="1" showInputMessage="1" showErrorMessage="1" sqref="A2:B2009" xr:uid="{72E883A6-8F93-4962-94EE-750E51065DF6}">
      <formula1>0</formula1>
    </dataValidation>
    <dataValidation type="decimal" operator="greaterThan" allowBlank="1" showInputMessage="1" showErrorMessage="1" sqref="F2:F2009" xr:uid="{B23EC060-5E71-4601-8A1F-C77D8838D3F2}">
      <formula1>0</formula1>
    </dataValidation>
    <dataValidation type="decimal" operator="greaterThanOrEqual" allowBlank="1" showInputMessage="1" showErrorMessage="1" sqref="G2:H2009" xr:uid="{E9ACF55C-1788-4D1B-A963-5DFE00083786}">
      <formula1>0</formula1>
    </dataValidation>
    <dataValidation type="whole" operator="greaterThanOrEqual" allowBlank="1" showInputMessage="1" showErrorMessage="1" sqref="I2:I2009" xr:uid="{B6FCAB96-6B4C-49C0-8A91-2498D5D54909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392AE4-6900-429A-BEA5-112E3633C015}">
          <x14:formula1>
            <xm:f>'Проверка качества данных'!$A$6:$A$8</xm:f>
          </x14:formula1>
          <xm:sqref>C2:C2009</xm:sqref>
        </x14:dataValidation>
        <x14:dataValidation type="list" allowBlank="1" showInputMessage="1" showErrorMessage="1" xr:uid="{97ABBADC-6988-47C3-826C-C28480769DE1}">
          <x14:formula1>
            <xm:f>'Проверка качества данных'!$C$6:$C$46</xm:f>
          </x14:formula1>
          <xm:sqref>D2:D2009</xm:sqref>
        </x14:dataValidation>
        <x14:dataValidation type="list" allowBlank="1" showInputMessage="1" showErrorMessage="1" xr:uid="{56ED17B9-A0DC-49CE-B5D6-02DFBE358327}">
          <x14:formula1>
            <xm:f>'Проверка качества данных'!$E$6:$E$13</xm:f>
          </x14:formula1>
          <xm:sqref>E2:E2009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93A1-856F-4121-B2AA-772A77C9252E}">
  <dimension ref="A1:AA62"/>
  <sheetViews>
    <sheetView workbookViewId="0">
      <selection activeCell="N40" sqref="N40"/>
    </sheetView>
  </sheetViews>
  <sheetFormatPr defaultRowHeight="15" x14ac:dyDescent="0.25"/>
  <cols>
    <col min="2" max="2" width="9.5703125" bestFit="1" customWidth="1"/>
    <col min="3" max="3" width="9.7109375" customWidth="1"/>
    <col min="4" max="4" width="9.5703125" bestFit="1" customWidth="1"/>
    <col min="6" max="6" width="10.42578125" customWidth="1"/>
    <col min="8" max="8" width="9.5703125" bestFit="1" customWidth="1"/>
    <col min="10" max="10" width="10.85546875" customWidth="1"/>
    <col min="17" max="17" width="12.7109375" customWidth="1"/>
    <col min="18" max="18" width="14.85546875" customWidth="1"/>
    <col min="19" max="19" width="10.28515625" customWidth="1"/>
    <col min="20" max="20" width="9.85546875" customWidth="1"/>
    <col min="21" max="21" width="13.140625" customWidth="1"/>
    <col min="25" max="25" width="10.7109375" customWidth="1"/>
    <col min="26" max="26" width="11.28515625" customWidth="1"/>
    <col min="27" max="27" width="10.5703125" customWidth="1"/>
  </cols>
  <sheetData>
    <row r="1" spans="1:27" x14ac:dyDescent="0.25">
      <c r="A1" s="3" t="s">
        <v>67</v>
      </c>
      <c r="B1" s="3"/>
      <c r="C1" s="3"/>
      <c r="D1" s="3"/>
      <c r="E1" s="3"/>
      <c r="F1" s="3"/>
      <c r="G1" s="3"/>
    </row>
    <row r="2" spans="1:27" x14ac:dyDescent="0.25">
      <c r="B2">
        <v>2020</v>
      </c>
      <c r="C2">
        <v>2021</v>
      </c>
      <c r="D2">
        <v>2022</v>
      </c>
    </row>
    <row r="3" spans="1:27" x14ac:dyDescent="0.25">
      <c r="A3" s="6" t="s">
        <v>62</v>
      </c>
      <c r="B3" s="7">
        <f t="shared" ref="B3:D5" si="0">H17</f>
        <v>496393.3974640001</v>
      </c>
      <c r="C3" s="7">
        <f t="shared" si="0"/>
        <v>522684.06106499984</v>
      </c>
      <c r="D3" s="7">
        <f t="shared" si="0"/>
        <v>500728.41384900024</v>
      </c>
    </row>
    <row r="4" spans="1:27" x14ac:dyDescent="0.25">
      <c r="A4" t="s">
        <v>63</v>
      </c>
      <c r="B4" s="7">
        <f t="shared" si="0"/>
        <v>0</v>
      </c>
      <c r="C4" s="7">
        <f t="shared" si="0"/>
        <v>26290.663600999746</v>
      </c>
      <c r="D4" s="7">
        <f t="shared" si="0"/>
        <v>-21955.647215999605</v>
      </c>
    </row>
    <row r="5" spans="1:27" x14ac:dyDescent="0.25">
      <c r="A5" t="s">
        <v>64</v>
      </c>
      <c r="B5" s="7">
        <f t="shared" si="0"/>
        <v>0</v>
      </c>
      <c r="C5" s="2">
        <f t="shared" si="0"/>
        <v>5.2963362799172652E-2</v>
      </c>
      <c r="D5" s="2">
        <f t="shared" si="0"/>
        <v>-4.2005580141976528E-2</v>
      </c>
    </row>
    <row r="6" spans="1:27" x14ac:dyDescent="0.25">
      <c r="A6" s="6" t="s">
        <v>65</v>
      </c>
      <c r="B6" s="7">
        <f t="shared" ref="B6:D11" si="1">H20</f>
        <v>132694.47574299999</v>
      </c>
      <c r="C6" s="7">
        <f t="shared" si="1"/>
        <v>135235.60125000001</v>
      </c>
      <c r="D6" s="7">
        <f t="shared" si="1"/>
        <v>114901.24876899998</v>
      </c>
    </row>
    <row r="7" spans="1:27" x14ac:dyDescent="0.25">
      <c r="A7" t="s">
        <v>63</v>
      </c>
      <c r="B7" s="7">
        <f t="shared" si="1"/>
        <v>0</v>
      </c>
      <c r="C7" s="7">
        <f t="shared" si="1"/>
        <v>2541.1255070000188</v>
      </c>
      <c r="D7" s="7">
        <f t="shared" si="1"/>
        <v>-20334.352481000024</v>
      </c>
    </row>
    <row r="8" spans="1:27" x14ac:dyDescent="0.25">
      <c r="A8" t="s">
        <v>64</v>
      </c>
      <c r="B8" s="7">
        <f t="shared" si="1"/>
        <v>0</v>
      </c>
      <c r="C8" s="7">
        <f t="shared" si="1"/>
        <v>1.9150198173446344E-2</v>
      </c>
      <c r="D8" s="7">
        <f t="shared" si="1"/>
        <v>-0.15036242152988558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7" x14ac:dyDescent="0.25">
      <c r="A9" s="6" t="s">
        <v>66</v>
      </c>
      <c r="B9" s="7">
        <f t="shared" si="1"/>
        <v>45310.787403999988</v>
      </c>
      <c r="C9" s="7">
        <f t="shared" si="1"/>
        <v>43809.542498999996</v>
      </c>
      <c r="D9" s="7">
        <f t="shared" si="1"/>
        <v>35212.073564000006</v>
      </c>
    </row>
    <row r="10" spans="1:27" x14ac:dyDescent="0.25">
      <c r="A10" t="s">
        <v>63</v>
      </c>
      <c r="B10" s="7">
        <f t="shared" si="1"/>
        <v>0</v>
      </c>
      <c r="C10" s="7">
        <f t="shared" si="1"/>
        <v>-1501.2449049999923</v>
      </c>
      <c r="D10" s="7">
        <f t="shared" si="1"/>
        <v>-8597.4689349999899</v>
      </c>
    </row>
    <row r="11" spans="1:27" x14ac:dyDescent="0.25">
      <c r="A11" t="s">
        <v>64</v>
      </c>
      <c r="B11" s="7">
        <f t="shared" si="1"/>
        <v>0</v>
      </c>
      <c r="C11" s="7">
        <f t="shared" si="1"/>
        <v>-3.3132174279263661E-2</v>
      </c>
      <c r="D11" s="7">
        <f t="shared" si="1"/>
        <v>-0.19624648979605841</v>
      </c>
    </row>
    <row r="14" spans="1:27" x14ac:dyDescent="0.25">
      <c r="A14" s="3" t="s">
        <v>68</v>
      </c>
      <c r="B14" s="3"/>
      <c r="C14" s="3"/>
      <c r="D14" s="3"/>
      <c r="E14" s="3"/>
      <c r="F14" s="3"/>
      <c r="G14" s="3"/>
    </row>
    <row r="15" spans="1:27" x14ac:dyDescent="0.25">
      <c r="B15" s="77" t="s">
        <v>69</v>
      </c>
      <c r="C15" s="77"/>
      <c r="D15" s="77"/>
      <c r="E15" s="76" t="s">
        <v>70</v>
      </c>
      <c r="F15" s="76"/>
      <c r="G15" s="76"/>
      <c r="H15" s="77" t="s">
        <v>71</v>
      </c>
      <c r="I15" s="77"/>
      <c r="J15" s="77"/>
      <c r="K15" s="76" t="s">
        <v>72</v>
      </c>
      <c r="L15" s="76"/>
      <c r="M15" s="76"/>
      <c r="N15" s="77" t="s">
        <v>73</v>
      </c>
      <c r="O15" s="77"/>
      <c r="P15" s="77"/>
      <c r="Q15" s="76" t="s">
        <v>74</v>
      </c>
      <c r="R15" s="76"/>
      <c r="S15" s="76"/>
      <c r="T15" s="77" t="s">
        <v>75</v>
      </c>
      <c r="U15" s="77"/>
      <c r="V15" s="77"/>
    </row>
    <row r="16" spans="1:27" x14ac:dyDescent="0.25">
      <c r="A16" t="s">
        <v>76</v>
      </c>
      <c r="B16">
        <v>2020</v>
      </c>
      <c r="C16">
        <v>2021</v>
      </c>
      <c r="D16">
        <v>2022</v>
      </c>
      <c r="E16">
        <v>2020</v>
      </c>
      <c r="F16">
        <v>2021</v>
      </c>
      <c r="G16">
        <v>2022</v>
      </c>
      <c r="H16">
        <v>2020</v>
      </c>
      <c r="I16">
        <v>2021</v>
      </c>
      <c r="J16">
        <v>2022</v>
      </c>
      <c r="K16">
        <v>2020</v>
      </c>
      <c r="L16">
        <v>2021</v>
      </c>
      <c r="M16">
        <v>2022</v>
      </c>
      <c r="N16">
        <v>2020</v>
      </c>
      <c r="O16">
        <v>2021</v>
      </c>
      <c r="P16">
        <v>2022</v>
      </c>
      <c r="Q16">
        <v>2020</v>
      </c>
      <c r="R16">
        <v>2021</v>
      </c>
      <c r="S16">
        <v>2022</v>
      </c>
      <c r="T16">
        <v>2020</v>
      </c>
      <c r="U16">
        <v>2021</v>
      </c>
      <c r="V16">
        <v>2022</v>
      </c>
      <c r="X16" s="9"/>
      <c r="Y16" s="7"/>
      <c r="Z16" s="7"/>
      <c r="AA16" s="7"/>
    </row>
    <row r="17" spans="1:27" x14ac:dyDescent="0.25">
      <c r="A17" s="6" t="s">
        <v>62</v>
      </c>
      <c r="B17" s="7">
        <f>SUM('Объединенные данные'!G84:G126)</f>
        <v>137428.51044599997</v>
      </c>
      <c r="C17">
        <f>SUM('Объединенные данные'!G714:G785)</f>
        <v>163431.95243300006</v>
      </c>
      <c r="D17" s="7">
        <f>SUM('Объединенные данные'!G1339:G1410)</f>
        <v>221366.50213900005</v>
      </c>
      <c r="E17" s="7">
        <f>SUM('Объединенные данные'!G133:G170)</f>
        <v>5688.7062909999995</v>
      </c>
      <c r="F17">
        <f>SUM('Объединенные данные'!G805:G840)</f>
        <v>5259.9316069999995</v>
      </c>
      <c r="G17" s="7">
        <f>SUM('Объединенные данные'!G1421:G1456)</f>
        <v>5900.4470929999989</v>
      </c>
      <c r="H17" s="7">
        <f>SUM('Объединенные данные'!G217:G378)</f>
        <v>496393.3974640001</v>
      </c>
      <c r="I17">
        <f>SUM('Объединенные данные'!G890:G1058)</f>
        <v>522684.06106499984</v>
      </c>
      <c r="J17" s="7">
        <f>SUM('Объединенные данные'!G1465:G1631)</f>
        <v>500728.41384900024</v>
      </c>
      <c r="K17" s="7">
        <f>SUM('Объединенные данные'!G402:G445)</f>
        <v>1878.9583240000004</v>
      </c>
      <c r="L17">
        <f>SUM('Объединенные данные'!G1102:G1143)</f>
        <v>2601.1356250000003</v>
      </c>
      <c r="M17" s="7">
        <f>SUM('Объединенные данные'!G1669:G1760)</f>
        <v>15480.621319999997</v>
      </c>
      <c r="N17" s="7">
        <f>SUM('Объединенные данные'!G526:G561)</f>
        <v>14288.243952999999</v>
      </c>
      <c r="O17">
        <f>SUM('Объединенные данные'!G1165:G1197)</f>
        <v>6131.2491629999986</v>
      </c>
      <c r="P17" s="7">
        <f>SUM('Объединенные данные'!G1805:G1831)</f>
        <v>4388.8159610000002</v>
      </c>
      <c r="Q17" s="7">
        <f>SUM('Объединенные данные'!G591:G617)</f>
        <v>5797.2830030000005</v>
      </c>
      <c r="R17">
        <f>SUM('Объединенные данные'!G1254:G1281)</f>
        <v>14061.567713000002</v>
      </c>
      <c r="S17" s="7">
        <f>SUM('Объединенные данные'!G1902:G1937)</f>
        <v>15712.971506999997</v>
      </c>
      <c r="T17" s="7">
        <f>SUM('Объединенные данные'!G618:G653)</f>
        <v>37160.190295999993</v>
      </c>
      <c r="U17">
        <f>SUM('Объединенные данные'!G1282:G1328)</f>
        <v>31878.142958000008</v>
      </c>
      <c r="V17" s="7">
        <f>SUM('Объединенные данные'!G1938:G2009)</f>
        <v>31060.392490000006</v>
      </c>
      <c r="X17" s="8"/>
      <c r="Y17" s="7"/>
      <c r="Z17" s="7"/>
      <c r="AA17" s="7"/>
    </row>
    <row r="18" spans="1:27" x14ac:dyDescent="0.25">
      <c r="A18" t="s">
        <v>63</v>
      </c>
      <c r="C18">
        <f>C17-B17</f>
        <v>26003.441987000086</v>
      </c>
      <c r="D18">
        <f>D17-C17</f>
        <v>57934.549705999991</v>
      </c>
      <c r="F18">
        <f>F17-E17</f>
        <v>-428.77468399999998</v>
      </c>
      <c r="G18">
        <f>G17-F17</f>
        <v>640.51548599999933</v>
      </c>
      <c r="I18" s="7">
        <f>I17-H17</f>
        <v>26290.663600999746</v>
      </c>
      <c r="J18" s="7">
        <f>J17-I17</f>
        <v>-21955.647215999605</v>
      </c>
      <c r="L18" s="7">
        <f>L17-K17</f>
        <v>722.17730099999994</v>
      </c>
      <c r="M18" s="7">
        <f>M17-L17</f>
        <v>12879.485694999996</v>
      </c>
      <c r="O18" s="7">
        <f>O17-N17</f>
        <v>-8156.9947900000006</v>
      </c>
      <c r="P18" s="7">
        <f>P17-O17</f>
        <v>-1742.4332019999983</v>
      </c>
      <c r="R18" s="7">
        <f>R17-Q17</f>
        <v>8264.2847100000017</v>
      </c>
      <c r="S18" s="7">
        <f>S17-R17</f>
        <v>1651.4037939999944</v>
      </c>
      <c r="U18" s="7">
        <f>U17-T17</f>
        <v>-5282.0473379999858</v>
      </c>
      <c r="V18" s="7">
        <f>V17-U17</f>
        <v>-817.750468000002</v>
      </c>
      <c r="X18" s="8"/>
      <c r="Y18" s="7"/>
      <c r="Z18" s="7"/>
      <c r="AA18" s="7"/>
    </row>
    <row r="19" spans="1:27" x14ac:dyDescent="0.25">
      <c r="A19" t="s">
        <v>64</v>
      </c>
      <c r="C19" s="10">
        <f>C18/B17</f>
        <v>0.18921431879462641</v>
      </c>
      <c r="D19" s="10">
        <f>D18/C17</f>
        <v>0.35448728870659868</v>
      </c>
      <c r="F19" s="10">
        <f>F18/E17</f>
        <v>-7.5372969189560157E-2</v>
      </c>
      <c r="G19" s="10">
        <f>G18/F17</f>
        <v>0.12177258828757227</v>
      </c>
      <c r="I19" s="10">
        <f>I18/H17</f>
        <v>5.2963362799172652E-2</v>
      </c>
      <c r="J19" s="10">
        <f>J18/I17</f>
        <v>-4.2005580141976528E-2</v>
      </c>
      <c r="L19" s="10">
        <f>L18/K17</f>
        <v>0.38434982392935702</v>
      </c>
      <c r="M19" s="10">
        <f>M18/L17</f>
        <v>4.95148564004616</v>
      </c>
      <c r="O19" s="10">
        <f>O18/N17</f>
        <v>-0.57088854423481028</v>
      </c>
      <c r="P19" s="10">
        <f>P18/O17</f>
        <v>-0.28418894024320357</v>
      </c>
      <c r="R19" s="10">
        <f>R18/Q17</f>
        <v>1.4255444672484279</v>
      </c>
      <c r="S19" s="10">
        <f>S18/R17</f>
        <v>0.11744094454512791</v>
      </c>
      <c r="U19" s="10">
        <f>U18/T17</f>
        <v>-0.14214263425256349</v>
      </c>
      <c r="V19" s="10">
        <f>V18/U17</f>
        <v>-2.5652387250957562E-2</v>
      </c>
      <c r="X19" s="8"/>
      <c r="Y19" s="7"/>
      <c r="Z19" s="7"/>
      <c r="AA19" s="7"/>
    </row>
    <row r="20" spans="1:27" x14ac:dyDescent="0.25">
      <c r="A20" s="6" t="s">
        <v>65</v>
      </c>
      <c r="B20" s="7">
        <f>SUM('Объединенные данные'!G111:G126)</f>
        <v>39806.473192999983</v>
      </c>
      <c r="C20">
        <f>SUM('Объединенные данные'!G768:G785)</f>
        <v>52855.926528999989</v>
      </c>
      <c r="D20" s="7">
        <f>SUM('Объединенные данные'!G1393:G1410)</f>
        <v>62339.539296999996</v>
      </c>
      <c r="E20" s="7">
        <f>SUM('Объединенные данные'!G162:G170)</f>
        <v>1434.213362</v>
      </c>
      <c r="F20">
        <f>SUM('Объединенные данные'!G832:G840)</f>
        <v>1186.433687</v>
      </c>
      <c r="G20" s="7">
        <f>SUM('Объединенные данные'!G1448:G1456)</f>
        <v>1330.3696399999999</v>
      </c>
      <c r="H20" s="7">
        <f>SUM('Объединенные данные'!G334:G378)</f>
        <v>132694.47574299999</v>
      </c>
      <c r="I20">
        <f>SUM('Объединенные данные'!G1050:G1058,'Объединенные данные'!G990:G1022)</f>
        <v>135235.60125000001</v>
      </c>
      <c r="J20" s="7">
        <f>SUM('Объединенные данные'!G1565:G1595,'Объединенные данные'!G1622:G1631)</f>
        <v>114901.24876899998</v>
      </c>
      <c r="K20" s="7">
        <f>SUM('Объединенные данные'!G434:G445)</f>
        <v>514.57340500000009</v>
      </c>
      <c r="L20">
        <f>SUM('Объединенные данные'!G1130:G1143)</f>
        <v>1101.902337</v>
      </c>
      <c r="M20" s="7">
        <f>SUM('Объединенные данные'!G1741:G1760)</f>
        <v>3596.8505210000003</v>
      </c>
      <c r="N20" s="7">
        <f>SUM('Объединенные данные'!G553:G561)</f>
        <v>2287.2661109999999</v>
      </c>
      <c r="O20">
        <f>SUM('Объединенные данные'!G1190:G1197)</f>
        <v>1575.3566350000001</v>
      </c>
      <c r="P20" s="7">
        <f>SUM('Объединенные данные'!G1823:G1831)</f>
        <v>1319.338499</v>
      </c>
      <c r="Q20" s="7">
        <f>SUM('Объединенные данные'!G612:G617)</f>
        <v>1414.9637149999999</v>
      </c>
      <c r="R20">
        <f>SUM('Объединенные данные'!G1273:G1281)</f>
        <v>9069.3263630000001</v>
      </c>
      <c r="S20" s="7">
        <f>SUM('Объединенные данные'!G1929:G1937)</f>
        <v>2766.8656540000002</v>
      </c>
      <c r="T20" s="7">
        <f>SUM('Объединенные данные'!G645:G653)</f>
        <v>7758.9173689999989</v>
      </c>
      <c r="U20">
        <f>SUM('Объединенные данные'!G1312:G1328)</f>
        <v>7058.7773489999981</v>
      </c>
      <c r="V20" s="7">
        <f>SUM('Объединенные данные'!G1992:G2009)</f>
        <v>7944.9861190000001</v>
      </c>
      <c r="X20" s="8"/>
      <c r="Y20" s="7"/>
      <c r="Z20" s="7"/>
      <c r="AA20" s="7"/>
    </row>
    <row r="21" spans="1:27" x14ac:dyDescent="0.25">
      <c r="A21" t="s">
        <v>63</v>
      </c>
      <c r="C21">
        <f>C20-B20</f>
        <v>13049.453336000006</v>
      </c>
      <c r="D21">
        <f>D20-C20</f>
        <v>9483.6127680000063</v>
      </c>
      <c r="F21">
        <f>F20-E20</f>
        <v>-247.779675</v>
      </c>
      <c r="G21">
        <f>G20-F20</f>
        <v>143.93595299999993</v>
      </c>
      <c r="I21" s="7">
        <f>I20-H20</f>
        <v>2541.1255070000188</v>
      </c>
      <c r="J21" s="7">
        <f>J20-I20</f>
        <v>-20334.352481000024</v>
      </c>
      <c r="L21" s="7">
        <f>L20-K20</f>
        <v>587.3289319999999</v>
      </c>
      <c r="M21" s="7">
        <f>M20-L20</f>
        <v>2494.9481840000003</v>
      </c>
      <c r="O21" s="7">
        <f>O20-N20</f>
        <v>-711.90947599999981</v>
      </c>
      <c r="P21" s="7">
        <f>P20-O20</f>
        <v>-256.01813600000014</v>
      </c>
      <c r="R21" s="7">
        <f>R20-Q20</f>
        <v>7654.3626480000003</v>
      </c>
      <c r="S21" s="7">
        <f>S20-R20</f>
        <v>-6302.460709</v>
      </c>
      <c r="U21" s="7">
        <f>U20-T20</f>
        <v>-700.14002000000073</v>
      </c>
      <c r="V21" s="7">
        <f>V20-U20</f>
        <v>886.208770000002</v>
      </c>
      <c r="X21" s="8"/>
      <c r="Y21" s="7"/>
      <c r="Z21" s="7"/>
      <c r="AA21" s="7"/>
    </row>
    <row r="22" spans="1:27" x14ac:dyDescent="0.25">
      <c r="A22" t="s">
        <v>64</v>
      </c>
      <c r="C22" s="2">
        <f>C21/B20</f>
        <v>0.3278223939290047</v>
      </c>
      <c r="D22" s="2">
        <f>D21/C20</f>
        <v>0.17942382984804395</v>
      </c>
      <c r="F22" s="2">
        <f>F21/E20</f>
        <v>-0.17276346850825114</v>
      </c>
      <c r="G22" s="2">
        <f>G21/F20</f>
        <v>0.12131816095339842</v>
      </c>
      <c r="I22" s="2">
        <f>I21/H20</f>
        <v>1.9150198173446344E-2</v>
      </c>
      <c r="J22" s="2">
        <f>J21/I20</f>
        <v>-0.15036242152988558</v>
      </c>
      <c r="L22" s="2">
        <f>L21/K20</f>
        <v>1.1413899869154718</v>
      </c>
      <c r="M22" s="2">
        <f>M21/L20</f>
        <v>2.2642189786008236</v>
      </c>
      <c r="O22" s="2">
        <f>O21/N20</f>
        <v>-0.31124908141482094</v>
      </c>
      <c r="P22" s="2">
        <f>P21/O20</f>
        <v>-0.16251439852538541</v>
      </c>
      <c r="R22" s="2">
        <f>R21/Q20</f>
        <v>5.409582286002296</v>
      </c>
      <c r="S22" s="2">
        <f>S21/R20</f>
        <v>-0.69492048877103574</v>
      </c>
      <c r="U22" s="2">
        <f>U21/T20</f>
        <v>-9.0236818708411853E-2</v>
      </c>
      <c r="V22" s="2">
        <f>V21/U20</f>
        <v>0.12554706377380628</v>
      </c>
      <c r="X22" s="8"/>
      <c r="Y22" s="7"/>
      <c r="AA22" s="7"/>
    </row>
    <row r="23" spans="1:27" x14ac:dyDescent="0.25">
      <c r="A23" s="6" t="s">
        <v>66</v>
      </c>
      <c r="B23" s="7">
        <f>SUM('Объединенные данные'!G121:G126)</f>
        <v>12366.352188000001</v>
      </c>
      <c r="C23">
        <f>SUM('Объединенные данные'!G780:G785)</f>
        <v>16691.092746000002</v>
      </c>
      <c r="D23" s="7">
        <f>SUM('Объединенные данные'!G1405:G1410)</f>
        <v>19659.808061</v>
      </c>
      <c r="E23" s="7">
        <f>SUM('Объединенные данные'!G168:G170)</f>
        <v>413.241557</v>
      </c>
      <c r="F23">
        <f>SUM('Объединенные данные'!G838:G840)</f>
        <v>423.045571</v>
      </c>
      <c r="G23" s="7">
        <f>SUM('Объединенные данные'!G1454:G1456)</f>
        <v>471.34536500000002</v>
      </c>
      <c r="H23" s="7">
        <f>SUM('Объединенные данные'!G376:G378,'Объединенные данные'!G358:G369)</f>
        <v>45310.787403999988</v>
      </c>
      <c r="I23">
        <f>SUM('Объединенные данные'!G1012:G1022,'Объединенные данные'!G1056:G1058)</f>
        <v>43809.542498999996</v>
      </c>
      <c r="J23" s="7">
        <f>SUM('Объединенные данные'!G1586:G1595,'Объединенные данные'!G1629:G1631)</f>
        <v>35212.073564000006</v>
      </c>
      <c r="K23" s="7">
        <f>SUM('Объединенные данные'!G442:G445)</f>
        <v>155.77582699999999</v>
      </c>
      <c r="L23">
        <f>SUM('Объединенные данные'!G1139:G1143)</f>
        <v>391.54515100000003</v>
      </c>
      <c r="M23" s="7">
        <f>SUM('Объединенные данные'!G1757:G1760)</f>
        <v>1163.9420070000001</v>
      </c>
      <c r="N23" s="7">
        <f>SUM('Объединенные данные'!G559:G561)</f>
        <v>631.44434699999999</v>
      </c>
      <c r="O23">
        <f>SUM('Объединенные данные'!G1195:G1197)</f>
        <v>527.70890400000008</v>
      </c>
      <c r="P23" s="7">
        <f>SUM('Объединенные данные'!G1829:G1831)</f>
        <v>451.35932400000002</v>
      </c>
      <c r="Q23" s="7">
        <f>SUM('Объединенные данные'!G616:G617)</f>
        <v>440.93899299999998</v>
      </c>
      <c r="R23">
        <f>SUM('Объединенные данные'!G1279:G1281)</f>
        <v>2581.203759</v>
      </c>
      <c r="S23" s="7">
        <f>SUM('Объединенные данные'!G1935:G1937)</f>
        <v>824.36231399999997</v>
      </c>
      <c r="T23" s="7">
        <f>SUM('Объединенные данные'!G651:G653)</f>
        <v>2219.7371619999999</v>
      </c>
      <c r="U23">
        <f>SUM('Объединенные данные'!G1323:G1328)</f>
        <v>2267.3318550000004</v>
      </c>
      <c r="V23" s="7">
        <f>SUM('Объединенные данные'!G2004:G2009)</f>
        <v>2966.3080709999999</v>
      </c>
    </row>
    <row r="24" spans="1:27" x14ac:dyDescent="0.25">
      <c r="A24" t="s">
        <v>63</v>
      </c>
      <c r="C24">
        <f>C23-B23</f>
        <v>4324.7405580000013</v>
      </c>
      <c r="D24">
        <f>D23-C23</f>
        <v>2968.7153149999976</v>
      </c>
      <c r="F24">
        <f>F23-E23</f>
        <v>9.8040139999999951</v>
      </c>
      <c r="G24">
        <f>G23-F23</f>
        <v>48.29979400000002</v>
      </c>
      <c r="I24" s="7">
        <f>I23-H23</f>
        <v>-1501.2449049999923</v>
      </c>
      <c r="J24" s="7">
        <f>J23-I23</f>
        <v>-8597.4689349999899</v>
      </c>
      <c r="L24" s="7">
        <f>L23-K23</f>
        <v>235.76932400000004</v>
      </c>
      <c r="M24" s="7">
        <f>M23-L23</f>
        <v>772.39685600000007</v>
      </c>
      <c r="O24" s="7">
        <f>O23-N23</f>
        <v>-103.73544299999992</v>
      </c>
      <c r="P24" s="7">
        <f>P23-O23</f>
        <v>-76.34958000000006</v>
      </c>
      <c r="R24" s="7">
        <f>R23-Q23</f>
        <v>2140.2647660000002</v>
      </c>
      <c r="S24" s="7">
        <f>S23-R23</f>
        <v>-1756.841445</v>
      </c>
      <c r="U24" s="7">
        <f>U23-T23</f>
        <v>47.594693000000461</v>
      </c>
      <c r="V24" s="7">
        <f>V23-U23</f>
        <v>698.97621599999957</v>
      </c>
    </row>
    <row r="25" spans="1:27" x14ac:dyDescent="0.25">
      <c r="A25" t="s">
        <v>64</v>
      </c>
      <c r="C25" s="2">
        <f>C24/B23</f>
        <v>0.34971837226151636</v>
      </c>
      <c r="D25" s="2">
        <f>D24/C23</f>
        <v>0.17786225025389343</v>
      </c>
      <c r="F25" s="2">
        <f>F24/E23</f>
        <v>2.3724656520931642E-2</v>
      </c>
      <c r="G25" s="2">
        <f>G24/F23</f>
        <v>0.11417161013133505</v>
      </c>
      <c r="I25" s="2">
        <f>I24/H23</f>
        <v>-3.3132174279263661E-2</v>
      </c>
      <c r="J25" s="2">
        <f>J24/I23</f>
        <v>-0.19624648979605841</v>
      </c>
      <c r="L25" s="2">
        <f>L24/K23</f>
        <v>1.5135167537900476</v>
      </c>
      <c r="M25" s="2">
        <f>M24/L23</f>
        <v>1.9726891114021228</v>
      </c>
      <c r="O25" s="2">
        <f>O24/N23</f>
        <v>-0.16428279624775852</v>
      </c>
      <c r="P25" s="2">
        <f>P24/O23</f>
        <v>-0.14468124267238069</v>
      </c>
      <c r="R25" s="2">
        <f>R24/Q23</f>
        <v>4.8538795615202037</v>
      </c>
      <c r="S25" s="2">
        <f>S24/R23</f>
        <v>-0.6806287333475094</v>
      </c>
      <c r="U25" s="2">
        <f>U24/T23</f>
        <v>2.1441589488512814E-2</v>
      </c>
      <c r="V25" s="2">
        <f>V24/U23</f>
        <v>0.30828139006585759</v>
      </c>
    </row>
    <row r="29" spans="1:27" x14ac:dyDescent="0.25">
      <c r="B29" s="3">
        <v>2020</v>
      </c>
      <c r="C29" s="3">
        <v>2021</v>
      </c>
      <c r="D29" s="3">
        <v>2022</v>
      </c>
    </row>
    <row r="30" spans="1:27" x14ac:dyDescent="0.25">
      <c r="A30" s="3" t="s">
        <v>9</v>
      </c>
      <c r="B30">
        <v>496393.3974640001</v>
      </c>
      <c r="C30">
        <v>471523.69426499977</v>
      </c>
      <c r="D30">
        <v>500728.41384900024</v>
      </c>
    </row>
    <row r="31" spans="1:27" x14ac:dyDescent="0.25">
      <c r="A31" s="3" t="s">
        <v>14</v>
      </c>
      <c r="B31">
        <v>137428.51044599997</v>
      </c>
      <c r="C31">
        <v>163431.95243300006</v>
      </c>
      <c r="D31">
        <v>221366.50213900005</v>
      </c>
      <c r="X31" s="8"/>
    </row>
    <row r="32" spans="1:27" x14ac:dyDescent="0.25">
      <c r="A32" s="3" t="s">
        <v>16</v>
      </c>
      <c r="B32">
        <v>37160.190295999993</v>
      </c>
      <c r="C32">
        <v>31878.142958000008</v>
      </c>
      <c r="D32">
        <v>31060.392490000006</v>
      </c>
    </row>
    <row r="33" spans="1:18" x14ac:dyDescent="0.25">
      <c r="A33" s="3" t="s">
        <v>19</v>
      </c>
      <c r="B33">
        <v>14288.243952999999</v>
      </c>
      <c r="C33">
        <v>6131.2491629999986</v>
      </c>
      <c r="D33">
        <v>4388.8159610000002</v>
      </c>
    </row>
    <row r="34" spans="1:18" x14ac:dyDescent="0.25">
      <c r="A34" s="3" t="s">
        <v>17</v>
      </c>
      <c r="B34">
        <v>5797.2830030000005</v>
      </c>
      <c r="C34">
        <v>14061.567713000002</v>
      </c>
      <c r="D34">
        <v>15712.971506999997</v>
      </c>
    </row>
    <row r="35" spans="1:18" x14ac:dyDescent="0.25">
      <c r="A35" s="3" t="s">
        <v>30</v>
      </c>
      <c r="B35">
        <v>5688.7062909999995</v>
      </c>
      <c r="C35">
        <v>5259.9316069999995</v>
      </c>
      <c r="D35">
        <v>5900.4470929999989</v>
      </c>
    </row>
    <row r="36" spans="1:18" x14ac:dyDescent="0.25">
      <c r="A36" s="3" t="s">
        <v>20</v>
      </c>
      <c r="B36">
        <v>1878.9583240000004</v>
      </c>
      <c r="C36">
        <v>2601.1356250000003</v>
      </c>
      <c r="D36">
        <v>15480.621319999997</v>
      </c>
    </row>
    <row r="38" spans="1:18" x14ac:dyDescent="0.25">
      <c r="R38" s="8"/>
    </row>
    <row r="40" spans="1:18" x14ac:dyDescent="0.25">
      <c r="R40" s="8"/>
    </row>
    <row r="41" spans="1:18" x14ac:dyDescent="0.25">
      <c r="R41" s="8"/>
    </row>
    <row r="43" spans="1:18" x14ac:dyDescent="0.25">
      <c r="R43" s="8"/>
    </row>
    <row r="44" spans="1:18" x14ac:dyDescent="0.25">
      <c r="R44" s="8"/>
    </row>
    <row r="46" spans="1:18" x14ac:dyDescent="0.25">
      <c r="R46" s="8"/>
    </row>
    <row r="47" spans="1:18" x14ac:dyDescent="0.25">
      <c r="R47" s="8"/>
    </row>
    <row r="62" spans="1:15" x14ac:dyDescent="0.25">
      <c r="A62" s="12" t="s">
        <v>77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</sheetData>
  <sortState ref="A30:D36">
    <sortCondition descending="1" ref="B30:B36"/>
  </sortState>
  <mergeCells count="7">
    <mergeCell ref="Q15:S15"/>
    <mergeCell ref="T15:V15"/>
    <mergeCell ref="N15:P15"/>
    <mergeCell ref="B15:D15"/>
    <mergeCell ref="E15:G15"/>
    <mergeCell ref="H15:J15"/>
    <mergeCell ref="K15:M1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CDD9-B258-4180-A4AC-270FDC9CA730}">
  <dimension ref="A1:V2070"/>
  <sheetViews>
    <sheetView topLeftCell="A34" workbookViewId="0">
      <selection activeCell="D57" sqref="D57"/>
    </sheetView>
  </sheetViews>
  <sheetFormatPr defaultRowHeight="15" x14ac:dyDescent="0.25"/>
  <cols>
    <col min="1" max="1" width="13.7109375" customWidth="1"/>
    <col min="2" max="2" width="17" customWidth="1"/>
    <col min="3" max="3" width="18.42578125" customWidth="1"/>
    <col min="4" max="4" width="17.28515625" customWidth="1"/>
    <col min="5" max="5" width="12.7109375" customWidth="1"/>
    <col min="6" max="6" width="18.85546875" customWidth="1"/>
    <col min="7" max="7" width="18.42578125" customWidth="1"/>
    <col min="8" max="8" width="17" customWidth="1"/>
    <col min="9" max="9" width="13.7109375" customWidth="1"/>
    <col min="10" max="10" width="9.5703125" bestFit="1" customWidth="1"/>
    <col min="13" max="13" width="11.42578125" customWidth="1"/>
    <col min="14" max="14" width="11" customWidth="1"/>
    <col min="15" max="15" width="13.140625" customWidth="1"/>
  </cols>
  <sheetData>
    <row r="1" spans="1:9" x14ac:dyDescent="0.25">
      <c r="A1" s="3" t="s">
        <v>78</v>
      </c>
      <c r="B1" s="3"/>
      <c r="C1" s="3"/>
    </row>
    <row r="2" spans="1:9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46</v>
      </c>
      <c r="H2" s="15" t="s">
        <v>6</v>
      </c>
      <c r="I2" s="16" t="s">
        <v>7</v>
      </c>
    </row>
    <row r="3" spans="1:9" x14ac:dyDescent="0.25">
      <c r="A3">
        <f>COUNTBLANK(Копия_20206[Year])</f>
        <v>0</v>
      </c>
      <c r="B3">
        <f>COUNTBLANK(Копия_20206[Month])</f>
        <v>0</v>
      </c>
      <c r="C3">
        <f>COUNTBLANK(Копия_20206[Channel])</f>
        <v>0</v>
      </c>
      <c r="D3">
        <f>COUNTBLANK(Копия_20206[Brand])</f>
        <v>0</v>
      </c>
      <c r="E3">
        <f>COUNTBLANK(Копия_20206[Weight range])</f>
        <v>0</v>
      </c>
      <c r="F3">
        <f>COUNTBLANK(Копия_20206[Units (in 1000)])</f>
        <v>0</v>
      </c>
      <c r="G3">
        <f>COUNTBLANK(Копия_20206[Value (in 1000 rub)])</f>
        <v>0</v>
      </c>
      <c r="H3">
        <f>COUNTBLANK(Копия_20206[Volume (in 1000 kg)])</f>
        <v>0</v>
      </c>
      <c r="I3">
        <f>COUNTBLANK(Копия_20206[Number of stores])</f>
        <v>0</v>
      </c>
    </row>
    <row r="5" spans="1:9" x14ac:dyDescent="0.25">
      <c r="A5" s="3" t="s">
        <v>79</v>
      </c>
      <c r="B5" s="3"/>
      <c r="C5" s="3" t="s">
        <v>80</v>
      </c>
      <c r="D5" s="3"/>
      <c r="E5" s="17" t="s">
        <v>81</v>
      </c>
    </row>
    <row r="6" spans="1:9" x14ac:dyDescent="0.25">
      <c r="A6" t="s">
        <v>29</v>
      </c>
      <c r="C6" t="s">
        <v>39</v>
      </c>
      <c r="E6" t="s">
        <v>18</v>
      </c>
    </row>
    <row r="7" spans="1:9" x14ac:dyDescent="0.25">
      <c r="A7" t="s">
        <v>8</v>
      </c>
      <c r="C7" t="s">
        <v>15</v>
      </c>
      <c r="E7" t="s">
        <v>45</v>
      </c>
    </row>
    <row r="8" spans="1:9" x14ac:dyDescent="0.25">
      <c r="A8" t="s">
        <v>25</v>
      </c>
      <c r="C8" t="s">
        <v>14</v>
      </c>
      <c r="E8" t="s">
        <v>10</v>
      </c>
    </row>
    <row r="9" spans="1:9" x14ac:dyDescent="0.25">
      <c r="C9" t="s">
        <v>51</v>
      </c>
      <c r="E9" t="s">
        <v>21</v>
      </c>
    </row>
    <row r="10" spans="1:9" x14ac:dyDescent="0.25">
      <c r="C10" t="s">
        <v>23</v>
      </c>
      <c r="E10" t="s">
        <v>35</v>
      </c>
    </row>
    <row r="11" spans="1:9" x14ac:dyDescent="0.25">
      <c r="C11" t="s">
        <v>42</v>
      </c>
      <c r="E11" t="s">
        <v>11</v>
      </c>
    </row>
    <row r="12" spans="1:9" x14ac:dyDescent="0.25">
      <c r="C12" t="s">
        <v>41</v>
      </c>
      <c r="E12" t="s">
        <v>12</v>
      </c>
    </row>
    <row r="13" spans="1:9" x14ac:dyDescent="0.25">
      <c r="C13" t="s">
        <v>52</v>
      </c>
      <c r="E13" t="s">
        <v>13</v>
      </c>
    </row>
    <row r="14" spans="1:9" x14ac:dyDescent="0.25">
      <c r="C14" t="s">
        <v>30</v>
      </c>
    </row>
    <row r="15" spans="1:9" x14ac:dyDescent="0.25">
      <c r="C15" t="s">
        <v>57</v>
      </c>
    </row>
    <row r="16" spans="1:9" x14ac:dyDescent="0.25">
      <c r="C16" t="s">
        <v>33</v>
      </c>
    </row>
    <row r="17" spans="3:3" x14ac:dyDescent="0.25">
      <c r="C17" t="s">
        <v>56</v>
      </c>
    </row>
    <row r="18" spans="3:3" x14ac:dyDescent="0.25">
      <c r="C18" t="s">
        <v>26</v>
      </c>
    </row>
    <row r="19" spans="3:3" x14ac:dyDescent="0.25">
      <c r="C19" t="s">
        <v>9</v>
      </c>
    </row>
    <row r="20" spans="3:3" x14ac:dyDescent="0.25">
      <c r="C20" t="s">
        <v>27</v>
      </c>
    </row>
    <row r="21" spans="3:3" x14ac:dyDescent="0.25">
      <c r="C21" t="s">
        <v>60</v>
      </c>
    </row>
    <row r="22" spans="3:3" x14ac:dyDescent="0.25">
      <c r="C22" t="s">
        <v>40</v>
      </c>
    </row>
    <row r="23" spans="3:3" x14ac:dyDescent="0.25">
      <c r="C23" t="s">
        <v>34</v>
      </c>
    </row>
    <row r="24" spans="3:3" x14ac:dyDescent="0.25">
      <c r="C24" t="s">
        <v>50</v>
      </c>
    </row>
    <row r="25" spans="3:3" x14ac:dyDescent="0.25">
      <c r="C25" t="s">
        <v>48</v>
      </c>
    </row>
    <row r="26" spans="3:3" x14ac:dyDescent="0.25">
      <c r="C26" t="s">
        <v>37</v>
      </c>
    </row>
    <row r="27" spans="3:3" x14ac:dyDescent="0.25">
      <c r="C27" t="s">
        <v>55</v>
      </c>
    </row>
    <row r="28" spans="3:3" x14ac:dyDescent="0.25">
      <c r="C28" t="s">
        <v>31</v>
      </c>
    </row>
    <row r="29" spans="3:3" x14ac:dyDescent="0.25">
      <c r="C29" t="s">
        <v>20</v>
      </c>
    </row>
    <row r="30" spans="3:3" x14ac:dyDescent="0.25">
      <c r="C30" t="s">
        <v>32</v>
      </c>
    </row>
    <row r="31" spans="3:3" x14ac:dyDescent="0.25">
      <c r="C31" t="s">
        <v>54</v>
      </c>
    </row>
    <row r="32" spans="3:3" x14ac:dyDescent="0.25">
      <c r="C32" t="s">
        <v>47</v>
      </c>
    </row>
    <row r="33" spans="1:3" x14ac:dyDescent="0.25">
      <c r="C33" t="s">
        <v>24</v>
      </c>
    </row>
    <row r="34" spans="1:3" x14ac:dyDescent="0.25">
      <c r="C34" t="s">
        <v>53</v>
      </c>
    </row>
    <row r="35" spans="1:3" x14ac:dyDescent="0.25">
      <c r="C35" t="s">
        <v>22</v>
      </c>
    </row>
    <row r="36" spans="1:3" x14ac:dyDescent="0.25">
      <c r="C36" t="s">
        <v>19</v>
      </c>
    </row>
    <row r="37" spans="1:3" x14ac:dyDescent="0.25">
      <c r="C37" t="s">
        <v>49</v>
      </c>
    </row>
    <row r="38" spans="1:3" x14ac:dyDescent="0.25">
      <c r="C38" t="s">
        <v>38</v>
      </c>
    </row>
    <row r="39" spans="1:3" x14ac:dyDescent="0.25">
      <c r="C39" t="s">
        <v>61</v>
      </c>
    </row>
    <row r="40" spans="1:3" x14ac:dyDescent="0.25">
      <c r="C40" t="s">
        <v>43</v>
      </c>
    </row>
    <row r="41" spans="1:3" x14ac:dyDescent="0.25">
      <c r="C41" t="s">
        <v>44</v>
      </c>
    </row>
    <row r="42" spans="1:3" x14ac:dyDescent="0.25">
      <c r="C42" t="s">
        <v>59</v>
      </c>
    </row>
    <row r="43" spans="1:3" x14ac:dyDescent="0.25">
      <c r="C43" t="s">
        <v>36</v>
      </c>
    </row>
    <row r="44" spans="1:3" x14ac:dyDescent="0.25">
      <c r="C44" t="s">
        <v>28</v>
      </c>
    </row>
    <row r="45" spans="1:3" x14ac:dyDescent="0.25">
      <c r="C45" t="s">
        <v>17</v>
      </c>
    </row>
    <row r="46" spans="1:3" x14ac:dyDescent="0.25">
      <c r="C46" t="s">
        <v>16</v>
      </c>
    </row>
    <row r="48" spans="1:3" x14ac:dyDescent="0.25">
      <c r="A48" t="s">
        <v>82</v>
      </c>
    </row>
    <row r="49" spans="1:22" x14ac:dyDescent="0.25">
      <c r="A49" t="s">
        <v>107</v>
      </c>
    </row>
    <row r="50" spans="1:22" x14ac:dyDescent="0.25">
      <c r="A50" t="s">
        <v>83</v>
      </c>
    </row>
    <row r="52" spans="1:22" x14ac:dyDescent="0.25">
      <c r="A52" s="3" t="s">
        <v>68</v>
      </c>
      <c r="B52" s="3"/>
      <c r="C52" s="3"/>
      <c r="D52" s="3"/>
      <c r="E52" s="3"/>
      <c r="F52" s="3"/>
      <c r="G52" s="3"/>
    </row>
    <row r="53" spans="1:22" x14ac:dyDescent="0.25">
      <c r="B53" s="77" t="s">
        <v>69</v>
      </c>
      <c r="C53" s="77"/>
      <c r="D53" s="77"/>
      <c r="E53" s="76" t="s">
        <v>70</v>
      </c>
      <c r="F53" s="76"/>
      <c r="G53" s="76"/>
      <c r="H53" s="77" t="s">
        <v>71</v>
      </c>
      <c r="I53" s="77"/>
      <c r="J53" s="77"/>
      <c r="K53" s="76" t="s">
        <v>72</v>
      </c>
      <c r="L53" s="76"/>
      <c r="M53" s="76"/>
      <c r="N53" s="77" t="s">
        <v>73</v>
      </c>
      <c r="O53" s="77"/>
      <c r="P53" s="77"/>
      <c r="Q53" s="76" t="s">
        <v>74</v>
      </c>
      <c r="R53" s="76"/>
      <c r="S53" s="76"/>
      <c r="T53" s="77" t="s">
        <v>75</v>
      </c>
      <c r="U53" s="77"/>
      <c r="V53" s="77"/>
    </row>
    <row r="54" spans="1:22" x14ac:dyDescent="0.25">
      <c r="A54" t="s">
        <v>76</v>
      </c>
      <c r="B54">
        <v>2020</v>
      </c>
      <c r="C54">
        <v>2021</v>
      </c>
      <c r="D54">
        <v>2022</v>
      </c>
      <c r="E54">
        <v>2020</v>
      </c>
      <c r="F54">
        <v>2021</v>
      </c>
      <c r="G54">
        <v>2022</v>
      </c>
      <c r="H54">
        <v>2020</v>
      </c>
      <c r="I54">
        <v>2021</v>
      </c>
      <c r="J54">
        <v>2022</v>
      </c>
      <c r="K54">
        <v>2020</v>
      </c>
      <c r="L54">
        <v>2021</v>
      </c>
      <c r="M54">
        <v>2022</v>
      </c>
      <c r="N54">
        <v>2020</v>
      </c>
      <c r="O54">
        <v>2021</v>
      </c>
      <c r="P54">
        <v>2022</v>
      </c>
      <c r="Q54">
        <v>2020</v>
      </c>
      <c r="R54">
        <v>2021</v>
      </c>
      <c r="S54">
        <v>2022</v>
      </c>
      <c r="T54">
        <v>2020</v>
      </c>
      <c r="U54">
        <v>2021</v>
      </c>
      <c r="V54">
        <v>2022</v>
      </c>
    </row>
    <row r="55" spans="1:22" x14ac:dyDescent="0.25">
      <c r="A55" s="6" t="s">
        <v>62</v>
      </c>
      <c r="B55" s="7">
        <f>SUM('Объединенные данные'!G84:G126)</f>
        <v>137428.51044599997</v>
      </c>
      <c r="C55">
        <f>SUM('Объединенные данные'!G714:G785)</f>
        <v>163431.95243300006</v>
      </c>
      <c r="D55" s="7">
        <f>SUM('Объединенные данные'!G1339:G1410)</f>
        <v>221366.50213900005</v>
      </c>
      <c r="E55" s="7">
        <f>SUM('Объединенные данные'!G133:G170)</f>
        <v>5688.7062909999995</v>
      </c>
      <c r="F55">
        <f>SUM('Объединенные данные'!G805:G840)</f>
        <v>5259.9316069999995</v>
      </c>
      <c r="G55" s="7">
        <f>SUM('Объединенные данные'!G1421:G1456)</f>
        <v>5900.4470929999989</v>
      </c>
      <c r="H55" s="7">
        <f>SUM('Объединенные данные'!G217:G378)</f>
        <v>496393.3974640001</v>
      </c>
      <c r="I55">
        <f>SUM('Объединенные данные'!G890:G1058)</f>
        <v>522684.06106499984</v>
      </c>
      <c r="J55" s="7">
        <f>SUM('Объединенные данные'!G1465:G1631)</f>
        <v>500728.41384900024</v>
      </c>
      <c r="K55" s="7">
        <f>SUM('Объединенные данные'!G402:G445)</f>
        <v>1878.9583240000004</v>
      </c>
      <c r="L55">
        <f>SUM('Объединенные данные'!G1102:G1143)</f>
        <v>2601.1356250000003</v>
      </c>
      <c r="M55" s="7">
        <f>SUM('Объединенные данные'!G1669:G1760)</f>
        <v>15480.621319999997</v>
      </c>
      <c r="N55" s="7">
        <f>SUM('Объединенные данные'!G526:G561)</f>
        <v>14288.243952999999</v>
      </c>
      <c r="O55">
        <f>SUM('Объединенные данные'!G1165:G1197)</f>
        <v>6131.2491629999986</v>
      </c>
      <c r="P55" s="7">
        <f>SUM('Объединенные данные'!G1805:G1831)</f>
        <v>4388.8159610000002</v>
      </c>
      <c r="Q55" s="7">
        <f>SUM('Объединенные данные'!G591:G617)</f>
        <v>5797.2830030000005</v>
      </c>
      <c r="R55">
        <f>SUM('Объединенные данные'!G1254:G1281)</f>
        <v>14061.567713000002</v>
      </c>
      <c r="S55" s="7">
        <f>SUM('Объединенные данные'!G1902:G1937)</f>
        <v>15712.971506999997</v>
      </c>
      <c r="T55" s="7">
        <f>SUM('Объединенные данные'!G618:G653)</f>
        <v>37160.190295999993</v>
      </c>
      <c r="U55">
        <f>SUM('Объединенные данные'!G1282:G1328)</f>
        <v>31878.142958000008</v>
      </c>
      <c r="V55" s="7">
        <f>SUM('Объединенные данные'!G1938:G2009)</f>
        <v>31060.392490000006</v>
      </c>
    </row>
    <row r="56" spans="1:22" x14ac:dyDescent="0.25">
      <c r="A56" t="s">
        <v>63</v>
      </c>
      <c r="C56" s="7">
        <f>C55-B55</f>
        <v>26003.441987000086</v>
      </c>
      <c r="D56" s="7">
        <f>D55-C55</f>
        <v>57934.549705999991</v>
      </c>
      <c r="F56" s="7">
        <f>F55-E55</f>
        <v>-428.77468399999998</v>
      </c>
      <c r="G56" s="7">
        <f>G55-F55</f>
        <v>640.51548599999933</v>
      </c>
      <c r="I56" s="7">
        <f>I55-H55</f>
        <v>26290.663600999746</v>
      </c>
      <c r="J56" s="7">
        <f>J55-I55</f>
        <v>-21955.647215999605</v>
      </c>
      <c r="L56" s="7">
        <f>L55-K55</f>
        <v>722.17730099999994</v>
      </c>
      <c r="M56" s="7">
        <f>M55-L55</f>
        <v>12879.485694999996</v>
      </c>
      <c r="O56" s="7">
        <f>O55-N55</f>
        <v>-8156.9947900000006</v>
      </c>
      <c r="P56" s="7">
        <f>P55-O55</f>
        <v>-1742.4332019999983</v>
      </c>
      <c r="R56" s="7">
        <f>R55-Q55</f>
        <v>8264.2847100000017</v>
      </c>
      <c r="S56" s="7">
        <f>S55-R55</f>
        <v>1651.4037939999944</v>
      </c>
      <c r="U56" s="7">
        <f>U55-T55</f>
        <v>-5282.0473379999858</v>
      </c>
      <c r="V56" s="7">
        <f>V55-U55</f>
        <v>-817.750468000002</v>
      </c>
    </row>
    <row r="57" spans="1:22" x14ac:dyDescent="0.25">
      <c r="A57" t="s">
        <v>64</v>
      </c>
      <c r="C57" s="18">
        <f>C56/B55</f>
        <v>0.18921431879462641</v>
      </c>
      <c r="D57" s="18">
        <f>D56/C55</f>
        <v>0.35448728870659868</v>
      </c>
      <c r="F57" s="18">
        <f>F56/E55</f>
        <v>-7.5372969189560157E-2</v>
      </c>
      <c r="G57" s="18">
        <f>G56/F55</f>
        <v>0.12177258828757227</v>
      </c>
      <c r="I57" s="18">
        <f>I56/H55</f>
        <v>5.2963362799172652E-2</v>
      </c>
      <c r="J57" s="18">
        <f>J56/I55</f>
        <v>-4.2005580141976528E-2</v>
      </c>
      <c r="L57" s="18">
        <f>L56/K55</f>
        <v>0.38434982392935702</v>
      </c>
      <c r="M57" s="18">
        <f>M56/L55</f>
        <v>4.95148564004616</v>
      </c>
      <c r="O57" s="18">
        <f>O56/N55</f>
        <v>-0.57088854423481028</v>
      </c>
      <c r="P57" s="18">
        <f>P56/O55</f>
        <v>-0.28418894024320357</v>
      </c>
      <c r="R57" s="18">
        <f>R56/Q55</f>
        <v>1.4255444672484279</v>
      </c>
      <c r="S57" s="18">
        <f>S56/R55</f>
        <v>0.11744094454512791</v>
      </c>
      <c r="T57" s="2"/>
      <c r="U57" s="18">
        <f>U56/T55</f>
        <v>-0.14214263425256349</v>
      </c>
      <c r="V57" s="18">
        <f>V56/U55</f>
        <v>-2.5652387250957562E-2</v>
      </c>
    </row>
    <row r="59" spans="1:22" x14ac:dyDescent="0.25">
      <c r="A59" t="s">
        <v>106</v>
      </c>
    </row>
    <row r="62" spans="1:22" x14ac:dyDescent="0.25">
      <c r="A62" s="28"/>
      <c r="B62" s="23"/>
      <c r="C62" s="23"/>
      <c r="D62" s="24"/>
    </row>
    <row r="63" spans="1:22" x14ac:dyDescent="0.25">
      <c r="A63" s="25"/>
      <c r="B63" s="25"/>
      <c r="C63" s="25"/>
      <c r="D63" s="26"/>
    </row>
    <row r="64" spans="1:22" x14ac:dyDescent="0.25">
      <c r="A64" s="25"/>
      <c r="B64" s="25"/>
      <c r="C64" s="25"/>
      <c r="D64" s="26"/>
    </row>
    <row r="65" spans="1:4" x14ac:dyDescent="0.25">
      <c r="A65" s="25"/>
      <c r="B65" s="25"/>
      <c r="C65" s="25"/>
      <c r="D65" s="26"/>
    </row>
    <row r="66" spans="1:4" x14ac:dyDescent="0.25">
      <c r="A66" s="25"/>
      <c r="B66" s="25"/>
      <c r="C66" s="25"/>
      <c r="D66" s="26"/>
    </row>
    <row r="67" spans="1:4" x14ac:dyDescent="0.25">
      <c r="A67" s="25"/>
      <c r="B67" s="25"/>
      <c r="C67" s="25"/>
      <c r="D67" s="26"/>
    </row>
    <row r="68" spans="1:4" x14ac:dyDescent="0.25">
      <c r="A68" s="25"/>
      <c r="B68" s="25"/>
      <c r="C68" s="25"/>
      <c r="D68" s="26"/>
    </row>
    <row r="69" spans="1:4" x14ac:dyDescent="0.25">
      <c r="A69" s="25"/>
      <c r="B69" s="25"/>
      <c r="C69" s="25"/>
      <c r="D69" s="26"/>
    </row>
    <row r="70" spans="1:4" x14ac:dyDescent="0.25">
      <c r="A70" s="25"/>
      <c r="B70" s="25"/>
      <c r="C70" s="25"/>
      <c r="D70" s="26"/>
    </row>
    <row r="71" spans="1:4" x14ac:dyDescent="0.25">
      <c r="A71" s="25"/>
      <c r="B71" s="25"/>
      <c r="C71" s="25"/>
      <c r="D71" s="26"/>
    </row>
    <row r="72" spans="1:4" x14ac:dyDescent="0.25">
      <c r="A72" s="25"/>
      <c r="B72" s="25"/>
      <c r="C72" s="25"/>
      <c r="D72" s="26"/>
    </row>
    <row r="73" spans="1:4" x14ac:dyDescent="0.25">
      <c r="A73" s="25"/>
      <c r="B73" s="25"/>
      <c r="C73" s="25"/>
      <c r="D73" s="26"/>
    </row>
    <row r="74" spans="1:4" x14ac:dyDescent="0.25">
      <c r="A74" s="25"/>
      <c r="B74" s="25"/>
      <c r="C74" s="25"/>
      <c r="D74" s="26"/>
    </row>
    <row r="75" spans="1:4" x14ac:dyDescent="0.25">
      <c r="A75" s="25"/>
      <c r="B75" s="25"/>
      <c r="C75" s="25"/>
      <c r="D75" s="26"/>
    </row>
    <row r="76" spans="1:4" x14ac:dyDescent="0.25">
      <c r="A76" s="25"/>
      <c r="B76" s="25"/>
      <c r="C76" s="25"/>
      <c r="D76" s="26"/>
    </row>
    <row r="77" spans="1:4" x14ac:dyDescent="0.25">
      <c r="A77" s="25"/>
      <c r="B77" s="25"/>
      <c r="C77" s="25"/>
      <c r="D77" s="26"/>
    </row>
    <row r="78" spans="1:4" x14ac:dyDescent="0.25">
      <c r="A78" s="25"/>
      <c r="B78" s="25"/>
      <c r="C78" s="25"/>
      <c r="D78" s="26"/>
    </row>
    <row r="79" spans="1:4" x14ac:dyDescent="0.25">
      <c r="A79" s="25"/>
      <c r="B79" s="25"/>
      <c r="C79" s="25"/>
      <c r="D79" s="26"/>
    </row>
    <row r="80" spans="1:4" x14ac:dyDescent="0.25">
      <c r="A80" s="25"/>
      <c r="B80" s="25"/>
      <c r="C80" s="25"/>
      <c r="D80" s="26"/>
    </row>
    <row r="81" spans="1:4" x14ac:dyDescent="0.25">
      <c r="A81" s="25"/>
      <c r="B81" s="25"/>
      <c r="C81" s="25"/>
      <c r="D81" s="26"/>
    </row>
    <row r="82" spans="1:4" x14ac:dyDescent="0.25">
      <c r="A82" s="25"/>
      <c r="B82" s="25"/>
      <c r="C82" s="25"/>
      <c r="D82" s="26"/>
    </row>
    <row r="83" spans="1:4" x14ac:dyDescent="0.25">
      <c r="A83" s="25"/>
      <c r="B83" s="25"/>
      <c r="C83" s="25"/>
      <c r="D83" s="26"/>
    </row>
    <row r="84" spans="1:4" x14ac:dyDescent="0.25">
      <c r="A84" s="25"/>
      <c r="B84" s="25"/>
      <c r="C84" s="25"/>
      <c r="D84" s="26"/>
    </row>
    <row r="85" spans="1:4" x14ac:dyDescent="0.25">
      <c r="A85" s="25"/>
      <c r="B85" s="25"/>
      <c r="C85" s="25"/>
      <c r="D85" s="26"/>
    </row>
    <row r="86" spans="1:4" x14ac:dyDescent="0.25">
      <c r="A86" s="25"/>
      <c r="B86" s="25"/>
      <c r="C86" s="25"/>
      <c r="D86" s="26"/>
    </row>
    <row r="87" spans="1:4" x14ac:dyDescent="0.25">
      <c r="A87" s="25"/>
      <c r="B87" s="25"/>
      <c r="C87" s="25"/>
      <c r="D87" s="26"/>
    </row>
    <row r="88" spans="1:4" x14ac:dyDescent="0.25">
      <c r="A88" s="25"/>
      <c r="B88" s="25"/>
      <c r="C88" s="27"/>
      <c r="D88" s="26"/>
    </row>
    <row r="89" spans="1:4" x14ac:dyDescent="0.25">
      <c r="A89" s="25"/>
      <c r="B89" s="25"/>
      <c r="C89" s="25"/>
      <c r="D89" s="26"/>
    </row>
    <row r="90" spans="1:4" x14ac:dyDescent="0.25">
      <c r="A90" s="25"/>
      <c r="B90" s="25"/>
      <c r="C90" s="25"/>
      <c r="D90" s="26"/>
    </row>
    <row r="91" spans="1:4" x14ac:dyDescent="0.25">
      <c r="A91" s="25"/>
      <c r="B91" s="25"/>
      <c r="C91" s="25"/>
      <c r="D91" s="26"/>
    </row>
    <row r="92" spans="1:4" x14ac:dyDescent="0.25">
      <c r="A92" s="25"/>
      <c r="B92" s="25"/>
      <c r="C92" s="25"/>
      <c r="D92" s="26"/>
    </row>
    <row r="93" spans="1:4" x14ac:dyDescent="0.25">
      <c r="A93" s="25"/>
      <c r="B93" s="25"/>
      <c r="C93" s="25"/>
      <c r="D93" s="26"/>
    </row>
    <row r="94" spans="1:4" x14ac:dyDescent="0.25">
      <c r="A94" s="25"/>
      <c r="B94" s="25"/>
      <c r="C94" s="25"/>
      <c r="D94" s="26"/>
    </row>
    <row r="95" spans="1:4" x14ac:dyDescent="0.25">
      <c r="A95" s="25"/>
      <c r="B95" s="25"/>
      <c r="C95" s="25"/>
      <c r="D95" s="26"/>
    </row>
    <row r="96" spans="1:4" x14ac:dyDescent="0.25">
      <c r="A96" s="25"/>
      <c r="B96" s="25"/>
      <c r="C96" s="25"/>
      <c r="D96" s="26"/>
    </row>
    <row r="97" spans="1:4" x14ac:dyDescent="0.25">
      <c r="A97" s="25"/>
      <c r="B97" s="25"/>
      <c r="C97" s="25"/>
      <c r="D97" s="26"/>
    </row>
    <row r="98" spans="1:4" x14ac:dyDescent="0.25">
      <c r="A98" s="25"/>
      <c r="B98" s="25"/>
      <c r="C98" s="25"/>
      <c r="D98" s="26"/>
    </row>
    <row r="99" spans="1:4" x14ac:dyDescent="0.25">
      <c r="A99" s="25"/>
      <c r="B99" s="25"/>
      <c r="C99" s="25"/>
      <c r="D99" s="26"/>
    </row>
    <row r="100" spans="1:4" x14ac:dyDescent="0.25">
      <c r="A100" s="25"/>
      <c r="B100" s="25"/>
      <c r="C100" s="25"/>
      <c r="D100" s="26"/>
    </row>
    <row r="101" spans="1:4" x14ac:dyDescent="0.25">
      <c r="A101" s="25"/>
      <c r="B101" s="25"/>
      <c r="C101" s="25"/>
      <c r="D101" s="26"/>
    </row>
    <row r="102" spans="1:4" x14ac:dyDescent="0.25">
      <c r="A102" s="25"/>
      <c r="B102" s="25"/>
      <c r="C102" s="25"/>
      <c r="D102" s="26"/>
    </row>
    <row r="103" spans="1:4" x14ac:dyDescent="0.25">
      <c r="A103" s="25"/>
      <c r="B103" s="25"/>
      <c r="C103" s="25"/>
      <c r="D103" s="26"/>
    </row>
    <row r="104" spans="1:4" x14ac:dyDescent="0.25">
      <c r="A104" s="25"/>
      <c r="B104" s="25"/>
      <c r="C104" s="25"/>
      <c r="D104" s="26"/>
    </row>
    <row r="105" spans="1:4" x14ac:dyDescent="0.25">
      <c r="A105" s="25"/>
      <c r="B105" s="25"/>
      <c r="C105" s="25"/>
      <c r="D105" s="26"/>
    </row>
    <row r="106" spans="1:4" x14ac:dyDescent="0.25">
      <c r="A106" s="25"/>
      <c r="B106" s="25"/>
      <c r="C106" s="25"/>
      <c r="D106" s="26"/>
    </row>
    <row r="107" spans="1:4" x14ac:dyDescent="0.25">
      <c r="A107" s="25"/>
      <c r="B107" s="25"/>
      <c r="C107" s="25"/>
      <c r="D107" s="26"/>
    </row>
    <row r="108" spans="1:4" x14ac:dyDescent="0.25">
      <c r="A108" s="25"/>
      <c r="B108" s="25"/>
      <c r="C108" s="25"/>
      <c r="D108" s="26"/>
    </row>
    <row r="109" spans="1:4" x14ac:dyDescent="0.25">
      <c r="A109" s="25"/>
      <c r="B109" s="25"/>
      <c r="C109" s="25"/>
      <c r="D109" s="26"/>
    </row>
    <row r="110" spans="1:4" x14ac:dyDescent="0.25">
      <c r="A110" s="25"/>
      <c r="B110" s="25"/>
      <c r="C110" s="25"/>
      <c r="D110" s="26"/>
    </row>
    <row r="111" spans="1:4" x14ac:dyDescent="0.25">
      <c r="A111" s="25"/>
      <c r="B111" s="25"/>
      <c r="C111" s="25"/>
      <c r="D111" s="26"/>
    </row>
    <row r="112" spans="1:4" x14ac:dyDescent="0.25">
      <c r="A112" s="25"/>
      <c r="B112" s="25"/>
      <c r="C112" s="25"/>
      <c r="D112" s="26"/>
    </row>
    <row r="113" spans="1:4" x14ac:dyDescent="0.25">
      <c r="A113" s="25"/>
      <c r="B113" s="25"/>
      <c r="C113" s="25"/>
      <c r="D113" s="26"/>
    </row>
    <row r="114" spans="1:4" x14ac:dyDescent="0.25">
      <c r="A114" s="25"/>
      <c r="B114" s="25"/>
      <c r="C114" s="25"/>
      <c r="D114" s="26"/>
    </row>
    <row r="115" spans="1:4" x14ac:dyDescent="0.25">
      <c r="A115" s="25"/>
      <c r="B115" s="25"/>
      <c r="C115" s="25"/>
      <c r="D115" s="26"/>
    </row>
    <row r="116" spans="1:4" x14ac:dyDescent="0.25">
      <c r="A116" s="25"/>
      <c r="B116" s="25"/>
      <c r="C116" s="25"/>
      <c r="D116" s="26"/>
    </row>
    <row r="117" spans="1:4" x14ac:dyDescent="0.25">
      <c r="A117" s="25"/>
      <c r="B117" s="25"/>
      <c r="C117" s="25"/>
      <c r="D117" s="26"/>
    </row>
    <row r="118" spans="1:4" x14ac:dyDescent="0.25">
      <c r="A118" s="25"/>
      <c r="B118" s="25"/>
      <c r="C118" s="25"/>
      <c r="D118" s="26"/>
    </row>
    <row r="119" spans="1:4" x14ac:dyDescent="0.25">
      <c r="A119" s="25"/>
      <c r="B119" s="25"/>
      <c r="C119" s="25"/>
      <c r="D119" s="26"/>
    </row>
    <row r="120" spans="1:4" x14ac:dyDescent="0.25">
      <c r="A120" s="25"/>
      <c r="B120" s="25"/>
      <c r="C120" s="25"/>
      <c r="D120" s="26"/>
    </row>
    <row r="121" spans="1:4" x14ac:dyDescent="0.25">
      <c r="A121" s="25"/>
      <c r="B121" s="25"/>
      <c r="C121" s="25"/>
      <c r="D121" s="26"/>
    </row>
    <row r="122" spans="1:4" x14ac:dyDescent="0.25">
      <c r="A122" s="25"/>
      <c r="B122" s="25"/>
      <c r="C122" s="25"/>
      <c r="D122" s="26"/>
    </row>
    <row r="123" spans="1:4" x14ac:dyDescent="0.25">
      <c r="A123" s="25"/>
      <c r="B123" s="25"/>
      <c r="C123" s="25"/>
      <c r="D123" s="26"/>
    </row>
    <row r="124" spans="1:4" x14ac:dyDescent="0.25">
      <c r="A124" s="25"/>
      <c r="B124" s="25"/>
      <c r="C124" s="25"/>
      <c r="D124" s="26"/>
    </row>
    <row r="125" spans="1:4" x14ac:dyDescent="0.25">
      <c r="A125" s="25"/>
      <c r="B125" s="25"/>
      <c r="C125" s="25"/>
      <c r="D125" s="26"/>
    </row>
    <row r="126" spans="1:4" x14ac:dyDescent="0.25">
      <c r="A126" s="25"/>
      <c r="B126" s="25"/>
      <c r="C126" s="25"/>
      <c r="D126" s="26"/>
    </row>
    <row r="127" spans="1:4" x14ac:dyDescent="0.25">
      <c r="A127" s="25"/>
      <c r="B127" s="25"/>
      <c r="C127" s="25"/>
      <c r="D127" s="26"/>
    </row>
    <row r="128" spans="1:4" x14ac:dyDescent="0.25">
      <c r="A128" s="25"/>
      <c r="B128" s="25"/>
      <c r="C128" s="25"/>
      <c r="D128" s="26"/>
    </row>
    <row r="129" spans="1:4" x14ac:dyDescent="0.25">
      <c r="A129" s="25"/>
      <c r="B129" s="25"/>
      <c r="C129" s="25"/>
      <c r="D129" s="26"/>
    </row>
    <row r="130" spans="1:4" x14ac:dyDescent="0.25">
      <c r="A130" s="25"/>
      <c r="B130" s="25"/>
      <c r="C130" s="25"/>
      <c r="D130" s="26"/>
    </row>
    <row r="131" spans="1:4" x14ac:dyDescent="0.25">
      <c r="A131" s="25"/>
      <c r="B131" s="25"/>
      <c r="C131" s="25"/>
      <c r="D131" s="26"/>
    </row>
    <row r="132" spans="1:4" x14ac:dyDescent="0.25">
      <c r="A132" s="25"/>
      <c r="B132" s="25"/>
      <c r="C132" s="25"/>
      <c r="D132" s="26"/>
    </row>
    <row r="133" spans="1:4" x14ac:dyDescent="0.25">
      <c r="A133" s="25"/>
      <c r="B133" s="25"/>
      <c r="C133" s="25"/>
      <c r="D133" s="26"/>
    </row>
    <row r="134" spans="1:4" x14ac:dyDescent="0.25">
      <c r="A134" s="25"/>
      <c r="B134" s="25"/>
      <c r="C134" s="25"/>
      <c r="D134" s="26"/>
    </row>
    <row r="135" spans="1:4" x14ac:dyDescent="0.25">
      <c r="A135" s="25"/>
      <c r="B135" s="25"/>
      <c r="C135" s="25"/>
      <c r="D135" s="26"/>
    </row>
    <row r="136" spans="1:4" x14ac:dyDescent="0.25">
      <c r="A136" s="25"/>
      <c r="B136" s="25"/>
      <c r="C136" s="25"/>
      <c r="D136" s="26"/>
    </row>
    <row r="137" spans="1:4" x14ac:dyDescent="0.25">
      <c r="A137" s="25"/>
      <c r="B137" s="25"/>
      <c r="C137" s="25"/>
      <c r="D137" s="26"/>
    </row>
    <row r="138" spans="1:4" x14ac:dyDescent="0.25">
      <c r="A138" s="25"/>
      <c r="B138" s="25"/>
      <c r="C138" s="25"/>
      <c r="D138" s="26"/>
    </row>
    <row r="139" spans="1:4" x14ac:dyDescent="0.25">
      <c r="A139" s="25"/>
      <c r="B139" s="25"/>
      <c r="C139" s="25"/>
      <c r="D139" s="26"/>
    </row>
    <row r="140" spans="1:4" x14ac:dyDescent="0.25">
      <c r="A140" s="25"/>
      <c r="B140" s="25"/>
      <c r="C140" s="25"/>
      <c r="D140" s="26"/>
    </row>
    <row r="141" spans="1:4" x14ac:dyDescent="0.25">
      <c r="A141" s="25"/>
      <c r="B141" s="25"/>
      <c r="C141" s="25"/>
      <c r="D141" s="26"/>
    </row>
    <row r="142" spans="1:4" x14ac:dyDescent="0.25">
      <c r="A142" s="25"/>
      <c r="B142" s="25"/>
      <c r="C142" s="25"/>
      <c r="D142" s="26"/>
    </row>
    <row r="143" spans="1:4" x14ac:dyDescent="0.25">
      <c r="A143" s="25"/>
      <c r="B143" s="25"/>
      <c r="C143" s="25"/>
      <c r="D143" s="26"/>
    </row>
    <row r="144" spans="1:4" x14ac:dyDescent="0.25">
      <c r="A144" s="25"/>
      <c r="B144" s="25"/>
      <c r="C144" s="25"/>
      <c r="D144" s="26"/>
    </row>
    <row r="145" spans="1:4" x14ac:dyDescent="0.25">
      <c r="A145" s="25"/>
      <c r="B145" s="25"/>
      <c r="C145" s="25"/>
      <c r="D145" s="26"/>
    </row>
    <row r="146" spans="1:4" x14ac:dyDescent="0.25">
      <c r="A146" s="25"/>
      <c r="B146" s="25"/>
      <c r="C146" s="25"/>
      <c r="D146" s="26"/>
    </row>
    <row r="147" spans="1:4" x14ac:dyDescent="0.25">
      <c r="A147" s="25"/>
      <c r="B147" s="25"/>
      <c r="C147" s="25"/>
      <c r="D147" s="26"/>
    </row>
    <row r="148" spans="1:4" x14ac:dyDescent="0.25">
      <c r="A148" s="25"/>
      <c r="B148" s="25"/>
      <c r="C148" s="25"/>
      <c r="D148" s="26"/>
    </row>
    <row r="149" spans="1:4" x14ac:dyDescent="0.25">
      <c r="A149" s="25"/>
      <c r="B149" s="25"/>
      <c r="C149" s="25"/>
      <c r="D149" s="26"/>
    </row>
    <row r="150" spans="1:4" x14ac:dyDescent="0.25">
      <c r="A150" s="25"/>
      <c r="B150" s="25"/>
      <c r="C150" s="25"/>
      <c r="D150" s="26"/>
    </row>
    <row r="151" spans="1:4" x14ac:dyDescent="0.25">
      <c r="A151" s="25"/>
      <c r="B151" s="25"/>
      <c r="C151" s="25"/>
      <c r="D151" s="26"/>
    </row>
    <row r="152" spans="1:4" x14ac:dyDescent="0.25">
      <c r="A152" s="25"/>
      <c r="B152" s="25"/>
      <c r="C152" s="25"/>
      <c r="D152" s="26"/>
    </row>
    <row r="153" spans="1:4" x14ac:dyDescent="0.25">
      <c r="A153" s="25"/>
      <c r="B153" s="25"/>
      <c r="C153" s="25"/>
      <c r="D153" s="26"/>
    </row>
    <row r="154" spans="1:4" x14ac:dyDescent="0.25">
      <c r="A154" s="25"/>
      <c r="B154" s="25"/>
      <c r="C154" s="25"/>
      <c r="D154" s="26"/>
    </row>
    <row r="155" spans="1:4" x14ac:dyDescent="0.25">
      <c r="A155" s="25"/>
      <c r="B155" s="25"/>
      <c r="C155" s="25"/>
      <c r="D155" s="26"/>
    </row>
    <row r="156" spans="1:4" x14ac:dyDescent="0.25">
      <c r="A156" s="25"/>
      <c r="B156" s="25"/>
      <c r="C156" s="25"/>
      <c r="D156" s="26"/>
    </row>
    <row r="157" spans="1:4" x14ac:dyDescent="0.25">
      <c r="A157" s="25"/>
      <c r="B157" s="25"/>
      <c r="C157" s="25"/>
      <c r="D157" s="26"/>
    </row>
    <row r="158" spans="1:4" x14ac:dyDescent="0.25">
      <c r="A158" s="25"/>
      <c r="B158" s="25"/>
      <c r="C158" s="25"/>
      <c r="D158" s="26"/>
    </row>
    <row r="159" spans="1:4" x14ac:dyDescent="0.25">
      <c r="A159" s="25"/>
      <c r="B159" s="25"/>
      <c r="C159" s="25"/>
      <c r="D159" s="26"/>
    </row>
    <row r="160" spans="1:4" x14ac:dyDescent="0.25">
      <c r="A160" s="25"/>
      <c r="B160" s="25"/>
      <c r="C160" s="25"/>
      <c r="D160" s="26"/>
    </row>
    <row r="161" spans="1:4" x14ac:dyDescent="0.25">
      <c r="A161" s="25"/>
      <c r="B161" s="25"/>
      <c r="C161" s="25"/>
      <c r="D161" s="26"/>
    </row>
    <row r="162" spans="1:4" x14ac:dyDescent="0.25">
      <c r="A162" s="25"/>
      <c r="B162" s="25"/>
      <c r="C162" s="25"/>
      <c r="D162" s="26"/>
    </row>
    <row r="163" spans="1:4" x14ac:dyDescent="0.25">
      <c r="A163" s="25"/>
      <c r="B163" s="25"/>
      <c r="C163" s="25"/>
      <c r="D163" s="26"/>
    </row>
    <row r="164" spans="1:4" x14ac:dyDescent="0.25">
      <c r="A164" s="25"/>
      <c r="B164" s="25"/>
      <c r="C164" s="25"/>
      <c r="D164" s="26"/>
    </row>
    <row r="165" spans="1:4" x14ac:dyDescent="0.25">
      <c r="A165" s="25"/>
      <c r="B165" s="25"/>
      <c r="C165" s="25"/>
      <c r="D165" s="26"/>
    </row>
    <row r="166" spans="1:4" x14ac:dyDescent="0.25">
      <c r="A166" s="25"/>
      <c r="B166" s="25"/>
      <c r="C166" s="25"/>
      <c r="D166" s="26"/>
    </row>
    <row r="167" spans="1:4" x14ac:dyDescent="0.25">
      <c r="A167" s="25"/>
      <c r="B167" s="25"/>
      <c r="C167" s="25"/>
      <c r="D167" s="26"/>
    </row>
    <row r="168" spans="1:4" x14ac:dyDescent="0.25">
      <c r="A168" s="25"/>
      <c r="B168" s="25"/>
      <c r="C168" s="25"/>
      <c r="D168" s="26"/>
    </row>
    <row r="169" spans="1:4" x14ac:dyDescent="0.25">
      <c r="A169" s="25"/>
      <c r="B169" s="25"/>
      <c r="C169" s="25"/>
      <c r="D169" s="26"/>
    </row>
    <row r="170" spans="1:4" x14ac:dyDescent="0.25">
      <c r="A170" s="25"/>
      <c r="B170" s="25"/>
      <c r="C170" s="25"/>
      <c r="D170" s="26"/>
    </row>
    <row r="171" spans="1:4" x14ac:dyDescent="0.25">
      <c r="A171" s="25"/>
      <c r="B171" s="25"/>
      <c r="C171" s="25"/>
      <c r="D171" s="26"/>
    </row>
    <row r="172" spans="1:4" x14ac:dyDescent="0.25">
      <c r="A172" s="25"/>
      <c r="B172" s="25"/>
      <c r="C172" s="25"/>
      <c r="D172" s="26"/>
    </row>
    <row r="173" spans="1:4" x14ac:dyDescent="0.25">
      <c r="A173" s="25"/>
      <c r="B173" s="25"/>
      <c r="C173" s="25"/>
      <c r="D173" s="26"/>
    </row>
    <row r="174" spans="1:4" x14ac:dyDescent="0.25">
      <c r="A174" s="25"/>
      <c r="B174" s="25"/>
      <c r="C174" s="25"/>
      <c r="D174" s="26"/>
    </row>
    <row r="175" spans="1:4" x14ac:dyDescent="0.25">
      <c r="A175" s="25"/>
      <c r="B175" s="25"/>
      <c r="C175" s="25"/>
      <c r="D175" s="26"/>
    </row>
    <row r="176" spans="1:4" x14ac:dyDescent="0.25">
      <c r="A176" s="25"/>
      <c r="B176" s="25"/>
      <c r="C176" s="25"/>
      <c r="D176" s="26"/>
    </row>
    <row r="177" spans="1:4" x14ac:dyDescent="0.25">
      <c r="A177" s="25"/>
      <c r="B177" s="25"/>
      <c r="C177" s="25"/>
      <c r="D177" s="26"/>
    </row>
    <row r="178" spans="1:4" x14ac:dyDescent="0.25">
      <c r="A178" s="25"/>
      <c r="B178" s="25"/>
      <c r="C178" s="25"/>
      <c r="D178" s="26"/>
    </row>
    <row r="179" spans="1:4" x14ac:dyDescent="0.25">
      <c r="A179" s="25"/>
      <c r="B179" s="25"/>
      <c r="C179" s="25"/>
      <c r="D179" s="26"/>
    </row>
    <row r="180" spans="1:4" x14ac:dyDescent="0.25">
      <c r="A180" s="25"/>
      <c r="B180" s="25"/>
      <c r="C180" s="25"/>
      <c r="D180" s="26"/>
    </row>
    <row r="181" spans="1:4" x14ac:dyDescent="0.25">
      <c r="A181" s="25"/>
      <c r="B181" s="25"/>
      <c r="C181" s="25"/>
      <c r="D181" s="26"/>
    </row>
    <row r="182" spans="1:4" x14ac:dyDescent="0.25">
      <c r="A182" s="25"/>
      <c r="B182" s="25"/>
      <c r="C182" s="25"/>
      <c r="D182" s="26"/>
    </row>
    <row r="183" spans="1:4" x14ac:dyDescent="0.25">
      <c r="A183" s="25"/>
      <c r="B183" s="25"/>
      <c r="C183" s="25"/>
      <c r="D183" s="26"/>
    </row>
    <row r="184" spans="1:4" x14ac:dyDescent="0.25">
      <c r="A184" s="25"/>
      <c r="B184" s="25"/>
      <c r="C184" s="25"/>
      <c r="D184" s="26"/>
    </row>
    <row r="185" spans="1:4" x14ac:dyDescent="0.25">
      <c r="A185" s="25"/>
      <c r="B185" s="25"/>
      <c r="C185" s="25"/>
      <c r="D185" s="26"/>
    </row>
    <row r="186" spans="1:4" x14ac:dyDescent="0.25">
      <c r="A186" s="25"/>
      <c r="B186" s="25"/>
      <c r="C186" s="25"/>
      <c r="D186" s="26"/>
    </row>
    <row r="187" spans="1:4" x14ac:dyDescent="0.25">
      <c r="A187" s="25"/>
      <c r="B187" s="25"/>
      <c r="C187" s="25"/>
      <c r="D187" s="26"/>
    </row>
    <row r="188" spans="1:4" x14ac:dyDescent="0.25">
      <c r="A188" s="25"/>
      <c r="B188" s="25"/>
      <c r="C188" s="25"/>
      <c r="D188" s="26"/>
    </row>
    <row r="189" spans="1:4" x14ac:dyDescent="0.25">
      <c r="A189" s="25"/>
      <c r="B189" s="25"/>
      <c r="C189" s="25"/>
      <c r="D189" s="26"/>
    </row>
    <row r="190" spans="1:4" x14ac:dyDescent="0.25">
      <c r="A190" s="25"/>
      <c r="B190" s="25"/>
      <c r="C190" s="25"/>
      <c r="D190" s="26"/>
    </row>
    <row r="191" spans="1:4" x14ac:dyDescent="0.25">
      <c r="A191" s="25"/>
      <c r="B191" s="25"/>
      <c r="C191" s="25"/>
      <c r="D191" s="26"/>
    </row>
    <row r="192" spans="1:4" x14ac:dyDescent="0.25">
      <c r="A192" s="25"/>
      <c r="B192" s="25"/>
      <c r="C192" s="25"/>
      <c r="D192" s="26"/>
    </row>
    <row r="193" spans="1:4" x14ac:dyDescent="0.25">
      <c r="A193" s="25"/>
      <c r="B193" s="25"/>
      <c r="C193" s="25"/>
      <c r="D193" s="26"/>
    </row>
    <row r="194" spans="1:4" x14ac:dyDescent="0.25">
      <c r="A194" s="25"/>
      <c r="B194" s="25"/>
      <c r="C194" s="25"/>
      <c r="D194" s="26"/>
    </row>
    <row r="195" spans="1:4" x14ac:dyDescent="0.25">
      <c r="A195" s="25"/>
      <c r="B195" s="25"/>
      <c r="C195" s="25"/>
      <c r="D195" s="26"/>
    </row>
    <row r="196" spans="1:4" x14ac:dyDescent="0.25">
      <c r="A196" s="25"/>
      <c r="B196" s="25"/>
      <c r="C196" s="25"/>
      <c r="D196" s="26"/>
    </row>
    <row r="197" spans="1:4" x14ac:dyDescent="0.25">
      <c r="A197" s="25"/>
      <c r="B197" s="25"/>
      <c r="C197" s="25"/>
      <c r="D197" s="26"/>
    </row>
    <row r="198" spans="1:4" x14ac:dyDescent="0.25">
      <c r="A198" s="25"/>
      <c r="B198" s="25"/>
      <c r="C198" s="25"/>
      <c r="D198" s="26"/>
    </row>
    <row r="199" spans="1:4" x14ac:dyDescent="0.25">
      <c r="A199" s="25"/>
      <c r="B199" s="25"/>
      <c r="C199" s="25"/>
      <c r="D199" s="26"/>
    </row>
    <row r="200" spans="1:4" x14ac:dyDescent="0.25">
      <c r="A200" s="25"/>
      <c r="B200" s="25"/>
      <c r="C200" s="25"/>
      <c r="D200" s="26"/>
    </row>
    <row r="201" spans="1:4" x14ac:dyDescent="0.25">
      <c r="A201" s="25"/>
      <c r="B201" s="25"/>
      <c r="C201" s="25"/>
      <c r="D201" s="26"/>
    </row>
    <row r="202" spans="1:4" x14ac:dyDescent="0.25">
      <c r="A202" s="25"/>
      <c r="B202" s="25"/>
      <c r="C202" s="25"/>
      <c r="D202" s="26"/>
    </row>
    <row r="203" spans="1:4" x14ac:dyDescent="0.25">
      <c r="A203" s="25"/>
      <c r="B203" s="25"/>
      <c r="C203" s="25"/>
      <c r="D203" s="26"/>
    </row>
    <row r="204" spans="1:4" x14ac:dyDescent="0.25">
      <c r="A204" s="25"/>
      <c r="B204" s="25"/>
      <c r="C204" s="25"/>
      <c r="D204" s="26"/>
    </row>
    <row r="205" spans="1:4" x14ac:dyDescent="0.25">
      <c r="A205" s="25"/>
      <c r="B205" s="25"/>
      <c r="C205" s="25"/>
      <c r="D205" s="26"/>
    </row>
    <row r="206" spans="1:4" x14ac:dyDescent="0.25">
      <c r="A206" s="25"/>
      <c r="B206" s="25"/>
      <c r="C206" s="25"/>
      <c r="D206" s="26"/>
    </row>
    <row r="207" spans="1:4" x14ac:dyDescent="0.25">
      <c r="A207" s="25"/>
      <c r="B207" s="25"/>
      <c r="C207" s="25"/>
      <c r="D207" s="26"/>
    </row>
    <row r="208" spans="1:4" x14ac:dyDescent="0.25">
      <c r="A208" s="25"/>
      <c r="B208" s="25"/>
      <c r="C208" s="25"/>
      <c r="D208" s="26"/>
    </row>
    <row r="209" spans="1:4" x14ac:dyDescent="0.25">
      <c r="A209" s="25"/>
      <c r="B209" s="25"/>
      <c r="C209" s="25"/>
      <c r="D209" s="26"/>
    </row>
    <row r="210" spans="1:4" x14ac:dyDescent="0.25">
      <c r="A210" s="25"/>
      <c r="B210" s="25"/>
      <c r="C210" s="25"/>
      <c r="D210" s="26"/>
    </row>
    <row r="211" spans="1:4" x14ac:dyDescent="0.25">
      <c r="A211" s="25"/>
      <c r="B211" s="25"/>
      <c r="C211" s="25"/>
      <c r="D211" s="26"/>
    </row>
    <row r="212" spans="1:4" x14ac:dyDescent="0.25">
      <c r="A212" s="25"/>
      <c r="B212" s="25"/>
      <c r="C212" s="25"/>
      <c r="D212" s="26"/>
    </row>
    <row r="213" spans="1:4" x14ac:dyDescent="0.25">
      <c r="A213" s="25"/>
      <c r="B213" s="25"/>
      <c r="C213" s="25"/>
      <c r="D213" s="26"/>
    </row>
    <row r="214" spans="1:4" x14ac:dyDescent="0.25">
      <c r="A214" s="25"/>
      <c r="B214" s="25"/>
      <c r="C214" s="25"/>
      <c r="D214" s="26"/>
    </row>
    <row r="215" spans="1:4" x14ac:dyDescent="0.25">
      <c r="A215" s="25"/>
      <c r="B215" s="25"/>
      <c r="C215" s="25"/>
      <c r="D215" s="26"/>
    </row>
    <row r="216" spans="1:4" x14ac:dyDescent="0.25">
      <c r="A216" s="25"/>
      <c r="B216" s="25"/>
      <c r="C216" s="25"/>
      <c r="D216" s="26"/>
    </row>
    <row r="217" spans="1:4" x14ac:dyDescent="0.25">
      <c r="A217" s="25"/>
      <c r="B217" s="25"/>
      <c r="C217" s="25"/>
      <c r="D217" s="26"/>
    </row>
    <row r="218" spans="1:4" x14ac:dyDescent="0.25">
      <c r="A218" s="25"/>
      <c r="B218" s="25"/>
      <c r="C218" s="25"/>
      <c r="D218" s="26"/>
    </row>
    <row r="219" spans="1:4" x14ac:dyDescent="0.25">
      <c r="A219" s="25"/>
      <c r="B219" s="25"/>
      <c r="C219" s="25"/>
      <c r="D219" s="26"/>
    </row>
    <row r="220" spans="1:4" x14ac:dyDescent="0.25">
      <c r="A220" s="25"/>
      <c r="B220" s="25"/>
      <c r="C220" s="25"/>
      <c r="D220" s="26"/>
    </row>
    <row r="221" spans="1:4" x14ac:dyDescent="0.25">
      <c r="A221" s="25"/>
      <c r="B221" s="25"/>
      <c r="C221" s="25"/>
      <c r="D221" s="26"/>
    </row>
    <row r="222" spans="1:4" x14ac:dyDescent="0.25">
      <c r="A222" s="25"/>
      <c r="B222" s="25"/>
      <c r="C222" s="25"/>
      <c r="D222" s="26"/>
    </row>
    <row r="223" spans="1:4" x14ac:dyDescent="0.25">
      <c r="A223" s="25"/>
      <c r="B223" s="25"/>
      <c r="C223" s="25"/>
      <c r="D223" s="26"/>
    </row>
    <row r="224" spans="1:4" x14ac:dyDescent="0.25">
      <c r="A224" s="25"/>
      <c r="B224" s="25"/>
      <c r="C224" s="25"/>
      <c r="D224" s="26"/>
    </row>
    <row r="225" spans="1:4" x14ac:dyDescent="0.25">
      <c r="A225" s="25"/>
      <c r="B225" s="25"/>
      <c r="C225" s="25"/>
      <c r="D225" s="26"/>
    </row>
    <row r="226" spans="1:4" x14ac:dyDescent="0.25">
      <c r="A226" s="25"/>
      <c r="B226" s="25"/>
      <c r="C226" s="25"/>
      <c r="D226" s="26"/>
    </row>
    <row r="227" spans="1:4" x14ac:dyDescent="0.25">
      <c r="A227" s="25"/>
      <c r="B227" s="25"/>
      <c r="C227" s="25"/>
      <c r="D227" s="26"/>
    </row>
    <row r="228" spans="1:4" x14ac:dyDescent="0.25">
      <c r="A228" s="25"/>
      <c r="B228" s="25"/>
      <c r="C228" s="25"/>
      <c r="D228" s="26"/>
    </row>
    <row r="229" spans="1:4" x14ac:dyDescent="0.25">
      <c r="A229" s="25"/>
      <c r="B229" s="25"/>
      <c r="C229" s="25"/>
      <c r="D229" s="26"/>
    </row>
    <row r="230" spans="1:4" x14ac:dyDescent="0.25">
      <c r="A230" s="25"/>
      <c r="B230" s="25"/>
      <c r="C230" s="25"/>
      <c r="D230" s="26"/>
    </row>
    <row r="231" spans="1:4" x14ac:dyDescent="0.25">
      <c r="A231" s="25"/>
      <c r="B231" s="25"/>
      <c r="C231" s="25"/>
      <c r="D231" s="26"/>
    </row>
    <row r="232" spans="1:4" x14ac:dyDescent="0.25">
      <c r="A232" s="25"/>
      <c r="B232" s="25"/>
      <c r="C232" s="25"/>
      <c r="D232" s="26"/>
    </row>
    <row r="233" spans="1:4" x14ac:dyDescent="0.25">
      <c r="A233" s="25"/>
      <c r="B233" s="25"/>
      <c r="C233" s="25"/>
      <c r="D233" s="26"/>
    </row>
    <row r="234" spans="1:4" x14ac:dyDescent="0.25">
      <c r="A234" s="25"/>
      <c r="B234" s="25"/>
      <c r="C234" s="25"/>
      <c r="D234" s="26"/>
    </row>
    <row r="235" spans="1:4" x14ac:dyDescent="0.25">
      <c r="A235" s="25"/>
      <c r="B235" s="25"/>
      <c r="C235" s="25"/>
      <c r="D235" s="26"/>
    </row>
    <row r="236" spans="1:4" x14ac:dyDescent="0.25">
      <c r="A236" s="25"/>
      <c r="B236" s="25"/>
      <c r="C236" s="25"/>
      <c r="D236" s="26"/>
    </row>
    <row r="237" spans="1:4" x14ac:dyDescent="0.25">
      <c r="A237" s="25"/>
      <c r="B237" s="25"/>
      <c r="C237" s="25"/>
      <c r="D237" s="26"/>
    </row>
    <row r="238" spans="1:4" x14ac:dyDescent="0.25">
      <c r="A238" s="25"/>
      <c r="B238" s="25"/>
      <c r="C238" s="25"/>
      <c r="D238" s="26"/>
    </row>
    <row r="239" spans="1:4" x14ac:dyDescent="0.25">
      <c r="A239" s="25"/>
      <c r="B239" s="25"/>
      <c r="C239" s="25"/>
      <c r="D239" s="26"/>
    </row>
    <row r="240" spans="1:4" x14ac:dyDescent="0.25">
      <c r="A240" s="25"/>
      <c r="B240" s="25"/>
      <c r="C240" s="25"/>
      <c r="D240" s="26"/>
    </row>
    <row r="241" spans="1:4" x14ac:dyDescent="0.25">
      <c r="A241" s="25"/>
      <c r="B241" s="25"/>
      <c r="C241" s="25"/>
      <c r="D241" s="26"/>
    </row>
    <row r="242" spans="1:4" x14ac:dyDescent="0.25">
      <c r="A242" s="25"/>
      <c r="B242" s="25"/>
      <c r="C242" s="25"/>
      <c r="D242" s="26"/>
    </row>
    <row r="243" spans="1:4" x14ac:dyDescent="0.25">
      <c r="A243" s="25"/>
      <c r="B243" s="25"/>
      <c r="C243" s="25"/>
      <c r="D243" s="26"/>
    </row>
    <row r="244" spans="1:4" x14ac:dyDescent="0.25">
      <c r="A244" s="25"/>
      <c r="B244" s="25"/>
      <c r="C244" s="25"/>
      <c r="D244" s="26"/>
    </row>
    <row r="245" spans="1:4" x14ac:dyDescent="0.25">
      <c r="A245" s="25"/>
      <c r="B245" s="25"/>
      <c r="C245" s="25"/>
      <c r="D245" s="26"/>
    </row>
    <row r="246" spans="1:4" x14ac:dyDescent="0.25">
      <c r="A246" s="25"/>
      <c r="B246" s="25"/>
      <c r="C246" s="25"/>
      <c r="D246" s="26"/>
    </row>
    <row r="247" spans="1:4" x14ac:dyDescent="0.25">
      <c r="A247" s="25"/>
      <c r="B247" s="25"/>
      <c r="C247" s="25"/>
      <c r="D247" s="26"/>
    </row>
    <row r="248" spans="1:4" x14ac:dyDescent="0.25">
      <c r="A248" s="25"/>
      <c r="B248" s="25"/>
      <c r="C248" s="25"/>
      <c r="D248" s="26"/>
    </row>
    <row r="249" spans="1:4" x14ac:dyDescent="0.25">
      <c r="A249" s="25"/>
      <c r="B249" s="25"/>
      <c r="C249" s="25"/>
      <c r="D249" s="26"/>
    </row>
    <row r="250" spans="1:4" x14ac:dyDescent="0.25">
      <c r="A250" s="25"/>
      <c r="B250" s="25"/>
      <c r="C250" s="25"/>
      <c r="D250" s="26"/>
    </row>
    <row r="251" spans="1:4" x14ac:dyDescent="0.25">
      <c r="A251" s="25"/>
      <c r="B251" s="25"/>
      <c r="C251" s="25"/>
      <c r="D251" s="26"/>
    </row>
    <row r="252" spans="1:4" x14ac:dyDescent="0.25">
      <c r="A252" s="25"/>
      <c r="B252" s="25"/>
      <c r="C252" s="25"/>
      <c r="D252" s="26"/>
    </row>
    <row r="253" spans="1:4" x14ac:dyDescent="0.25">
      <c r="A253" s="25"/>
      <c r="B253" s="25"/>
      <c r="C253" s="25"/>
      <c r="D253" s="26"/>
    </row>
    <row r="254" spans="1:4" x14ac:dyDescent="0.25">
      <c r="A254" s="25"/>
      <c r="B254" s="25"/>
      <c r="C254" s="25"/>
      <c r="D254" s="26"/>
    </row>
    <row r="255" spans="1:4" x14ac:dyDescent="0.25">
      <c r="A255" s="25"/>
      <c r="B255" s="25"/>
      <c r="C255" s="25"/>
      <c r="D255" s="26"/>
    </row>
    <row r="256" spans="1:4" x14ac:dyDescent="0.25">
      <c r="A256" s="25"/>
      <c r="B256" s="25"/>
      <c r="C256" s="25"/>
      <c r="D256" s="26"/>
    </row>
    <row r="257" spans="1:4" x14ac:dyDescent="0.25">
      <c r="A257" s="25"/>
      <c r="B257" s="25"/>
      <c r="C257" s="25"/>
      <c r="D257" s="26"/>
    </row>
    <row r="258" spans="1:4" x14ac:dyDescent="0.25">
      <c r="A258" s="25"/>
      <c r="B258" s="25"/>
      <c r="C258" s="25"/>
      <c r="D258" s="26"/>
    </row>
    <row r="259" spans="1:4" x14ac:dyDescent="0.25">
      <c r="A259" s="25"/>
      <c r="B259" s="25"/>
      <c r="C259" s="25"/>
      <c r="D259" s="26"/>
    </row>
    <row r="260" spans="1:4" x14ac:dyDescent="0.25">
      <c r="A260" s="25"/>
      <c r="B260" s="25"/>
      <c r="C260" s="25"/>
      <c r="D260" s="26"/>
    </row>
    <row r="261" spans="1:4" x14ac:dyDescent="0.25">
      <c r="A261" s="25"/>
      <c r="B261" s="25"/>
      <c r="C261" s="25"/>
      <c r="D261" s="26"/>
    </row>
    <row r="262" spans="1:4" x14ac:dyDescent="0.25">
      <c r="A262" s="25"/>
      <c r="B262" s="25"/>
      <c r="C262" s="25"/>
      <c r="D262" s="26"/>
    </row>
    <row r="263" spans="1:4" x14ac:dyDescent="0.25">
      <c r="A263" s="25"/>
      <c r="B263" s="25"/>
      <c r="C263" s="25"/>
      <c r="D263" s="26"/>
    </row>
    <row r="264" spans="1:4" x14ac:dyDescent="0.25">
      <c r="A264" s="25"/>
      <c r="B264" s="25"/>
      <c r="C264" s="25"/>
      <c r="D264" s="26"/>
    </row>
    <row r="265" spans="1:4" x14ac:dyDescent="0.25">
      <c r="A265" s="25"/>
      <c r="B265" s="25"/>
      <c r="C265" s="25"/>
      <c r="D265" s="26"/>
    </row>
    <row r="266" spans="1:4" x14ac:dyDescent="0.25">
      <c r="A266" s="25"/>
      <c r="B266" s="25"/>
      <c r="C266" s="25"/>
      <c r="D266" s="26"/>
    </row>
    <row r="267" spans="1:4" x14ac:dyDescent="0.25">
      <c r="A267" s="25"/>
      <c r="B267" s="25"/>
      <c r="C267" s="25"/>
      <c r="D267" s="26"/>
    </row>
    <row r="268" spans="1:4" x14ac:dyDescent="0.25">
      <c r="A268" s="25"/>
      <c r="B268" s="25"/>
      <c r="C268" s="25"/>
      <c r="D268" s="26"/>
    </row>
    <row r="269" spans="1:4" x14ac:dyDescent="0.25">
      <c r="A269" s="25"/>
      <c r="B269" s="25"/>
      <c r="C269" s="25"/>
      <c r="D269" s="26"/>
    </row>
    <row r="270" spans="1:4" x14ac:dyDescent="0.25">
      <c r="A270" s="25"/>
      <c r="B270" s="25"/>
      <c r="C270" s="25"/>
      <c r="D270" s="26"/>
    </row>
    <row r="271" spans="1:4" x14ac:dyDescent="0.25">
      <c r="A271" s="25"/>
      <c r="B271" s="25"/>
      <c r="C271" s="25"/>
      <c r="D271" s="26"/>
    </row>
    <row r="272" spans="1:4" x14ac:dyDescent="0.25">
      <c r="A272" s="25"/>
      <c r="B272" s="25"/>
      <c r="C272" s="25"/>
      <c r="D272" s="26"/>
    </row>
    <row r="273" spans="1:4" x14ac:dyDescent="0.25">
      <c r="A273" s="25"/>
      <c r="B273" s="25"/>
      <c r="C273" s="25"/>
      <c r="D273" s="26"/>
    </row>
    <row r="274" spans="1:4" x14ac:dyDescent="0.25">
      <c r="A274" s="25"/>
      <c r="B274" s="25"/>
      <c r="C274" s="25"/>
      <c r="D274" s="26"/>
    </row>
    <row r="275" spans="1:4" x14ac:dyDescent="0.25">
      <c r="A275" s="25"/>
      <c r="B275" s="25"/>
      <c r="C275" s="25"/>
      <c r="D275" s="26"/>
    </row>
    <row r="276" spans="1:4" x14ac:dyDescent="0.25">
      <c r="A276" s="25"/>
      <c r="B276" s="25"/>
      <c r="C276" s="25"/>
      <c r="D276" s="26"/>
    </row>
    <row r="277" spans="1:4" x14ac:dyDescent="0.25">
      <c r="A277" s="25"/>
      <c r="B277" s="25"/>
      <c r="C277" s="25"/>
      <c r="D277" s="26"/>
    </row>
    <row r="278" spans="1:4" x14ac:dyDescent="0.25">
      <c r="A278" s="25"/>
      <c r="B278" s="25"/>
      <c r="C278" s="25"/>
      <c r="D278" s="26"/>
    </row>
    <row r="279" spans="1:4" x14ac:dyDescent="0.25">
      <c r="A279" s="25"/>
      <c r="B279" s="25"/>
      <c r="C279" s="25"/>
      <c r="D279" s="26"/>
    </row>
    <row r="280" spans="1:4" x14ac:dyDescent="0.25">
      <c r="A280" s="25"/>
      <c r="B280" s="25"/>
      <c r="C280" s="25"/>
      <c r="D280" s="26"/>
    </row>
    <row r="281" spans="1:4" x14ac:dyDescent="0.25">
      <c r="A281" s="25"/>
      <c r="B281" s="25"/>
      <c r="C281" s="25"/>
      <c r="D281" s="26"/>
    </row>
    <row r="282" spans="1:4" x14ac:dyDescent="0.25">
      <c r="A282" s="25"/>
      <c r="B282" s="25"/>
      <c r="C282" s="25"/>
      <c r="D282" s="26"/>
    </row>
    <row r="283" spans="1:4" x14ac:dyDescent="0.25">
      <c r="A283" s="25"/>
      <c r="B283" s="25"/>
      <c r="C283" s="25"/>
      <c r="D283" s="26"/>
    </row>
    <row r="284" spans="1:4" x14ac:dyDescent="0.25">
      <c r="A284" s="25"/>
      <c r="B284" s="25"/>
      <c r="C284" s="25"/>
      <c r="D284" s="26"/>
    </row>
    <row r="285" spans="1:4" x14ac:dyDescent="0.25">
      <c r="A285" s="25"/>
      <c r="B285" s="25"/>
      <c r="C285" s="25"/>
      <c r="D285" s="26"/>
    </row>
    <row r="286" spans="1:4" x14ac:dyDescent="0.25">
      <c r="A286" s="25"/>
      <c r="B286" s="25"/>
      <c r="C286" s="25"/>
      <c r="D286" s="26"/>
    </row>
    <row r="287" spans="1:4" x14ac:dyDescent="0.25">
      <c r="A287" s="25"/>
      <c r="B287" s="25"/>
      <c r="C287" s="25"/>
      <c r="D287" s="26"/>
    </row>
    <row r="288" spans="1:4" x14ac:dyDescent="0.25">
      <c r="A288" s="25"/>
      <c r="B288" s="25"/>
      <c r="C288" s="25"/>
      <c r="D288" s="26"/>
    </row>
    <row r="289" spans="1:4" x14ac:dyDescent="0.25">
      <c r="A289" s="25"/>
      <c r="B289" s="25"/>
      <c r="C289" s="25"/>
      <c r="D289" s="26"/>
    </row>
    <row r="290" spans="1:4" x14ac:dyDescent="0.25">
      <c r="A290" s="25"/>
      <c r="B290" s="25"/>
      <c r="C290" s="25"/>
      <c r="D290" s="26"/>
    </row>
    <row r="291" spans="1:4" x14ac:dyDescent="0.25">
      <c r="A291" s="25"/>
      <c r="B291" s="25"/>
      <c r="C291" s="25"/>
      <c r="D291" s="26"/>
    </row>
    <row r="292" spans="1:4" x14ac:dyDescent="0.25">
      <c r="A292" s="25"/>
      <c r="B292" s="25"/>
      <c r="C292" s="25"/>
      <c r="D292" s="26"/>
    </row>
    <row r="293" spans="1:4" x14ac:dyDescent="0.25">
      <c r="A293" s="25"/>
      <c r="B293" s="25"/>
      <c r="C293" s="25"/>
      <c r="D293" s="26"/>
    </row>
    <row r="294" spans="1:4" x14ac:dyDescent="0.25">
      <c r="A294" s="25"/>
      <c r="B294" s="25"/>
      <c r="C294" s="25"/>
      <c r="D294" s="26"/>
    </row>
    <row r="295" spans="1:4" x14ac:dyDescent="0.25">
      <c r="A295" s="25"/>
      <c r="B295" s="25"/>
      <c r="C295" s="25"/>
      <c r="D295" s="26"/>
    </row>
    <row r="296" spans="1:4" x14ac:dyDescent="0.25">
      <c r="A296" s="25"/>
      <c r="B296" s="25"/>
      <c r="C296" s="25"/>
      <c r="D296" s="26"/>
    </row>
    <row r="297" spans="1:4" x14ac:dyDescent="0.25">
      <c r="A297" s="25"/>
      <c r="B297" s="25"/>
      <c r="C297" s="25"/>
      <c r="D297" s="26"/>
    </row>
    <row r="298" spans="1:4" x14ac:dyDescent="0.25">
      <c r="A298" s="25"/>
      <c r="B298" s="25"/>
      <c r="C298" s="25"/>
      <c r="D298" s="26"/>
    </row>
    <row r="299" spans="1:4" x14ac:dyDescent="0.25">
      <c r="A299" s="25"/>
      <c r="B299" s="25"/>
      <c r="C299" s="25"/>
      <c r="D299" s="26"/>
    </row>
    <row r="300" spans="1:4" x14ac:dyDescent="0.25">
      <c r="A300" s="25"/>
      <c r="B300" s="25"/>
      <c r="C300" s="25"/>
      <c r="D300" s="26"/>
    </row>
    <row r="301" spans="1:4" x14ac:dyDescent="0.25">
      <c r="A301" s="25"/>
      <c r="B301" s="25"/>
      <c r="C301" s="25"/>
      <c r="D301" s="26"/>
    </row>
    <row r="302" spans="1:4" x14ac:dyDescent="0.25">
      <c r="A302" s="25"/>
      <c r="B302" s="25"/>
      <c r="C302" s="25"/>
      <c r="D302" s="26"/>
    </row>
    <row r="303" spans="1:4" x14ac:dyDescent="0.25">
      <c r="A303" s="25"/>
      <c r="B303" s="25"/>
      <c r="C303" s="25"/>
      <c r="D303" s="26"/>
    </row>
    <row r="304" spans="1:4" x14ac:dyDescent="0.25">
      <c r="A304" s="25"/>
      <c r="B304" s="25"/>
      <c r="C304" s="25"/>
      <c r="D304" s="26"/>
    </row>
    <row r="305" spans="1:4" x14ac:dyDescent="0.25">
      <c r="A305" s="25"/>
      <c r="B305" s="25"/>
      <c r="C305" s="25"/>
      <c r="D305" s="26"/>
    </row>
    <row r="306" spans="1:4" x14ac:dyDescent="0.25">
      <c r="A306" s="25"/>
      <c r="B306" s="25"/>
      <c r="C306" s="25"/>
      <c r="D306" s="26"/>
    </row>
    <row r="307" spans="1:4" x14ac:dyDescent="0.25">
      <c r="A307" s="25"/>
      <c r="B307" s="25"/>
      <c r="C307" s="25"/>
      <c r="D307" s="26"/>
    </row>
    <row r="308" spans="1:4" x14ac:dyDescent="0.25">
      <c r="A308" s="25"/>
      <c r="B308" s="25"/>
      <c r="C308" s="25"/>
      <c r="D308" s="26"/>
    </row>
    <row r="309" spans="1:4" x14ac:dyDescent="0.25">
      <c r="A309" s="25"/>
      <c r="B309" s="25"/>
      <c r="C309" s="25"/>
      <c r="D309" s="26"/>
    </row>
    <row r="310" spans="1:4" x14ac:dyDescent="0.25">
      <c r="A310" s="25"/>
      <c r="B310" s="25"/>
      <c r="C310" s="25"/>
      <c r="D310" s="26"/>
    </row>
    <row r="311" spans="1:4" x14ac:dyDescent="0.25">
      <c r="A311" s="25"/>
      <c r="B311" s="25"/>
      <c r="C311" s="25"/>
      <c r="D311" s="26"/>
    </row>
    <row r="312" spans="1:4" x14ac:dyDescent="0.25">
      <c r="A312" s="25"/>
      <c r="B312" s="25"/>
      <c r="C312" s="25"/>
      <c r="D312" s="26"/>
    </row>
    <row r="313" spans="1:4" x14ac:dyDescent="0.25">
      <c r="A313" s="25"/>
      <c r="B313" s="25"/>
      <c r="C313" s="25"/>
      <c r="D313" s="26"/>
    </row>
    <row r="314" spans="1:4" x14ac:dyDescent="0.25">
      <c r="A314" s="25"/>
      <c r="B314" s="25"/>
      <c r="C314" s="25"/>
      <c r="D314" s="26"/>
    </row>
    <row r="315" spans="1:4" x14ac:dyDescent="0.25">
      <c r="A315" s="25"/>
      <c r="B315" s="25"/>
      <c r="C315" s="25"/>
      <c r="D315" s="26"/>
    </row>
    <row r="316" spans="1:4" x14ac:dyDescent="0.25">
      <c r="A316" s="25"/>
      <c r="B316" s="25"/>
      <c r="C316" s="25"/>
      <c r="D316" s="26"/>
    </row>
    <row r="317" spans="1:4" x14ac:dyDescent="0.25">
      <c r="A317" s="25"/>
      <c r="B317" s="25"/>
      <c r="C317" s="25"/>
      <c r="D317" s="26"/>
    </row>
    <row r="318" spans="1:4" x14ac:dyDescent="0.25">
      <c r="A318" s="25"/>
      <c r="B318" s="25"/>
      <c r="C318" s="25"/>
      <c r="D318" s="26"/>
    </row>
    <row r="319" spans="1:4" x14ac:dyDescent="0.25">
      <c r="A319" s="25"/>
      <c r="B319" s="25"/>
      <c r="C319" s="25"/>
      <c r="D319" s="26"/>
    </row>
    <row r="320" spans="1:4" x14ac:dyDescent="0.25">
      <c r="A320" s="25"/>
      <c r="B320" s="25"/>
      <c r="C320" s="25"/>
      <c r="D320" s="26"/>
    </row>
    <row r="321" spans="1:4" x14ac:dyDescent="0.25">
      <c r="A321" s="25"/>
      <c r="B321" s="25"/>
      <c r="C321" s="25"/>
      <c r="D321" s="26"/>
    </row>
    <row r="322" spans="1:4" x14ac:dyDescent="0.25">
      <c r="A322" s="25"/>
      <c r="B322" s="25"/>
      <c r="C322" s="25"/>
      <c r="D322" s="26"/>
    </row>
    <row r="323" spans="1:4" x14ac:dyDescent="0.25">
      <c r="A323" s="25"/>
      <c r="B323" s="25"/>
      <c r="C323" s="25"/>
      <c r="D323" s="26"/>
    </row>
    <row r="324" spans="1:4" x14ac:dyDescent="0.25">
      <c r="A324" s="25"/>
      <c r="B324" s="25"/>
      <c r="C324" s="25"/>
      <c r="D324" s="26"/>
    </row>
    <row r="325" spans="1:4" x14ac:dyDescent="0.25">
      <c r="A325" s="25"/>
      <c r="B325" s="25"/>
      <c r="C325" s="25"/>
      <c r="D325" s="26"/>
    </row>
    <row r="326" spans="1:4" x14ac:dyDescent="0.25">
      <c r="A326" s="25"/>
      <c r="B326" s="25"/>
      <c r="C326" s="25"/>
      <c r="D326" s="26"/>
    </row>
    <row r="327" spans="1:4" x14ac:dyDescent="0.25">
      <c r="A327" s="25"/>
      <c r="B327" s="25"/>
      <c r="C327" s="25"/>
      <c r="D327" s="26"/>
    </row>
    <row r="328" spans="1:4" x14ac:dyDescent="0.25">
      <c r="A328" s="25"/>
      <c r="B328" s="25"/>
      <c r="C328" s="25"/>
      <c r="D328" s="26"/>
    </row>
    <row r="329" spans="1:4" x14ac:dyDescent="0.25">
      <c r="A329" s="25"/>
      <c r="B329" s="25"/>
      <c r="C329" s="25"/>
      <c r="D329" s="26"/>
    </row>
    <row r="330" spans="1:4" x14ac:dyDescent="0.25">
      <c r="A330" s="25"/>
      <c r="B330" s="25"/>
      <c r="C330" s="25"/>
      <c r="D330" s="26"/>
    </row>
    <row r="331" spans="1:4" x14ac:dyDescent="0.25">
      <c r="A331" s="25"/>
      <c r="B331" s="25"/>
      <c r="C331" s="25"/>
      <c r="D331" s="26"/>
    </row>
    <row r="332" spans="1:4" x14ac:dyDescent="0.25">
      <c r="A332" s="25"/>
      <c r="B332" s="25"/>
      <c r="C332" s="25"/>
      <c r="D332" s="26"/>
    </row>
    <row r="333" spans="1:4" x14ac:dyDescent="0.25">
      <c r="A333" s="25"/>
      <c r="B333" s="25"/>
      <c r="C333" s="25"/>
      <c r="D333" s="26"/>
    </row>
    <row r="334" spans="1:4" x14ac:dyDescent="0.25">
      <c r="A334" s="25"/>
      <c r="B334" s="25"/>
      <c r="C334" s="25"/>
      <c r="D334" s="26"/>
    </row>
    <row r="335" spans="1:4" x14ac:dyDescent="0.25">
      <c r="A335" s="25"/>
      <c r="B335" s="25"/>
      <c r="C335" s="25"/>
      <c r="D335" s="26"/>
    </row>
    <row r="336" spans="1:4" x14ac:dyDescent="0.25">
      <c r="A336" s="25"/>
      <c r="B336" s="25"/>
      <c r="C336" s="25"/>
      <c r="D336" s="26"/>
    </row>
    <row r="337" spans="1:4" x14ac:dyDescent="0.25">
      <c r="A337" s="25"/>
      <c r="B337" s="25"/>
      <c r="C337" s="25"/>
      <c r="D337" s="26"/>
    </row>
    <row r="338" spans="1:4" x14ac:dyDescent="0.25">
      <c r="A338" s="25"/>
      <c r="B338" s="25"/>
      <c r="C338" s="25"/>
      <c r="D338" s="26"/>
    </row>
    <row r="339" spans="1:4" x14ac:dyDescent="0.25">
      <c r="A339" s="25"/>
      <c r="B339" s="25"/>
      <c r="C339" s="25"/>
      <c r="D339" s="26"/>
    </row>
    <row r="340" spans="1:4" x14ac:dyDescent="0.25">
      <c r="A340" s="25"/>
      <c r="B340" s="25"/>
      <c r="C340" s="25"/>
      <c r="D340" s="26"/>
    </row>
    <row r="341" spans="1:4" x14ac:dyDescent="0.25">
      <c r="A341" s="25"/>
      <c r="B341" s="25"/>
      <c r="C341" s="25"/>
      <c r="D341" s="26"/>
    </row>
    <row r="342" spans="1:4" x14ac:dyDescent="0.25">
      <c r="A342" s="25"/>
      <c r="B342" s="25"/>
      <c r="C342" s="25"/>
      <c r="D342" s="26"/>
    </row>
    <row r="343" spans="1:4" x14ac:dyDescent="0.25">
      <c r="A343" s="25"/>
      <c r="B343" s="25"/>
      <c r="C343" s="25"/>
      <c r="D343" s="26"/>
    </row>
    <row r="344" spans="1:4" x14ac:dyDescent="0.25">
      <c r="A344" s="25"/>
      <c r="B344" s="25"/>
      <c r="C344" s="25"/>
      <c r="D344" s="26"/>
    </row>
    <row r="345" spans="1:4" x14ac:dyDescent="0.25">
      <c r="A345" s="25"/>
      <c r="B345" s="25"/>
      <c r="C345" s="25"/>
      <c r="D345" s="26"/>
    </row>
    <row r="346" spans="1:4" x14ac:dyDescent="0.25">
      <c r="A346" s="25"/>
      <c r="B346" s="25"/>
      <c r="C346" s="25"/>
      <c r="D346" s="26"/>
    </row>
    <row r="347" spans="1:4" x14ac:dyDescent="0.25">
      <c r="A347" s="25"/>
      <c r="B347" s="25"/>
      <c r="C347" s="25"/>
      <c r="D347" s="26"/>
    </row>
    <row r="348" spans="1:4" x14ac:dyDescent="0.25">
      <c r="A348" s="25"/>
      <c r="B348" s="25"/>
      <c r="C348" s="25"/>
      <c r="D348" s="26"/>
    </row>
    <row r="349" spans="1:4" x14ac:dyDescent="0.25">
      <c r="A349" s="25"/>
      <c r="B349" s="25"/>
      <c r="C349" s="25"/>
      <c r="D349" s="26"/>
    </row>
    <row r="350" spans="1:4" x14ac:dyDescent="0.25">
      <c r="A350" s="25"/>
      <c r="B350" s="25"/>
      <c r="C350" s="25"/>
      <c r="D350" s="26"/>
    </row>
    <row r="351" spans="1:4" x14ac:dyDescent="0.25">
      <c r="A351" s="25"/>
      <c r="B351" s="25"/>
      <c r="C351" s="25"/>
      <c r="D351" s="26"/>
    </row>
    <row r="352" spans="1:4" x14ac:dyDescent="0.25">
      <c r="A352" s="25"/>
      <c r="B352" s="25"/>
      <c r="C352" s="25"/>
      <c r="D352" s="26"/>
    </row>
    <row r="353" spans="1:4" x14ac:dyDescent="0.25">
      <c r="A353" s="25"/>
      <c r="B353" s="25"/>
      <c r="C353" s="25"/>
      <c r="D353" s="26"/>
    </row>
    <row r="354" spans="1:4" x14ac:dyDescent="0.25">
      <c r="A354" s="25"/>
      <c r="B354" s="25"/>
      <c r="C354" s="25"/>
      <c r="D354" s="26"/>
    </row>
    <row r="355" spans="1:4" x14ac:dyDescent="0.25">
      <c r="A355" s="25"/>
      <c r="B355" s="25"/>
      <c r="C355" s="25"/>
      <c r="D355" s="26"/>
    </row>
    <row r="356" spans="1:4" x14ac:dyDescent="0.25">
      <c r="A356" s="25"/>
      <c r="B356" s="25"/>
      <c r="C356" s="25"/>
      <c r="D356" s="26"/>
    </row>
    <row r="357" spans="1:4" x14ac:dyDescent="0.25">
      <c r="A357" s="25"/>
      <c r="B357" s="25"/>
      <c r="C357" s="25"/>
      <c r="D357" s="26"/>
    </row>
    <row r="358" spans="1:4" x14ac:dyDescent="0.25">
      <c r="A358" s="25"/>
      <c r="B358" s="25"/>
      <c r="C358" s="25"/>
      <c r="D358" s="26"/>
    </row>
    <row r="359" spans="1:4" x14ac:dyDescent="0.25">
      <c r="A359" s="25"/>
      <c r="B359" s="25"/>
      <c r="C359" s="25"/>
      <c r="D359" s="26"/>
    </row>
    <row r="360" spans="1:4" x14ac:dyDescent="0.25">
      <c r="A360" s="25"/>
      <c r="B360" s="25"/>
      <c r="C360" s="25"/>
      <c r="D360" s="26"/>
    </row>
    <row r="361" spans="1:4" x14ac:dyDescent="0.25">
      <c r="A361" s="25"/>
      <c r="B361" s="25"/>
      <c r="C361" s="27"/>
      <c r="D361" s="26"/>
    </row>
    <row r="362" spans="1:4" x14ac:dyDescent="0.25">
      <c r="A362" s="25"/>
      <c r="B362" s="25"/>
      <c r="C362" s="25"/>
      <c r="D362" s="26"/>
    </row>
    <row r="363" spans="1:4" x14ac:dyDescent="0.25">
      <c r="A363" s="25"/>
      <c r="B363" s="25"/>
      <c r="C363" s="25"/>
      <c r="D363" s="26"/>
    </row>
    <row r="364" spans="1:4" x14ac:dyDescent="0.25">
      <c r="A364" s="25"/>
      <c r="B364" s="25"/>
      <c r="C364" s="25"/>
      <c r="D364" s="26"/>
    </row>
    <row r="365" spans="1:4" x14ac:dyDescent="0.25">
      <c r="A365" s="25"/>
      <c r="B365" s="25"/>
      <c r="C365" s="25"/>
      <c r="D365" s="26"/>
    </row>
    <row r="366" spans="1:4" x14ac:dyDescent="0.25">
      <c r="A366" s="25"/>
      <c r="B366" s="25"/>
      <c r="C366" s="25"/>
      <c r="D366" s="26"/>
    </row>
    <row r="367" spans="1:4" x14ac:dyDescent="0.25">
      <c r="A367" s="25"/>
      <c r="B367" s="25"/>
      <c r="C367" s="25"/>
      <c r="D367" s="26"/>
    </row>
    <row r="368" spans="1:4" x14ac:dyDescent="0.25">
      <c r="A368" s="25"/>
      <c r="B368" s="25"/>
      <c r="C368" s="25"/>
      <c r="D368" s="26"/>
    </row>
    <row r="369" spans="1:4" x14ac:dyDescent="0.25">
      <c r="A369" s="25"/>
      <c r="B369" s="25"/>
      <c r="C369" s="25"/>
      <c r="D369" s="26"/>
    </row>
    <row r="370" spans="1:4" x14ac:dyDescent="0.25">
      <c r="A370" s="25"/>
      <c r="B370" s="25"/>
      <c r="C370" s="25"/>
      <c r="D370" s="26"/>
    </row>
    <row r="371" spans="1:4" x14ac:dyDescent="0.25">
      <c r="A371" s="25"/>
      <c r="B371" s="25"/>
      <c r="C371" s="25"/>
      <c r="D371" s="26"/>
    </row>
    <row r="372" spans="1:4" x14ac:dyDescent="0.25">
      <c r="A372" s="25"/>
      <c r="B372" s="25"/>
      <c r="C372" s="25"/>
      <c r="D372" s="26"/>
    </row>
    <row r="373" spans="1:4" x14ac:dyDescent="0.25">
      <c r="A373" s="25"/>
      <c r="B373" s="25"/>
      <c r="C373" s="25"/>
      <c r="D373" s="26"/>
    </row>
    <row r="374" spans="1:4" x14ac:dyDescent="0.25">
      <c r="A374" s="25"/>
      <c r="B374" s="25"/>
      <c r="C374" s="25"/>
      <c r="D374" s="26"/>
    </row>
    <row r="375" spans="1:4" x14ac:dyDescent="0.25">
      <c r="A375" s="25"/>
      <c r="B375" s="25"/>
      <c r="C375" s="25"/>
      <c r="D375" s="26"/>
    </row>
    <row r="376" spans="1:4" x14ac:dyDescent="0.25">
      <c r="A376" s="25"/>
      <c r="B376" s="25"/>
      <c r="C376" s="25"/>
      <c r="D376" s="26"/>
    </row>
    <row r="377" spans="1:4" x14ac:dyDescent="0.25">
      <c r="A377" s="25"/>
      <c r="B377" s="25"/>
      <c r="C377" s="25"/>
      <c r="D377" s="26"/>
    </row>
    <row r="378" spans="1:4" x14ac:dyDescent="0.25">
      <c r="A378" s="25"/>
      <c r="B378" s="25"/>
      <c r="C378" s="25"/>
      <c r="D378" s="26"/>
    </row>
    <row r="379" spans="1:4" x14ac:dyDescent="0.25">
      <c r="A379" s="25"/>
      <c r="B379" s="25"/>
      <c r="C379" s="25"/>
      <c r="D379" s="26"/>
    </row>
    <row r="380" spans="1:4" x14ac:dyDescent="0.25">
      <c r="A380" s="25"/>
      <c r="B380" s="25"/>
      <c r="C380" s="25"/>
      <c r="D380" s="26"/>
    </row>
    <row r="381" spans="1:4" x14ac:dyDescent="0.25">
      <c r="A381" s="25"/>
      <c r="B381" s="25"/>
      <c r="C381" s="25"/>
      <c r="D381" s="26"/>
    </row>
    <row r="382" spans="1:4" x14ac:dyDescent="0.25">
      <c r="A382" s="25"/>
      <c r="B382" s="25"/>
      <c r="C382" s="25"/>
      <c r="D382" s="26"/>
    </row>
    <row r="383" spans="1:4" x14ac:dyDescent="0.25">
      <c r="A383" s="25"/>
      <c r="B383" s="25"/>
      <c r="C383" s="25"/>
      <c r="D383" s="26"/>
    </row>
    <row r="384" spans="1:4" x14ac:dyDescent="0.25">
      <c r="A384" s="25"/>
      <c r="B384" s="25"/>
      <c r="C384" s="25"/>
      <c r="D384" s="26"/>
    </row>
    <row r="385" spans="1:4" x14ac:dyDescent="0.25">
      <c r="A385" s="25"/>
      <c r="B385" s="25"/>
      <c r="C385" s="25"/>
      <c r="D385" s="26"/>
    </row>
    <row r="386" spans="1:4" x14ac:dyDescent="0.25">
      <c r="A386" s="25"/>
      <c r="B386" s="25"/>
      <c r="C386" s="25"/>
      <c r="D386" s="26"/>
    </row>
    <row r="387" spans="1:4" x14ac:dyDescent="0.25">
      <c r="A387" s="25"/>
      <c r="B387" s="25"/>
      <c r="C387" s="25"/>
      <c r="D387" s="26"/>
    </row>
    <row r="388" spans="1:4" x14ac:dyDescent="0.25">
      <c r="A388" s="25"/>
      <c r="B388" s="25"/>
      <c r="C388" s="25"/>
      <c r="D388" s="26"/>
    </row>
    <row r="389" spans="1:4" x14ac:dyDescent="0.25">
      <c r="A389" s="25"/>
      <c r="B389" s="25"/>
      <c r="C389" s="25"/>
      <c r="D389" s="26"/>
    </row>
    <row r="390" spans="1:4" x14ac:dyDescent="0.25">
      <c r="A390" s="25"/>
      <c r="B390" s="25"/>
      <c r="C390" s="25"/>
      <c r="D390" s="26"/>
    </row>
    <row r="391" spans="1:4" x14ac:dyDescent="0.25">
      <c r="A391" s="25"/>
      <c r="B391" s="25"/>
      <c r="C391" s="25"/>
      <c r="D391" s="26"/>
    </row>
    <row r="392" spans="1:4" x14ac:dyDescent="0.25">
      <c r="A392" s="25"/>
      <c r="B392" s="25"/>
      <c r="C392" s="25"/>
      <c r="D392" s="26"/>
    </row>
    <row r="393" spans="1:4" x14ac:dyDescent="0.25">
      <c r="A393" s="25"/>
      <c r="B393" s="25"/>
      <c r="C393" s="25"/>
      <c r="D393" s="26"/>
    </row>
    <row r="394" spans="1:4" x14ac:dyDescent="0.25">
      <c r="A394" s="25"/>
      <c r="B394" s="25"/>
      <c r="C394" s="25"/>
      <c r="D394" s="26"/>
    </row>
    <row r="395" spans="1:4" x14ac:dyDescent="0.25">
      <c r="A395" s="25"/>
      <c r="B395" s="25"/>
      <c r="C395" s="25"/>
      <c r="D395" s="26"/>
    </row>
    <row r="396" spans="1:4" x14ac:dyDescent="0.25">
      <c r="A396" s="25"/>
      <c r="B396" s="25"/>
      <c r="C396" s="25"/>
      <c r="D396" s="26"/>
    </row>
    <row r="397" spans="1:4" x14ac:dyDescent="0.25">
      <c r="A397" s="25"/>
      <c r="B397" s="25"/>
      <c r="C397" s="25"/>
      <c r="D397" s="26"/>
    </row>
    <row r="398" spans="1:4" x14ac:dyDescent="0.25">
      <c r="A398" s="25"/>
      <c r="B398" s="25"/>
      <c r="C398" s="25"/>
      <c r="D398" s="26"/>
    </row>
    <row r="399" spans="1:4" x14ac:dyDescent="0.25">
      <c r="A399" s="25"/>
      <c r="B399" s="25"/>
      <c r="C399" s="25"/>
      <c r="D399" s="26"/>
    </row>
    <row r="400" spans="1:4" x14ac:dyDescent="0.25">
      <c r="A400" s="25"/>
      <c r="B400" s="25"/>
      <c r="C400" s="25"/>
      <c r="D400" s="26"/>
    </row>
    <row r="401" spans="1:4" x14ac:dyDescent="0.25">
      <c r="A401" s="25"/>
      <c r="B401" s="25"/>
      <c r="C401" s="25"/>
      <c r="D401" s="26"/>
    </row>
    <row r="402" spans="1:4" x14ac:dyDescent="0.25">
      <c r="A402" s="25"/>
      <c r="B402" s="25"/>
      <c r="C402" s="25"/>
      <c r="D402" s="26"/>
    </row>
    <row r="403" spans="1:4" x14ac:dyDescent="0.25">
      <c r="A403" s="25"/>
      <c r="B403" s="25"/>
      <c r="C403" s="25"/>
      <c r="D403" s="26"/>
    </row>
    <row r="404" spans="1:4" x14ac:dyDescent="0.25">
      <c r="A404" s="25"/>
      <c r="B404" s="25"/>
      <c r="C404" s="25"/>
      <c r="D404" s="26"/>
    </row>
    <row r="405" spans="1:4" x14ac:dyDescent="0.25">
      <c r="A405" s="25"/>
      <c r="B405" s="25"/>
      <c r="C405" s="25"/>
      <c r="D405" s="26"/>
    </row>
    <row r="406" spans="1:4" x14ac:dyDescent="0.25">
      <c r="A406" s="25"/>
      <c r="B406" s="25"/>
      <c r="C406" s="25"/>
      <c r="D406" s="26"/>
    </row>
    <row r="407" spans="1:4" x14ac:dyDescent="0.25">
      <c r="A407" s="25"/>
      <c r="B407" s="25"/>
      <c r="C407" s="25"/>
      <c r="D407" s="26"/>
    </row>
    <row r="408" spans="1:4" x14ac:dyDescent="0.25">
      <c r="A408" s="25"/>
      <c r="B408" s="25"/>
      <c r="C408" s="25"/>
      <c r="D408" s="26"/>
    </row>
    <row r="409" spans="1:4" x14ac:dyDescent="0.25">
      <c r="A409" s="25"/>
      <c r="B409" s="25"/>
      <c r="C409" s="25"/>
      <c r="D409" s="26"/>
    </row>
    <row r="410" spans="1:4" x14ac:dyDescent="0.25">
      <c r="A410" s="25"/>
      <c r="B410" s="25"/>
      <c r="C410" s="25"/>
      <c r="D410" s="26"/>
    </row>
    <row r="411" spans="1:4" x14ac:dyDescent="0.25">
      <c r="A411" s="25"/>
      <c r="B411" s="25"/>
      <c r="C411" s="25"/>
      <c r="D411" s="26"/>
    </row>
    <row r="412" spans="1:4" x14ac:dyDescent="0.25">
      <c r="A412" s="25"/>
      <c r="B412" s="25"/>
      <c r="C412" s="25"/>
      <c r="D412" s="26"/>
    </row>
    <row r="413" spans="1:4" x14ac:dyDescent="0.25">
      <c r="A413" s="25"/>
      <c r="B413" s="25"/>
      <c r="C413" s="25"/>
      <c r="D413" s="26"/>
    </row>
    <row r="414" spans="1:4" x14ac:dyDescent="0.25">
      <c r="A414" s="25"/>
      <c r="B414" s="25"/>
      <c r="C414" s="25"/>
      <c r="D414" s="26"/>
    </row>
    <row r="415" spans="1:4" x14ac:dyDescent="0.25">
      <c r="A415" s="25"/>
      <c r="B415" s="25"/>
      <c r="C415" s="25"/>
      <c r="D415" s="26"/>
    </row>
    <row r="416" spans="1:4" x14ac:dyDescent="0.25">
      <c r="A416" s="25"/>
      <c r="B416" s="25"/>
      <c r="C416" s="25"/>
      <c r="D416" s="26"/>
    </row>
    <row r="417" spans="1:4" x14ac:dyDescent="0.25">
      <c r="A417" s="25"/>
      <c r="B417" s="25"/>
      <c r="C417" s="25"/>
      <c r="D417" s="26"/>
    </row>
    <row r="418" spans="1:4" x14ac:dyDescent="0.25">
      <c r="A418" s="25"/>
      <c r="B418" s="25"/>
      <c r="C418" s="25"/>
      <c r="D418" s="26"/>
    </row>
    <row r="419" spans="1:4" x14ac:dyDescent="0.25">
      <c r="A419" s="25"/>
      <c r="B419" s="25"/>
      <c r="C419" s="25"/>
      <c r="D419" s="26"/>
    </row>
    <row r="420" spans="1:4" x14ac:dyDescent="0.25">
      <c r="A420" s="25"/>
      <c r="B420" s="25"/>
      <c r="C420" s="25"/>
      <c r="D420" s="26"/>
    </row>
    <row r="421" spans="1:4" x14ac:dyDescent="0.25">
      <c r="A421" s="25"/>
      <c r="B421" s="25"/>
      <c r="C421" s="25"/>
      <c r="D421" s="26"/>
    </row>
    <row r="422" spans="1:4" x14ac:dyDescent="0.25">
      <c r="A422" s="25"/>
      <c r="B422" s="25"/>
      <c r="C422" s="25"/>
      <c r="D422" s="26"/>
    </row>
    <row r="423" spans="1:4" x14ac:dyDescent="0.25">
      <c r="A423" s="25"/>
      <c r="B423" s="25"/>
      <c r="C423" s="25"/>
      <c r="D423" s="26"/>
    </row>
    <row r="424" spans="1:4" x14ac:dyDescent="0.25">
      <c r="A424" s="25"/>
      <c r="B424" s="25"/>
      <c r="C424" s="25"/>
      <c r="D424" s="26"/>
    </row>
    <row r="425" spans="1:4" x14ac:dyDescent="0.25">
      <c r="A425" s="25"/>
      <c r="B425" s="25"/>
      <c r="C425" s="25"/>
      <c r="D425" s="26"/>
    </row>
    <row r="426" spans="1:4" x14ac:dyDescent="0.25">
      <c r="A426" s="25"/>
      <c r="B426" s="25"/>
      <c r="C426" s="25"/>
      <c r="D426" s="26"/>
    </row>
    <row r="427" spans="1:4" x14ac:dyDescent="0.25">
      <c r="A427" s="25"/>
      <c r="B427" s="25"/>
      <c r="C427" s="25"/>
      <c r="D427" s="26"/>
    </row>
    <row r="428" spans="1:4" x14ac:dyDescent="0.25">
      <c r="A428" s="25"/>
      <c r="B428" s="25"/>
      <c r="C428" s="25"/>
      <c r="D428" s="26"/>
    </row>
    <row r="429" spans="1:4" x14ac:dyDescent="0.25">
      <c r="A429" s="25"/>
      <c r="B429" s="25"/>
      <c r="C429" s="25"/>
      <c r="D429" s="26"/>
    </row>
    <row r="430" spans="1:4" x14ac:dyDescent="0.25">
      <c r="A430" s="25"/>
      <c r="B430" s="25"/>
      <c r="C430" s="25"/>
      <c r="D430" s="26"/>
    </row>
    <row r="431" spans="1:4" x14ac:dyDescent="0.25">
      <c r="A431" s="25"/>
      <c r="B431" s="25"/>
      <c r="C431" s="25"/>
      <c r="D431" s="26"/>
    </row>
    <row r="432" spans="1:4" x14ac:dyDescent="0.25">
      <c r="A432" s="25"/>
      <c r="B432" s="25"/>
      <c r="C432" s="25"/>
      <c r="D432" s="26"/>
    </row>
    <row r="433" spans="1:4" x14ac:dyDescent="0.25">
      <c r="A433" s="25"/>
      <c r="B433" s="25"/>
      <c r="C433" s="25"/>
      <c r="D433" s="26"/>
    </row>
    <row r="434" spans="1:4" x14ac:dyDescent="0.25">
      <c r="A434" s="25"/>
      <c r="B434" s="25"/>
      <c r="C434" s="25"/>
      <c r="D434" s="26"/>
    </row>
    <row r="435" spans="1:4" x14ac:dyDescent="0.25">
      <c r="A435" s="25"/>
      <c r="B435" s="25"/>
      <c r="C435" s="25"/>
      <c r="D435" s="26"/>
    </row>
    <row r="436" spans="1:4" x14ac:dyDescent="0.25">
      <c r="A436" s="25"/>
      <c r="B436" s="25"/>
      <c r="C436" s="25"/>
      <c r="D436" s="26"/>
    </row>
    <row r="437" spans="1:4" x14ac:dyDescent="0.25">
      <c r="A437" s="25"/>
      <c r="B437" s="25"/>
      <c r="C437" s="25"/>
      <c r="D437" s="26"/>
    </row>
    <row r="438" spans="1:4" x14ac:dyDescent="0.25">
      <c r="A438" s="25"/>
      <c r="B438" s="25"/>
      <c r="C438" s="25"/>
      <c r="D438" s="26"/>
    </row>
    <row r="439" spans="1:4" x14ac:dyDescent="0.25">
      <c r="A439" s="25"/>
      <c r="B439" s="25"/>
      <c r="C439" s="25"/>
      <c r="D439" s="26"/>
    </row>
    <row r="440" spans="1:4" x14ac:dyDescent="0.25">
      <c r="A440" s="25"/>
      <c r="B440" s="25"/>
      <c r="C440" s="25"/>
      <c r="D440" s="26"/>
    </row>
    <row r="441" spans="1:4" x14ac:dyDescent="0.25">
      <c r="A441" s="25"/>
      <c r="B441" s="25"/>
      <c r="C441" s="25"/>
      <c r="D441" s="26"/>
    </row>
    <row r="442" spans="1:4" x14ac:dyDescent="0.25">
      <c r="A442" s="25"/>
      <c r="B442" s="25"/>
      <c r="C442" s="25"/>
      <c r="D442" s="26"/>
    </row>
    <row r="443" spans="1:4" x14ac:dyDescent="0.25">
      <c r="A443" s="25"/>
      <c r="B443" s="25"/>
      <c r="C443" s="25"/>
      <c r="D443" s="26"/>
    </row>
    <row r="444" spans="1:4" x14ac:dyDescent="0.25">
      <c r="A444" s="25"/>
      <c r="B444" s="25"/>
      <c r="C444" s="25"/>
      <c r="D444" s="26"/>
    </row>
    <row r="445" spans="1:4" x14ac:dyDescent="0.25">
      <c r="A445" s="25"/>
      <c r="B445" s="25"/>
      <c r="C445" s="25"/>
      <c r="D445" s="26"/>
    </row>
    <row r="446" spans="1:4" x14ac:dyDescent="0.25">
      <c r="A446" s="25"/>
      <c r="B446" s="25"/>
      <c r="C446" s="25"/>
      <c r="D446" s="26"/>
    </row>
    <row r="447" spans="1:4" x14ac:dyDescent="0.25">
      <c r="A447" s="25"/>
      <c r="B447" s="25"/>
      <c r="C447" s="25"/>
      <c r="D447" s="26"/>
    </row>
    <row r="448" spans="1:4" x14ac:dyDescent="0.25">
      <c r="A448" s="25"/>
      <c r="B448" s="25"/>
      <c r="C448" s="25"/>
      <c r="D448" s="26"/>
    </row>
    <row r="449" spans="1:4" x14ac:dyDescent="0.25">
      <c r="A449" s="25"/>
      <c r="B449" s="25"/>
      <c r="C449" s="25"/>
      <c r="D449" s="26"/>
    </row>
    <row r="450" spans="1:4" x14ac:dyDescent="0.25">
      <c r="A450" s="25"/>
      <c r="B450" s="25"/>
      <c r="C450" s="25"/>
      <c r="D450" s="26"/>
    </row>
    <row r="451" spans="1:4" x14ac:dyDescent="0.25">
      <c r="A451" s="25"/>
      <c r="B451" s="25"/>
      <c r="C451" s="25"/>
      <c r="D451" s="26"/>
    </row>
    <row r="452" spans="1:4" x14ac:dyDescent="0.25">
      <c r="A452" s="25"/>
      <c r="B452" s="25"/>
      <c r="C452" s="25"/>
      <c r="D452" s="26"/>
    </row>
    <row r="453" spans="1:4" x14ac:dyDescent="0.25">
      <c r="A453" s="25"/>
      <c r="B453" s="25"/>
      <c r="C453" s="25"/>
      <c r="D453" s="26"/>
    </row>
    <row r="454" spans="1:4" x14ac:dyDescent="0.25">
      <c r="A454" s="25"/>
      <c r="B454" s="25"/>
      <c r="C454" s="25"/>
      <c r="D454" s="26"/>
    </row>
    <row r="455" spans="1:4" x14ac:dyDescent="0.25">
      <c r="A455" s="25"/>
      <c r="B455" s="25"/>
      <c r="C455" s="25"/>
      <c r="D455" s="26"/>
    </row>
    <row r="456" spans="1:4" x14ac:dyDescent="0.25">
      <c r="A456" s="25"/>
      <c r="B456" s="25"/>
      <c r="C456" s="25"/>
      <c r="D456" s="26"/>
    </row>
    <row r="457" spans="1:4" x14ac:dyDescent="0.25">
      <c r="A457" s="25"/>
      <c r="B457" s="25"/>
      <c r="C457" s="25"/>
      <c r="D457" s="26"/>
    </row>
    <row r="458" spans="1:4" x14ac:dyDescent="0.25">
      <c r="A458" s="25"/>
      <c r="B458" s="25"/>
      <c r="C458" s="25"/>
      <c r="D458" s="26"/>
    </row>
    <row r="459" spans="1:4" x14ac:dyDescent="0.25">
      <c r="A459" s="25"/>
      <c r="B459" s="25"/>
      <c r="C459" s="25"/>
      <c r="D459" s="26"/>
    </row>
    <row r="460" spans="1:4" x14ac:dyDescent="0.25">
      <c r="A460" s="25"/>
      <c r="B460" s="25"/>
      <c r="C460" s="25"/>
      <c r="D460" s="26"/>
    </row>
    <row r="461" spans="1:4" x14ac:dyDescent="0.25">
      <c r="A461" s="25"/>
      <c r="B461" s="25"/>
      <c r="C461" s="25"/>
      <c r="D461" s="26"/>
    </row>
    <row r="462" spans="1:4" x14ac:dyDescent="0.25">
      <c r="A462" s="25"/>
      <c r="B462" s="25"/>
      <c r="C462" s="25"/>
      <c r="D462" s="26"/>
    </row>
    <row r="463" spans="1:4" x14ac:dyDescent="0.25">
      <c r="A463" s="25"/>
      <c r="B463" s="25"/>
      <c r="C463" s="25"/>
      <c r="D463" s="26"/>
    </row>
    <row r="464" spans="1:4" x14ac:dyDescent="0.25">
      <c r="A464" s="25"/>
      <c r="B464" s="25"/>
      <c r="C464" s="25"/>
      <c r="D464" s="26"/>
    </row>
    <row r="465" spans="1:4" x14ac:dyDescent="0.25">
      <c r="A465" s="25"/>
      <c r="B465" s="25"/>
      <c r="C465" s="25"/>
      <c r="D465" s="26"/>
    </row>
    <row r="466" spans="1:4" x14ac:dyDescent="0.25">
      <c r="A466" s="25"/>
      <c r="B466" s="25"/>
      <c r="C466" s="25"/>
      <c r="D466" s="26"/>
    </row>
    <row r="467" spans="1:4" x14ac:dyDescent="0.25">
      <c r="A467" s="25"/>
      <c r="B467" s="25"/>
      <c r="C467" s="25"/>
      <c r="D467" s="26"/>
    </row>
    <row r="468" spans="1:4" x14ac:dyDescent="0.25">
      <c r="A468" s="25"/>
      <c r="B468" s="25"/>
      <c r="C468" s="25"/>
      <c r="D468" s="26"/>
    </row>
    <row r="469" spans="1:4" x14ac:dyDescent="0.25">
      <c r="A469" s="25"/>
      <c r="B469" s="25"/>
      <c r="C469" s="25"/>
      <c r="D469" s="26"/>
    </row>
    <row r="470" spans="1:4" x14ac:dyDescent="0.25">
      <c r="A470" s="25"/>
      <c r="B470" s="25"/>
      <c r="C470" s="25"/>
      <c r="D470" s="26"/>
    </row>
    <row r="471" spans="1:4" x14ac:dyDescent="0.25">
      <c r="A471" s="25"/>
      <c r="B471" s="25"/>
      <c r="C471" s="25"/>
      <c r="D471" s="26"/>
    </row>
    <row r="472" spans="1:4" x14ac:dyDescent="0.25">
      <c r="A472" s="25"/>
      <c r="B472" s="25"/>
      <c r="C472" s="25"/>
      <c r="D472" s="26"/>
    </row>
    <row r="473" spans="1:4" x14ac:dyDescent="0.25">
      <c r="A473" s="25"/>
      <c r="B473" s="25"/>
      <c r="C473" s="25"/>
      <c r="D473" s="26"/>
    </row>
    <row r="474" spans="1:4" x14ac:dyDescent="0.25">
      <c r="A474" s="25"/>
      <c r="B474" s="25"/>
      <c r="C474" s="25"/>
      <c r="D474" s="26"/>
    </row>
    <row r="475" spans="1:4" x14ac:dyDescent="0.25">
      <c r="A475" s="25"/>
      <c r="B475" s="25"/>
      <c r="C475" s="25"/>
      <c r="D475" s="26"/>
    </row>
    <row r="476" spans="1:4" x14ac:dyDescent="0.25">
      <c r="A476" s="25"/>
      <c r="B476" s="25"/>
      <c r="C476" s="25"/>
      <c r="D476" s="26"/>
    </row>
    <row r="477" spans="1:4" x14ac:dyDescent="0.25">
      <c r="A477" s="25"/>
      <c r="B477" s="25"/>
      <c r="C477" s="25"/>
      <c r="D477" s="26"/>
    </row>
    <row r="478" spans="1:4" x14ac:dyDescent="0.25">
      <c r="A478" s="25"/>
      <c r="B478" s="25"/>
      <c r="C478" s="25"/>
      <c r="D478" s="26"/>
    </row>
    <row r="479" spans="1:4" x14ac:dyDescent="0.25">
      <c r="A479" s="25"/>
      <c r="B479" s="25"/>
      <c r="C479" s="25"/>
      <c r="D479" s="26"/>
    </row>
    <row r="480" spans="1:4" x14ac:dyDescent="0.25">
      <c r="A480" s="25"/>
      <c r="B480" s="25"/>
      <c r="C480" s="25"/>
      <c r="D480" s="26"/>
    </row>
    <row r="481" spans="1:4" x14ac:dyDescent="0.25">
      <c r="A481" s="25"/>
      <c r="B481" s="25"/>
      <c r="C481" s="25"/>
      <c r="D481" s="26"/>
    </row>
    <row r="482" spans="1:4" x14ac:dyDescent="0.25">
      <c r="A482" s="25"/>
      <c r="B482" s="25"/>
      <c r="C482" s="25"/>
      <c r="D482" s="26"/>
    </row>
    <row r="483" spans="1:4" x14ac:dyDescent="0.25">
      <c r="A483" s="25"/>
      <c r="B483" s="25"/>
      <c r="C483" s="25"/>
      <c r="D483" s="26"/>
    </row>
    <row r="484" spans="1:4" x14ac:dyDescent="0.25">
      <c r="A484" s="25"/>
      <c r="B484" s="25"/>
      <c r="C484" s="25"/>
      <c r="D484" s="26"/>
    </row>
    <row r="485" spans="1:4" x14ac:dyDescent="0.25">
      <c r="A485" s="25"/>
      <c r="B485" s="25"/>
      <c r="C485" s="25"/>
      <c r="D485" s="26"/>
    </row>
    <row r="486" spans="1:4" x14ac:dyDescent="0.25">
      <c r="A486" s="25"/>
      <c r="B486" s="25"/>
      <c r="C486" s="25"/>
      <c r="D486" s="26"/>
    </row>
    <row r="487" spans="1:4" x14ac:dyDescent="0.25">
      <c r="A487" s="25"/>
      <c r="B487" s="25"/>
      <c r="C487" s="25"/>
      <c r="D487" s="26"/>
    </row>
    <row r="488" spans="1:4" x14ac:dyDescent="0.25">
      <c r="A488" s="25"/>
      <c r="B488" s="25"/>
      <c r="C488" s="25"/>
      <c r="D488" s="26"/>
    </row>
    <row r="489" spans="1:4" x14ac:dyDescent="0.25">
      <c r="A489" s="25"/>
      <c r="B489" s="25"/>
      <c r="C489" s="25"/>
      <c r="D489" s="26"/>
    </row>
    <row r="490" spans="1:4" x14ac:dyDescent="0.25">
      <c r="A490" s="25"/>
      <c r="B490" s="25"/>
      <c r="C490" s="25"/>
      <c r="D490" s="26"/>
    </row>
    <row r="491" spans="1:4" x14ac:dyDescent="0.25">
      <c r="A491" s="25"/>
      <c r="B491" s="25"/>
      <c r="C491" s="25"/>
      <c r="D491" s="26"/>
    </row>
    <row r="492" spans="1:4" x14ac:dyDescent="0.25">
      <c r="A492" s="25"/>
      <c r="B492" s="25"/>
      <c r="C492" s="25"/>
      <c r="D492" s="26"/>
    </row>
    <row r="493" spans="1:4" x14ac:dyDescent="0.25">
      <c r="A493" s="25"/>
      <c r="B493" s="25"/>
      <c r="C493" s="25"/>
      <c r="D493" s="26"/>
    </row>
    <row r="494" spans="1:4" x14ac:dyDescent="0.25">
      <c r="A494" s="25"/>
      <c r="B494" s="25"/>
      <c r="C494" s="25"/>
      <c r="D494" s="26"/>
    </row>
    <row r="495" spans="1:4" x14ac:dyDescent="0.25">
      <c r="A495" s="25"/>
      <c r="B495" s="25"/>
      <c r="C495" s="25"/>
      <c r="D495" s="26"/>
    </row>
    <row r="496" spans="1:4" x14ac:dyDescent="0.25">
      <c r="A496" s="25"/>
      <c r="B496" s="25"/>
      <c r="C496" s="25"/>
      <c r="D496" s="26"/>
    </row>
    <row r="497" spans="1:4" x14ac:dyDescent="0.25">
      <c r="A497" s="25"/>
      <c r="B497" s="25"/>
      <c r="C497" s="25"/>
      <c r="D497" s="26"/>
    </row>
    <row r="498" spans="1:4" x14ac:dyDescent="0.25">
      <c r="A498" s="25"/>
      <c r="B498" s="25"/>
      <c r="C498" s="25"/>
      <c r="D498" s="26"/>
    </row>
    <row r="499" spans="1:4" x14ac:dyDescent="0.25">
      <c r="A499" s="25"/>
      <c r="B499" s="25"/>
      <c r="C499" s="25"/>
      <c r="D499" s="26"/>
    </row>
    <row r="500" spans="1:4" x14ac:dyDescent="0.25">
      <c r="A500" s="25"/>
      <c r="B500" s="25"/>
      <c r="C500" s="25"/>
      <c r="D500" s="26"/>
    </row>
    <row r="501" spans="1:4" x14ac:dyDescent="0.25">
      <c r="A501" s="25"/>
      <c r="B501" s="25"/>
      <c r="C501" s="25"/>
      <c r="D501" s="26"/>
    </row>
    <row r="502" spans="1:4" x14ac:dyDescent="0.25">
      <c r="A502" s="25"/>
      <c r="B502" s="25"/>
      <c r="C502" s="25"/>
      <c r="D502" s="26"/>
    </row>
    <row r="503" spans="1:4" x14ac:dyDescent="0.25">
      <c r="A503" s="25"/>
      <c r="B503" s="25"/>
      <c r="C503" s="25"/>
      <c r="D503" s="26"/>
    </row>
    <row r="504" spans="1:4" x14ac:dyDescent="0.25">
      <c r="A504" s="25"/>
      <c r="B504" s="25"/>
      <c r="C504" s="25"/>
      <c r="D504" s="26"/>
    </row>
    <row r="505" spans="1:4" x14ac:dyDescent="0.25">
      <c r="A505" s="25"/>
      <c r="B505" s="25"/>
      <c r="C505" s="25"/>
      <c r="D505" s="26"/>
    </row>
    <row r="506" spans="1:4" x14ac:dyDescent="0.25">
      <c r="A506" s="25"/>
      <c r="B506" s="25"/>
      <c r="C506" s="25"/>
      <c r="D506" s="26"/>
    </row>
    <row r="507" spans="1:4" x14ac:dyDescent="0.25">
      <c r="A507" s="25"/>
      <c r="B507" s="25"/>
      <c r="C507" s="25"/>
      <c r="D507" s="26"/>
    </row>
    <row r="508" spans="1:4" x14ac:dyDescent="0.25">
      <c r="A508" s="25"/>
      <c r="B508" s="25"/>
      <c r="C508" s="25"/>
      <c r="D508" s="26"/>
    </row>
    <row r="509" spans="1:4" x14ac:dyDescent="0.25">
      <c r="A509" s="25"/>
      <c r="B509" s="25"/>
      <c r="C509" s="25"/>
      <c r="D509" s="26"/>
    </row>
    <row r="510" spans="1:4" x14ac:dyDescent="0.25">
      <c r="A510" s="25"/>
      <c r="B510" s="25"/>
      <c r="C510" s="25"/>
      <c r="D510" s="26"/>
    </row>
    <row r="511" spans="1:4" x14ac:dyDescent="0.25">
      <c r="A511" s="25"/>
      <c r="B511" s="25"/>
      <c r="C511" s="25"/>
      <c r="D511" s="26"/>
    </row>
    <row r="512" spans="1:4" x14ac:dyDescent="0.25">
      <c r="A512" s="25"/>
      <c r="B512" s="25"/>
      <c r="C512" s="25"/>
      <c r="D512" s="26"/>
    </row>
    <row r="513" spans="1:4" x14ac:dyDescent="0.25">
      <c r="A513" s="25"/>
      <c r="B513" s="25"/>
      <c r="C513" s="25"/>
      <c r="D513" s="26"/>
    </row>
    <row r="514" spans="1:4" x14ac:dyDescent="0.25">
      <c r="A514" s="25"/>
      <c r="B514" s="25"/>
      <c r="C514" s="25"/>
      <c r="D514" s="26"/>
    </row>
    <row r="515" spans="1:4" x14ac:dyDescent="0.25">
      <c r="A515" s="25"/>
      <c r="B515" s="25"/>
      <c r="C515" s="25"/>
      <c r="D515" s="26"/>
    </row>
    <row r="516" spans="1:4" x14ac:dyDescent="0.25">
      <c r="A516" s="25"/>
      <c r="B516" s="25"/>
      <c r="C516" s="25"/>
      <c r="D516" s="26"/>
    </row>
    <row r="517" spans="1:4" x14ac:dyDescent="0.25">
      <c r="A517" s="25"/>
      <c r="B517" s="25"/>
      <c r="C517" s="25"/>
      <c r="D517" s="26"/>
    </row>
    <row r="518" spans="1:4" x14ac:dyDescent="0.25">
      <c r="A518" s="25"/>
      <c r="B518" s="25"/>
      <c r="C518" s="25"/>
      <c r="D518" s="26"/>
    </row>
    <row r="519" spans="1:4" x14ac:dyDescent="0.25">
      <c r="A519" s="25"/>
      <c r="B519" s="25"/>
      <c r="C519" s="25"/>
      <c r="D519" s="26"/>
    </row>
    <row r="520" spans="1:4" x14ac:dyDescent="0.25">
      <c r="A520" s="25"/>
      <c r="B520" s="25"/>
      <c r="C520" s="25"/>
      <c r="D520" s="26"/>
    </row>
    <row r="521" spans="1:4" x14ac:dyDescent="0.25">
      <c r="A521" s="25"/>
      <c r="B521" s="25"/>
      <c r="C521" s="25"/>
      <c r="D521" s="26"/>
    </row>
    <row r="522" spans="1:4" x14ac:dyDescent="0.25">
      <c r="A522" s="25"/>
      <c r="B522" s="25"/>
      <c r="C522" s="25"/>
      <c r="D522" s="26"/>
    </row>
    <row r="523" spans="1:4" x14ac:dyDescent="0.25">
      <c r="A523" s="25"/>
      <c r="B523" s="25"/>
      <c r="C523" s="25"/>
      <c r="D523" s="26"/>
    </row>
    <row r="524" spans="1:4" x14ac:dyDescent="0.25">
      <c r="A524" s="25"/>
      <c r="B524" s="25"/>
      <c r="C524" s="25"/>
      <c r="D524" s="26"/>
    </row>
    <row r="525" spans="1:4" x14ac:dyDescent="0.25">
      <c r="A525" s="25"/>
      <c r="B525" s="25"/>
      <c r="C525" s="25"/>
      <c r="D525" s="26"/>
    </row>
    <row r="526" spans="1:4" x14ac:dyDescent="0.25">
      <c r="A526" s="25"/>
      <c r="B526" s="25"/>
      <c r="C526" s="25"/>
      <c r="D526" s="26"/>
    </row>
    <row r="527" spans="1:4" x14ac:dyDescent="0.25">
      <c r="A527" s="25"/>
      <c r="B527" s="25"/>
      <c r="C527" s="25"/>
      <c r="D527" s="26"/>
    </row>
    <row r="528" spans="1:4" x14ac:dyDescent="0.25">
      <c r="A528" s="25"/>
      <c r="B528" s="25"/>
      <c r="C528" s="25"/>
      <c r="D528" s="26"/>
    </row>
    <row r="529" spans="1:4" x14ac:dyDescent="0.25">
      <c r="A529" s="25"/>
      <c r="B529" s="25"/>
      <c r="C529" s="25"/>
      <c r="D529" s="26"/>
    </row>
    <row r="530" spans="1:4" x14ac:dyDescent="0.25">
      <c r="A530" s="25"/>
      <c r="B530" s="25"/>
      <c r="C530" s="25"/>
      <c r="D530" s="26"/>
    </row>
    <row r="531" spans="1:4" x14ac:dyDescent="0.25">
      <c r="A531" s="25"/>
      <c r="B531" s="25"/>
      <c r="C531" s="25"/>
      <c r="D531" s="26"/>
    </row>
    <row r="532" spans="1:4" x14ac:dyDescent="0.25">
      <c r="A532" s="25"/>
      <c r="B532" s="25"/>
      <c r="C532" s="25"/>
      <c r="D532" s="26"/>
    </row>
    <row r="533" spans="1:4" x14ac:dyDescent="0.25">
      <c r="A533" s="25"/>
      <c r="B533" s="25"/>
      <c r="C533" s="25"/>
      <c r="D533" s="26"/>
    </row>
    <row r="534" spans="1:4" x14ac:dyDescent="0.25">
      <c r="A534" s="25"/>
      <c r="B534" s="25"/>
      <c r="C534" s="25"/>
      <c r="D534" s="26"/>
    </row>
    <row r="535" spans="1:4" x14ac:dyDescent="0.25">
      <c r="A535" s="25"/>
      <c r="B535" s="25"/>
      <c r="C535" s="25"/>
      <c r="D535" s="26"/>
    </row>
    <row r="536" spans="1:4" x14ac:dyDescent="0.25">
      <c r="A536" s="25"/>
      <c r="B536" s="25"/>
      <c r="C536" s="25"/>
      <c r="D536" s="26"/>
    </row>
    <row r="537" spans="1:4" x14ac:dyDescent="0.25">
      <c r="A537" s="25"/>
      <c r="B537" s="25"/>
      <c r="C537" s="25"/>
      <c r="D537" s="26"/>
    </row>
    <row r="538" spans="1:4" x14ac:dyDescent="0.25">
      <c r="A538" s="25"/>
      <c r="B538" s="25"/>
      <c r="C538" s="25"/>
      <c r="D538" s="26"/>
    </row>
    <row r="539" spans="1:4" x14ac:dyDescent="0.25">
      <c r="A539" s="25"/>
      <c r="B539" s="25"/>
      <c r="C539" s="25"/>
      <c r="D539" s="26"/>
    </row>
    <row r="540" spans="1:4" x14ac:dyDescent="0.25">
      <c r="A540" s="25"/>
      <c r="B540" s="25"/>
      <c r="C540" s="25"/>
      <c r="D540" s="26"/>
    </row>
    <row r="541" spans="1:4" x14ac:dyDescent="0.25">
      <c r="A541" s="25"/>
      <c r="B541" s="25"/>
      <c r="C541" s="25"/>
      <c r="D541" s="26"/>
    </row>
    <row r="542" spans="1:4" x14ac:dyDescent="0.25">
      <c r="A542" s="25"/>
      <c r="B542" s="25"/>
      <c r="C542" s="25"/>
      <c r="D542" s="26"/>
    </row>
    <row r="543" spans="1:4" x14ac:dyDescent="0.25">
      <c r="A543" s="25"/>
      <c r="B543" s="25"/>
      <c r="C543" s="25"/>
      <c r="D543" s="26"/>
    </row>
    <row r="544" spans="1:4" x14ac:dyDescent="0.25">
      <c r="A544" s="25"/>
      <c r="B544" s="25"/>
      <c r="C544" s="25"/>
      <c r="D544" s="26"/>
    </row>
    <row r="545" spans="1:4" x14ac:dyDescent="0.25">
      <c r="A545" s="25"/>
      <c r="B545" s="25"/>
      <c r="C545" s="25"/>
      <c r="D545" s="26"/>
    </row>
    <row r="546" spans="1:4" x14ac:dyDescent="0.25">
      <c r="A546" s="25"/>
      <c r="B546" s="25"/>
      <c r="C546" s="25"/>
      <c r="D546" s="26"/>
    </row>
    <row r="547" spans="1:4" x14ac:dyDescent="0.25">
      <c r="A547" s="25"/>
      <c r="B547" s="25"/>
      <c r="C547" s="25"/>
      <c r="D547" s="26"/>
    </row>
    <row r="548" spans="1:4" x14ac:dyDescent="0.25">
      <c r="A548" s="25"/>
      <c r="B548" s="25"/>
      <c r="C548" s="25"/>
      <c r="D548" s="26"/>
    </row>
    <row r="549" spans="1:4" x14ac:dyDescent="0.25">
      <c r="A549" s="25"/>
      <c r="B549" s="25"/>
      <c r="C549" s="25"/>
      <c r="D549" s="26"/>
    </row>
    <row r="550" spans="1:4" x14ac:dyDescent="0.25">
      <c r="A550" s="25"/>
      <c r="B550" s="25"/>
      <c r="C550" s="25"/>
      <c r="D550" s="26"/>
    </row>
    <row r="551" spans="1:4" x14ac:dyDescent="0.25">
      <c r="A551" s="25"/>
      <c r="B551" s="25"/>
      <c r="C551" s="25"/>
      <c r="D551" s="26"/>
    </row>
    <row r="552" spans="1:4" x14ac:dyDescent="0.25">
      <c r="A552" s="25"/>
      <c r="B552" s="25"/>
      <c r="C552" s="25"/>
      <c r="D552" s="26"/>
    </row>
    <row r="553" spans="1:4" x14ac:dyDescent="0.25">
      <c r="A553" s="25"/>
      <c r="B553" s="25"/>
      <c r="C553" s="25"/>
      <c r="D553" s="26"/>
    </row>
    <row r="554" spans="1:4" x14ac:dyDescent="0.25">
      <c r="A554" s="25"/>
      <c r="B554" s="25"/>
      <c r="C554" s="25"/>
      <c r="D554" s="26"/>
    </row>
    <row r="555" spans="1:4" x14ac:dyDescent="0.25">
      <c r="A555" s="25"/>
      <c r="B555" s="25"/>
      <c r="C555" s="25"/>
      <c r="D555" s="26"/>
    </row>
    <row r="556" spans="1:4" x14ac:dyDescent="0.25">
      <c r="A556" s="25"/>
      <c r="B556" s="25"/>
      <c r="C556" s="25"/>
      <c r="D556" s="26"/>
    </row>
    <row r="557" spans="1:4" x14ac:dyDescent="0.25">
      <c r="A557" s="25"/>
      <c r="B557" s="25"/>
      <c r="C557" s="25"/>
      <c r="D557" s="26"/>
    </row>
    <row r="558" spans="1:4" x14ac:dyDescent="0.25">
      <c r="A558" s="25"/>
      <c r="B558" s="25"/>
      <c r="C558" s="25"/>
      <c r="D558" s="26"/>
    </row>
    <row r="559" spans="1:4" x14ac:dyDescent="0.25">
      <c r="A559" s="25"/>
      <c r="B559" s="25"/>
      <c r="C559" s="25"/>
      <c r="D559" s="26"/>
    </row>
    <row r="560" spans="1:4" x14ac:dyDescent="0.25">
      <c r="A560" s="25"/>
      <c r="B560" s="25"/>
      <c r="C560" s="25"/>
      <c r="D560" s="26"/>
    </row>
    <row r="561" spans="1:4" x14ac:dyDescent="0.25">
      <c r="A561" s="25"/>
      <c r="B561" s="25"/>
      <c r="C561" s="25"/>
      <c r="D561" s="26"/>
    </row>
    <row r="562" spans="1:4" x14ac:dyDescent="0.25">
      <c r="A562" s="25"/>
      <c r="B562" s="25"/>
      <c r="C562" s="25"/>
      <c r="D562" s="26"/>
    </row>
    <row r="563" spans="1:4" x14ac:dyDescent="0.25">
      <c r="A563" s="25"/>
      <c r="B563" s="25"/>
      <c r="C563" s="25"/>
      <c r="D563" s="26"/>
    </row>
    <row r="564" spans="1:4" x14ac:dyDescent="0.25">
      <c r="A564" s="25"/>
      <c r="B564" s="25"/>
      <c r="C564" s="25"/>
      <c r="D564" s="26"/>
    </row>
    <row r="565" spans="1:4" x14ac:dyDescent="0.25">
      <c r="A565" s="25"/>
      <c r="B565" s="25"/>
      <c r="C565" s="25"/>
      <c r="D565" s="26"/>
    </row>
    <row r="566" spans="1:4" x14ac:dyDescent="0.25">
      <c r="A566" s="25"/>
      <c r="B566" s="25"/>
      <c r="C566" s="25"/>
      <c r="D566" s="26"/>
    </row>
    <row r="567" spans="1:4" x14ac:dyDescent="0.25">
      <c r="A567" s="25"/>
      <c r="B567" s="25"/>
      <c r="C567" s="25"/>
      <c r="D567" s="26"/>
    </row>
    <row r="568" spans="1:4" x14ac:dyDescent="0.25">
      <c r="A568" s="25"/>
      <c r="B568" s="25"/>
      <c r="C568" s="25"/>
      <c r="D568" s="26"/>
    </row>
    <row r="569" spans="1:4" x14ac:dyDescent="0.25">
      <c r="A569" s="25"/>
      <c r="B569" s="25"/>
      <c r="C569" s="25"/>
      <c r="D569" s="26"/>
    </row>
    <row r="570" spans="1:4" x14ac:dyDescent="0.25">
      <c r="A570" s="25"/>
      <c r="B570" s="25"/>
      <c r="C570" s="25"/>
      <c r="D570" s="26"/>
    </row>
    <row r="571" spans="1:4" x14ac:dyDescent="0.25">
      <c r="A571" s="25"/>
      <c r="B571" s="25"/>
      <c r="C571" s="25"/>
      <c r="D571" s="26"/>
    </row>
    <row r="572" spans="1:4" x14ac:dyDescent="0.25">
      <c r="A572" s="25"/>
      <c r="B572" s="25"/>
      <c r="C572" s="25"/>
      <c r="D572" s="26"/>
    </row>
    <row r="573" spans="1:4" x14ac:dyDescent="0.25">
      <c r="A573" s="25"/>
      <c r="B573" s="25"/>
      <c r="C573" s="25"/>
      <c r="D573" s="26"/>
    </row>
    <row r="574" spans="1:4" x14ac:dyDescent="0.25">
      <c r="A574" s="25"/>
      <c r="B574" s="25"/>
      <c r="C574" s="25"/>
      <c r="D574" s="26"/>
    </row>
    <row r="575" spans="1:4" x14ac:dyDescent="0.25">
      <c r="A575" s="25"/>
      <c r="B575" s="25"/>
      <c r="C575" s="25"/>
      <c r="D575" s="26"/>
    </row>
    <row r="576" spans="1:4" x14ac:dyDescent="0.25">
      <c r="A576" s="25"/>
      <c r="B576" s="25"/>
      <c r="C576" s="25"/>
      <c r="D576" s="26"/>
    </row>
    <row r="577" spans="1:4" x14ac:dyDescent="0.25">
      <c r="A577" s="25"/>
      <c r="B577" s="25"/>
      <c r="C577" s="25"/>
      <c r="D577" s="26"/>
    </row>
    <row r="578" spans="1:4" x14ac:dyDescent="0.25">
      <c r="A578" s="25"/>
      <c r="B578" s="25"/>
      <c r="C578" s="25"/>
      <c r="D578" s="26"/>
    </row>
    <row r="579" spans="1:4" x14ac:dyDescent="0.25">
      <c r="A579" s="25"/>
      <c r="B579" s="25"/>
      <c r="C579" s="25"/>
      <c r="D579" s="26"/>
    </row>
    <row r="580" spans="1:4" x14ac:dyDescent="0.25">
      <c r="A580" s="25"/>
      <c r="B580" s="25"/>
      <c r="C580" s="25"/>
      <c r="D580" s="26"/>
    </row>
    <row r="581" spans="1:4" x14ac:dyDescent="0.25">
      <c r="A581" s="25"/>
      <c r="B581" s="25"/>
      <c r="C581" s="25"/>
      <c r="D581" s="26"/>
    </row>
    <row r="582" spans="1:4" x14ac:dyDescent="0.25">
      <c r="A582" s="25"/>
      <c r="B582" s="25"/>
      <c r="C582" s="25"/>
      <c r="D582" s="26"/>
    </row>
    <row r="583" spans="1:4" x14ac:dyDescent="0.25">
      <c r="A583" s="25"/>
      <c r="B583" s="25"/>
      <c r="C583" s="25"/>
      <c r="D583" s="26"/>
    </row>
    <row r="584" spans="1:4" x14ac:dyDescent="0.25">
      <c r="A584" s="25"/>
      <c r="B584" s="25"/>
      <c r="C584" s="25"/>
      <c r="D584" s="26"/>
    </row>
    <row r="585" spans="1:4" x14ac:dyDescent="0.25">
      <c r="A585" s="25"/>
      <c r="B585" s="25"/>
      <c r="C585" s="25"/>
      <c r="D585" s="26"/>
    </row>
    <row r="586" spans="1:4" x14ac:dyDescent="0.25">
      <c r="A586" s="25"/>
      <c r="B586" s="25"/>
      <c r="C586" s="25"/>
      <c r="D586" s="26"/>
    </row>
    <row r="587" spans="1:4" x14ac:dyDescent="0.25">
      <c r="A587" s="25"/>
      <c r="B587" s="25"/>
      <c r="C587" s="25"/>
      <c r="D587" s="26"/>
    </row>
    <row r="588" spans="1:4" x14ac:dyDescent="0.25">
      <c r="A588" s="25"/>
      <c r="B588" s="25"/>
      <c r="C588" s="25"/>
      <c r="D588" s="26"/>
    </row>
    <row r="589" spans="1:4" x14ac:dyDescent="0.25">
      <c r="A589" s="25"/>
      <c r="B589" s="25"/>
      <c r="C589" s="25"/>
      <c r="D589" s="26"/>
    </row>
    <row r="590" spans="1:4" x14ac:dyDescent="0.25">
      <c r="A590" s="25"/>
      <c r="B590" s="25"/>
      <c r="C590" s="25"/>
      <c r="D590" s="26"/>
    </row>
    <row r="591" spans="1:4" x14ac:dyDescent="0.25">
      <c r="A591" s="25"/>
      <c r="B591" s="25"/>
      <c r="C591" s="25"/>
      <c r="D591" s="26"/>
    </row>
    <row r="592" spans="1:4" x14ac:dyDescent="0.25">
      <c r="A592" s="25"/>
      <c r="B592" s="25"/>
      <c r="C592" s="25"/>
      <c r="D592" s="26"/>
    </row>
    <row r="593" spans="1:4" x14ac:dyDescent="0.25">
      <c r="A593" s="25"/>
      <c r="B593" s="25"/>
      <c r="C593" s="25"/>
      <c r="D593" s="26"/>
    </row>
    <row r="594" spans="1:4" x14ac:dyDescent="0.25">
      <c r="A594" s="25"/>
      <c r="B594" s="25"/>
      <c r="C594" s="25"/>
      <c r="D594" s="26"/>
    </row>
    <row r="595" spans="1:4" x14ac:dyDescent="0.25">
      <c r="A595" s="25"/>
      <c r="B595" s="25"/>
      <c r="C595" s="25"/>
      <c r="D595" s="26"/>
    </row>
    <row r="596" spans="1:4" x14ac:dyDescent="0.25">
      <c r="A596" s="25"/>
      <c r="B596" s="25"/>
      <c r="C596" s="25"/>
      <c r="D596" s="26"/>
    </row>
    <row r="597" spans="1:4" x14ac:dyDescent="0.25">
      <c r="A597" s="25"/>
      <c r="B597" s="25"/>
      <c r="C597" s="25"/>
      <c r="D597" s="26"/>
    </row>
    <row r="598" spans="1:4" x14ac:dyDescent="0.25">
      <c r="A598" s="25"/>
      <c r="B598" s="25"/>
      <c r="C598" s="25"/>
      <c r="D598" s="26"/>
    </row>
    <row r="599" spans="1:4" x14ac:dyDescent="0.25">
      <c r="A599" s="25"/>
      <c r="B599" s="25"/>
      <c r="C599" s="25"/>
      <c r="D599" s="26"/>
    </row>
    <row r="600" spans="1:4" x14ac:dyDescent="0.25">
      <c r="A600" s="25"/>
      <c r="B600" s="25"/>
      <c r="C600" s="25"/>
      <c r="D600" s="26"/>
    </row>
    <row r="601" spans="1:4" x14ac:dyDescent="0.25">
      <c r="A601" s="25"/>
      <c r="B601" s="25"/>
      <c r="C601" s="25"/>
      <c r="D601" s="26"/>
    </row>
    <row r="602" spans="1:4" x14ac:dyDescent="0.25">
      <c r="A602" s="25"/>
      <c r="B602" s="25"/>
      <c r="C602" s="25"/>
      <c r="D602" s="26"/>
    </row>
    <row r="603" spans="1:4" x14ac:dyDescent="0.25">
      <c r="A603" s="25"/>
      <c r="B603" s="25"/>
      <c r="C603" s="25"/>
      <c r="D603" s="26"/>
    </row>
    <row r="604" spans="1:4" x14ac:dyDescent="0.25">
      <c r="A604" s="25"/>
      <c r="B604" s="25"/>
      <c r="C604" s="25"/>
      <c r="D604" s="26"/>
    </row>
    <row r="605" spans="1:4" x14ac:dyDescent="0.25">
      <c r="A605" s="25"/>
      <c r="B605" s="25"/>
      <c r="C605" s="25"/>
      <c r="D605" s="26"/>
    </row>
    <row r="606" spans="1:4" x14ac:dyDescent="0.25">
      <c r="A606" s="25"/>
      <c r="B606" s="25"/>
      <c r="C606" s="25"/>
      <c r="D606" s="26"/>
    </row>
    <row r="607" spans="1:4" x14ac:dyDescent="0.25">
      <c r="A607" s="25"/>
      <c r="B607" s="25"/>
      <c r="C607" s="25"/>
      <c r="D607" s="26"/>
    </row>
    <row r="608" spans="1:4" x14ac:dyDescent="0.25">
      <c r="A608" s="25"/>
      <c r="B608" s="25"/>
      <c r="C608" s="25"/>
      <c r="D608" s="26"/>
    </row>
    <row r="609" spans="1:4" x14ac:dyDescent="0.25">
      <c r="A609" s="25"/>
      <c r="B609" s="25"/>
      <c r="C609" s="25"/>
      <c r="D609" s="26"/>
    </row>
    <row r="610" spans="1:4" x14ac:dyDescent="0.25">
      <c r="A610" s="25"/>
      <c r="B610" s="25"/>
      <c r="C610" s="25"/>
      <c r="D610" s="26"/>
    </row>
    <row r="611" spans="1:4" x14ac:dyDescent="0.25">
      <c r="A611" s="25"/>
      <c r="B611" s="25"/>
      <c r="C611" s="25"/>
      <c r="D611" s="26"/>
    </row>
    <row r="612" spans="1:4" x14ac:dyDescent="0.25">
      <c r="A612" s="25"/>
      <c r="B612" s="25"/>
      <c r="C612" s="25"/>
      <c r="D612" s="26"/>
    </row>
    <row r="613" spans="1:4" x14ac:dyDescent="0.25">
      <c r="A613" s="25"/>
      <c r="B613" s="25"/>
      <c r="C613" s="25"/>
      <c r="D613" s="26"/>
    </row>
    <row r="614" spans="1:4" x14ac:dyDescent="0.25">
      <c r="A614" s="25"/>
      <c r="B614" s="25"/>
      <c r="C614" s="25"/>
      <c r="D614" s="26"/>
    </row>
    <row r="615" spans="1:4" x14ac:dyDescent="0.25">
      <c r="A615" s="25"/>
      <c r="B615" s="25"/>
      <c r="C615" s="25"/>
      <c r="D615" s="26"/>
    </row>
    <row r="616" spans="1:4" x14ac:dyDescent="0.25">
      <c r="A616" s="25"/>
      <c r="B616" s="25"/>
      <c r="C616" s="25"/>
      <c r="D616" s="26"/>
    </row>
    <row r="617" spans="1:4" x14ac:dyDescent="0.25">
      <c r="A617" s="25"/>
      <c r="B617" s="25"/>
      <c r="C617" s="25"/>
      <c r="D617" s="26"/>
    </row>
    <row r="618" spans="1:4" x14ac:dyDescent="0.25">
      <c r="A618" s="25"/>
      <c r="B618" s="25"/>
      <c r="C618" s="25"/>
      <c r="D618" s="26"/>
    </row>
    <row r="619" spans="1:4" x14ac:dyDescent="0.25">
      <c r="A619" s="25"/>
      <c r="B619" s="25"/>
      <c r="C619" s="25"/>
      <c r="D619" s="26"/>
    </row>
    <row r="620" spans="1:4" x14ac:dyDescent="0.25">
      <c r="A620" s="25"/>
      <c r="B620" s="25"/>
      <c r="C620" s="25"/>
      <c r="D620" s="26"/>
    </row>
    <row r="621" spans="1:4" x14ac:dyDescent="0.25">
      <c r="A621" s="25"/>
      <c r="B621" s="25"/>
      <c r="C621" s="25"/>
      <c r="D621" s="26"/>
    </row>
    <row r="622" spans="1:4" x14ac:dyDescent="0.25">
      <c r="A622" s="25"/>
      <c r="B622" s="25"/>
      <c r="C622" s="25"/>
      <c r="D622" s="26"/>
    </row>
    <row r="623" spans="1:4" x14ac:dyDescent="0.25">
      <c r="A623" s="25"/>
      <c r="B623" s="25"/>
      <c r="C623" s="25"/>
      <c r="D623" s="26"/>
    </row>
    <row r="624" spans="1:4" x14ac:dyDescent="0.25">
      <c r="A624" s="25"/>
      <c r="B624" s="25"/>
      <c r="C624" s="25"/>
      <c r="D624" s="26"/>
    </row>
    <row r="625" spans="1:4" x14ac:dyDescent="0.25">
      <c r="A625" s="25"/>
      <c r="B625" s="25"/>
      <c r="C625" s="25"/>
      <c r="D625" s="26"/>
    </row>
    <row r="626" spans="1:4" x14ac:dyDescent="0.25">
      <c r="A626" s="25"/>
      <c r="B626" s="25"/>
      <c r="C626" s="25"/>
      <c r="D626" s="26"/>
    </row>
    <row r="627" spans="1:4" x14ac:dyDescent="0.25">
      <c r="A627" s="25"/>
      <c r="B627" s="25"/>
      <c r="C627" s="25"/>
      <c r="D627" s="26"/>
    </row>
    <row r="628" spans="1:4" x14ac:dyDescent="0.25">
      <c r="A628" s="25"/>
      <c r="B628" s="25"/>
      <c r="C628" s="25"/>
      <c r="D628" s="26"/>
    </row>
    <row r="629" spans="1:4" x14ac:dyDescent="0.25">
      <c r="A629" s="25"/>
      <c r="B629" s="25"/>
      <c r="C629" s="25"/>
      <c r="D629" s="26"/>
    </row>
    <row r="630" spans="1:4" x14ac:dyDescent="0.25">
      <c r="A630" s="25"/>
      <c r="B630" s="25"/>
      <c r="C630" s="25"/>
      <c r="D630" s="26"/>
    </row>
    <row r="631" spans="1:4" x14ac:dyDescent="0.25">
      <c r="A631" s="25"/>
      <c r="B631" s="25"/>
      <c r="C631" s="25"/>
      <c r="D631" s="26"/>
    </row>
    <row r="632" spans="1:4" x14ac:dyDescent="0.25">
      <c r="A632" s="25"/>
      <c r="B632" s="25"/>
      <c r="C632" s="25"/>
      <c r="D632" s="26"/>
    </row>
    <row r="633" spans="1:4" x14ac:dyDescent="0.25">
      <c r="A633" s="25"/>
      <c r="B633" s="25"/>
      <c r="C633" s="25"/>
      <c r="D633" s="26"/>
    </row>
    <row r="634" spans="1:4" x14ac:dyDescent="0.25">
      <c r="A634" s="25"/>
      <c r="B634" s="25"/>
      <c r="C634" s="25"/>
      <c r="D634" s="26"/>
    </row>
    <row r="635" spans="1:4" x14ac:dyDescent="0.25">
      <c r="A635" s="25"/>
      <c r="B635" s="25"/>
      <c r="C635" s="25"/>
      <c r="D635" s="26"/>
    </row>
    <row r="636" spans="1:4" x14ac:dyDescent="0.25">
      <c r="A636" s="25"/>
      <c r="B636" s="25"/>
      <c r="C636" s="25"/>
      <c r="D636" s="26"/>
    </row>
    <row r="637" spans="1:4" x14ac:dyDescent="0.25">
      <c r="A637" s="25"/>
      <c r="B637" s="25"/>
      <c r="C637" s="25"/>
      <c r="D637" s="26"/>
    </row>
    <row r="638" spans="1:4" x14ac:dyDescent="0.25">
      <c r="A638" s="25"/>
      <c r="B638" s="25"/>
      <c r="C638" s="25"/>
      <c r="D638" s="26"/>
    </row>
    <row r="639" spans="1:4" x14ac:dyDescent="0.25">
      <c r="A639" s="25"/>
      <c r="B639" s="25"/>
      <c r="C639" s="25"/>
      <c r="D639" s="26"/>
    </row>
    <row r="640" spans="1:4" x14ac:dyDescent="0.25">
      <c r="A640" s="25"/>
      <c r="B640" s="25"/>
      <c r="C640" s="25"/>
      <c r="D640" s="26"/>
    </row>
    <row r="641" spans="1:4" x14ac:dyDescent="0.25">
      <c r="A641" s="25"/>
      <c r="B641" s="25"/>
      <c r="C641" s="25"/>
      <c r="D641" s="26"/>
    </row>
    <row r="642" spans="1:4" x14ac:dyDescent="0.25">
      <c r="A642" s="25"/>
      <c r="B642" s="25"/>
      <c r="C642" s="25"/>
      <c r="D642" s="26"/>
    </row>
    <row r="643" spans="1:4" x14ac:dyDescent="0.25">
      <c r="A643" s="25"/>
      <c r="B643" s="25"/>
      <c r="C643" s="25"/>
      <c r="D643" s="26"/>
    </row>
    <row r="644" spans="1:4" x14ac:dyDescent="0.25">
      <c r="A644" s="25"/>
      <c r="B644" s="25"/>
      <c r="C644" s="25"/>
      <c r="D644" s="26"/>
    </row>
    <row r="645" spans="1:4" x14ac:dyDescent="0.25">
      <c r="A645" s="25"/>
      <c r="B645" s="25"/>
      <c r="C645" s="25"/>
      <c r="D645" s="26"/>
    </row>
    <row r="646" spans="1:4" x14ac:dyDescent="0.25">
      <c r="A646" s="25"/>
      <c r="B646" s="25"/>
      <c r="C646" s="25"/>
      <c r="D646" s="26"/>
    </row>
    <row r="647" spans="1:4" x14ac:dyDescent="0.25">
      <c r="A647" s="25"/>
      <c r="B647" s="25"/>
      <c r="C647" s="25"/>
      <c r="D647" s="26"/>
    </row>
    <row r="648" spans="1:4" x14ac:dyDescent="0.25">
      <c r="A648" s="25"/>
      <c r="B648" s="25"/>
      <c r="C648" s="25"/>
      <c r="D648" s="26"/>
    </row>
    <row r="649" spans="1:4" x14ac:dyDescent="0.25">
      <c r="A649" s="25"/>
      <c r="B649" s="25"/>
      <c r="C649" s="25"/>
      <c r="D649" s="26"/>
    </row>
    <row r="650" spans="1:4" x14ac:dyDescent="0.25">
      <c r="A650" s="25"/>
      <c r="B650" s="25"/>
      <c r="C650" s="25"/>
      <c r="D650" s="26"/>
    </row>
    <row r="651" spans="1:4" x14ac:dyDescent="0.25">
      <c r="A651" s="25"/>
      <c r="B651" s="25"/>
      <c r="C651" s="25"/>
      <c r="D651" s="26"/>
    </row>
    <row r="652" spans="1:4" x14ac:dyDescent="0.25">
      <c r="A652" s="25"/>
      <c r="B652" s="25"/>
      <c r="C652" s="25"/>
      <c r="D652" s="26"/>
    </row>
    <row r="653" spans="1:4" x14ac:dyDescent="0.25">
      <c r="A653" s="25"/>
      <c r="B653" s="25"/>
      <c r="C653" s="25"/>
      <c r="D653" s="26"/>
    </row>
    <row r="654" spans="1:4" x14ac:dyDescent="0.25">
      <c r="A654" s="25"/>
      <c r="B654" s="25"/>
      <c r="C654" s="25"/>
      <c r="D654" s="26"/>
    </row>
    <row r="655" spans="1:4" x14ac:dyDescent="0.25">
      <c r="A655" s="25"/>
      <c r="B655" s="25"/>
      <c r="C655" s="25"/>
      <c r="D655" s="26"/>
    </row>
    <row r="656" spans="1:4" x14ac:dyDescent="0.25">
      <c r="A656" s="25"/>
      <c r="B656" s="25"/>
      <c r="C656" s="25"/>
      <c r="D656" s="26"/>
    </row>
    <row r="657" spans="1:4" x14ac:dyDescent="0.25">
      <c r="A657" s="25"/>
      <c r="B657" s="25"/>
      <c r="C657" s="25"/>
      <c r="D657" s="26"/>
    </row>
    <row r="658" spans="1:4" x14ac:dyDescent="0.25">
      <c r="A658" s="25"/>
      <c r="B658" s="25"/>
      <c r="C658" s="25"/>
      <c r="D658" s="26"/>
    </row>
    <row r="659" spans="1:4" x14ac:dyDescent="0.25">
      <c r="A659" s="25"/>
      <c r="B659" s="25"/>
      <c r="C659" s="25"/>
      <c r="D659" s="26"/>
    </row>
    <row r="660" spans="1:4" x14ac:dyDescent="0.25">
      <c r="A660" s="25"/>
      <c r="B660" s="25"/>
      <c r="C660" s="25"/>
      <c r="D660" s="26"/>
    </row>
    <row r="661" spans="1:4" x14ac:dyDescent="0.25">
      <c r="A661" s="25"/>
      <c r="B661" s="25"/>
      <c r="C661" s="25"/>
      <c r="D661" s="26"/>
    </row>
    <row r="662" spans="1:4" x14ac:dyDescent="0.25">
      <c r="A662" s="25"/>
      <c r="B662" s="25"/>
      <c r="C662" s="25"/>
      <c r="D662" s="26"/>
    </row>
    <row r="663" spans="1:4" x14ac:dyDescent="0.25">
      <c r="A663" s="25"/>
      <c r="B663" s="25"/>
      <c r="C663" s="25"/>
      <c r="D663" s="26"/>
    </row>
    <row r="664" spans="1:4" x14ac:dyDescent="0.25">
      <c r="A664" s="25"/>
      <c r="B664" s="25"/>
      <c r="C664" s="25"/>
      <c r="D664" s="26"/>
    </row>
    <row r="665" spans="1:4" x14ac:dyDescent="0.25">
      <c r="A665" s="25"/>
      <c r="B665" s="25"/>
      <c r="C665" s="25"/>
      <c r="D665" s="26"/>
    </row>
    <row r="666" spans="1:4" x14ac:dyDescent="0.25">
      <c r="A666" s="25"/>
      <c r="B666" s="25"/>
      <c r="C666" s="25"/>
      <c r="D666" s="26"/>
    </row>
    <row r="667" spans="1:4" x14ac:dyDescent="0.25">
      <c r="A667" s="25"/>
      <c r="B667" s="25"/>
      <c r="C667" s="25"/>
      <c r="D667" s="26"/>
    </row>
    <row r="668" spans="1:4" x14ac:dyDescent="0.25">
      <c r="A668" s="25"/>
      <c r="B668" s="25"/>
      <c r="C668" s="25"/>
      <c r="D668" s="26"/>
    </row>
    <row r="669" spans="1:4" x14ac:dyDescent="0.25">
      <c r="A669" s="25"/>
      <c r="B669" s="25"/>
      <c r="C669" s="25"/>
      <c r="D669" s="26"/>
    </row>
    <row r="670" spans="1:4" x14ac:dyDescent="0.25">
      <c r="A670" s="25"/>
      <c r="B670" s="25"/>
      <c r="C670" s="25"/>
      <c r="D670" s="26"/>
    </row>
    <row r="671" spans="1:4" x14ac:dyDescent="0.25">
      <c r="A671" s="25"/>
      <c r="B671" s="25"/>
      <c r="C671" s="25"/>
      <c r="D671" s="26"/>
    </row>
    <row r="672" spans="1:4" x14ac:dyDescent="0.25">
      <c r="A672" s="25"/>
      <c r="B672" s="25"/>
      <c r="C672" s="25"/>
      <c r="D672" s="26"/>
    </row>
    <row r="673" spans="1:4" x14ac:dyDescent="0.25">
      <c r="A673" s="25"/>
      <c r="B673" s="25"/>
      <c r="C673" s="25"/>
      <c r="D673" s="26"/>
    </row>
    <row r="674" spans="1:4" x14ac:dyDescent="0.25">
      <c r="A674" s="25"/>
      <c r="B674" s="25"/>
      <c r="C674" s="25"/>
      <c r="D674" s="26"/>
    </row>
    <row r="675" spans="1:4" x14ac:dyDescent="0.25">
      <c r="A675" s="25"/>
      <c r="B675" s="25"/>
      <c r="C675" s="25"/>
      <c r="D675" s="26"/>
    </row>
    <row r="676" spans="1:4" x14ac:dyDescent="0.25">
      <c r="A676" s="25"/>
      <c r="B676" s="25"/>
      <c r="C676" s="25"/>
      <c r="D676" s="26"/>
    </row>
    <row r="677" spans="1:4" x14ac:dyDescent="0.25">
      <c r="A677" s="25"/>
      <c r="B677" s="25"/>
      <c r="C677" s="25"/>
      <c r="D677" s="26"/>
    </row>
    <row r="678" spans="1:4" x14ac:dyDescent="0.25">
      <c r="A678" s="25"/>
      <c r="B678" s="25"/>
      <c r="C678" s="25"/>
      <c r="D678" s="26"/>
    </row>
    <row r="679" spans="1:4" x14ac:dyDescent="0.25">
      <c r="A679" s="25"/>
      <c r="B679" s="25"/>
      <c r="C679" s="25"/>
      <c r="D679" s="26"/>
    </row>
    <row r="680" spans="1:4" x14ac:dyDescent="0.25">
      <c r="A680" s="25"/>
      <c r="B680" s="25"/>
      <c r="C680" s="25"/>
      <c r="D680" s="26"/>
    </row>
    <row r="681" spans="1:4" x14ac:dyDescent="0.25">
      <c r="A681" s="25"/>
      <c r="B681" s="25"/>
      <c r="C681" s="25"/>
      <c r="D681" s="26"/>
    </row>
    <row r="682" spans="1:4" x14ac:dyDescent="0.25">
      <c r="A682" s="25"/>
      <c r="B682" s="25"/>
      <c r="C682" s="25"/>
      <c r="D682" s="26"/>
    </row>
    <row r="683" spans="1:4" x14ac:dyDescent="0.25">
      <c r="A683" s="25"/>
      <c r="B683" s="25"/>
      <c r="C683" s="25"/>
      <c r="D683" s="26"/>
    </row>
    <row r="684" spans="1:4" x14ac:dyDescent="0.25">
      <c r="A684" s="25"/>
      <c r="B684" s="25"/>
      <c r="C684" s="25"/>
      <c r="D684" s="26"/>
    </row>
    <row r="685" spans="1:4" x14ac:dyDescent="0.25">
      <c r="A685" s="25"/>
      <c r="B685" s="25"/>
      <c r="C685" s="25"/>
      <c r="D685" s="26"/>
    </row>
    <row r="686" spans="1:4" x14ac:dyDescent="0.25">
      <c r="A686" s="25"/>
      <c r="B686" s="25"/>
      <c r="C686" s="25"/>
      <c r="D686" s="26"/>
    </row>
    <row r="687" spans="1:4" x14ac:dyDescent="0.25">
      <c r="A687" s="25"/>
      <c r="B687" s="25"/>
      <c r="C687" s="25"/>
      <c r="D687" s="26"/>
    </row>
    <row r="688" spans="1:4" x14ac:dyDescent="0.25">
      <c r="A688" s="25"/>
      <c r="B688" s="25"/>
      <c r="C688" s="25"/>
      <c r="D688" s="26"/>
    </row>
    <row r="689" spans="1:4" x14ac:dyDescent="0.25">
      <c r="A689" s="25"/>
      <c r="B689" s="25"/>
      <c r="C689" s="25"/>
      <c r="D689" s="26"/>
    </row>
    <row r="690" spans="1:4" x14ac:dyDescent="0.25">
      <c r="A690" s="25"/>
      <c r="B690" s="25"/>
      <c r="C690" s="25"/>
      <c r="D690" s="26"/>
    </row>
    <row r="691" spans="1:4" x14ac:dyDescent="0.25">
      <c r="A691" s="25"/>
      <c r="B691" s="25"/>
      <c r="C691" s="25"/>
      <c r="D691" s="26"/>
    </row>
    <row r="692" spans="1:4" x14ac:dyDescent="0.25">
      <c r="A692" s="25"/>
      <c r="B692" s="25"/>
      <c r="C692" s="25"/>
      <c r="D692" s="26"/>
    </row>
    <row r="693" spans="1:4" x14ac:dyDescent="0.25">
      <c r="A693" s="25"/>
      <c r="B693" s="25"/>
      <c r="C693" s="25"/>
      <c r="D693" s="26"/>
    </row>
    <row r="694" spans="1:4" x14ac:dyDescent="0.25">
      <c r="A694" s="25"/>
      <c r="B694" s="25"/>
      <c r="C694" s="25"/>
      <c r="D694" s="26"/>
    </row>
    <row r="695" spans="1:4" x14ac:dyDescent="0.25">
      <c r="A695" s="25"/>
      <c r="B695" s="25"/>
      <c r="C695" s="25"/>
      <c r="D695" s="26"/>
    </row>
    <row r="696" spans="1:4" x14ac:dyDescent="0.25">
      <c r="A696" s="25"/>
      <c r="B696" s="25"/>
      <c r="C696" s="25"/>
      <c r="D696" s="26"/>
    </row>
    <row r="697" spans="1:4" x14ac:dyDescent="0.25">
      <c r="A697" s="25"/>
      <c r="B697" s="25"/>
      <c r="C697" s="25"/>
      <c r="D697" s="26"/>
    </row>
    <row r="698" spans="1:4" x14ac:dyDescent="0.25">
      <c r="A698" s="25"/>
      <c r="B698" s="25"/>
      <c r="C698" s="25"/>
      <c r="D698" s="26"/>
    </row>
    <row r="699" spans="1:4" x14ac:dyDescent="0.25">
      <c r="A699" s="25"/>
      <c r="B699" s="25"/>
      <c r="C699" s="25"/>
      <c r="D699" s="26"/>
    </row>
    <row r="700" spans="1:4" x14ac:dyDescent="0.25">
      <c r="A700" s="25"/>
      <c r="B700" s="25"/>
      <c r="C700" s="25"/>
      <c r="D700" s="26"/>
    </row>
    <row r="701" spans="1:4" x14ac:dyDescent="0.25">
      <c r="A701" s="25"/>
      <c r="B701" s="25"/>
      <c r="C701" s="25"/>
      <c r="D701" s="26"/>
    </row>
    <row r="702" spans="1:4" x14ac:dyDescent="0.25">
      <c r="A702" s="25"/>
      <c r="B702" s="25"/>
      <c r="C702" s="25"/>
      <c r="D702" s="26"/>
    </row>
    <row r="703" spans="1:4" x14ac:dyDescent="0.25">
      <c r="A703" s="25"/>
      <c r="B703" s="25"/>
      <c r="C703" s="25"/>
      <c r="D703" s="26"/>
    </row>
    <row r="704" spans="1:4" x14ac:dyDescent="0.25">
      <c r="A704" s="25"/>
      <c r="B704" s="25"/>
      <c r="C704" s="25"/>
      <c r="D704" s="26"/>
    </row>
    <row r="705" spans="1:4" x14ac:dyDescent="0.25">
      <c r="A705" s="25"/>
      <c r="B705" s="25"/>
      <c r="C705" s="25"/>
      <c r="D705" s="26"/>
    </row>
    <row r="706" spans="1:4" x14ac:dyDescent="0.25">
      <c r="A706" s="25"/>
      <c r="B706" s="25"/>
      <c r="C706" s="25"/>
      <c r="D706" s="26"/>
    </row>
    <row r="707" spans="1:4" x14ac:dyDescent="0.25">
      <c r="A707" s="25"/>
      <c r="B707" s="25"/>
      <c r="C707" s="25"/>
      <c r="D707" s="26"/>
    </row>
    <row r="708" spans="1:4" x14ac:dyDescent="0.25">
      <c r="A708" s="25"/>
      <c r="B708" s="25"/>
      <c r="C708" s="25"/>
      <c r="D708" s="26"/>
    </row>
    <row r="709" spans="1:4" x14ac:dyDescent="0.25">
      <c r="A709" s="25"/>
      <c r="B709" s="25"/>
      <c r="C709" s="25"/>
      <c r="D709" s="26"/>
    </row>
    <row r="710" spans="1:4" x14ac:dyDescent="0.25">
      <c r="A710" s="25"/>
      <c r="B710" s="25"/>
      <c r="C710" s="25"/>
      <c r="D710" s="26"/>
    </row>
    <row r="711" spans="1:4" x14ac:dyDescent="0.25">
      <c r="A711" s="25"/>
      <c r="B711" s="25"/>
      <c r="C711" s="25"/>
      <c r="D711" s="26"/>
    </row>
    <row r="712" spans="1:4" x14ac:dyDescent="0.25">
      <c r="A712" s="25"/>
      <c r="B712" s="25"/>
      <c r="C712" s="25"/>
      <c r="D712" s="26"/>
    </row>
    <row r="713" spans="1:4" x14ac:dyDescent="0.25">
      <c r="A713" s="25"/>
      <c r="B713" s="25"/>
      <c r="C713" s="25"/>
      <c r="D713" s="26"/>
    </row>
    <row r="714" spans="1:4" x14ac:dyDescent="0.25">
      <c r="A714" s="25"/>
      <c r="B714" s="25"/>
      <c r="C714" s="25"/>
      <c r="D714" s="26"/>
    </row>
    <row r="715" spans="1:4" x14ac:dyDescent="0.25">
      <c r="A715" s="27"/>
      <c r="B715" s="27"/>
      <c r="C715" s="27"/>
      <c r="D715" s="26"/>
    </row>
    <row r="716" spans="1:4" x14ac:dyDescent="0.25">
      <c r="A716" s="27"/>
      <c r="B716" s="27"/>
      <c r="C716" s="27"/>
      <c r="D716" s="26"/>
    </row>
    <row r="717" spans="1:4" x14ac:dyDescent="0.25">
      <c r="A717" s="27"/>
      <c r="B717" s="27"/>
      <c r="C717" s="27"/>
      <c r="D717" s="26"/>
    </row>
    <row r="718" spans="1:4" x14ac:dyDescent="0.25">
      <c r="A718" s="27"/>
      <c r="B718" s="27"/>
      <c r="C718" s="27"/>
      <c r="D718" s="26"/>
    </row>
    <row r="719" spans="1:4" x14ac:dyDescent="0.25">
      <c r="A719" s="27"/>
      <c r="B719" s="27"/>
      <c r="C719" s="27"/>
      <c r="D719" s="26"/>
    </row>
    <row r="720" spans="1:4" x14ac:dyDescent="0.25">
      <c r="A720" s="27"/>
      <c r="B720" s="27"/>
      <c r="C720" s="27"/>
      <c r="D720" s="26"/>
    </row>
    <row r="721" spans="1:4" x14ac:dyDescent="0.25">
      <c r="A721" s="27"/>
      <c r="B721" s="27"/>
      <c r="C721" s="27"/>
      <c r="D721" s="26"/>
    </row>
    <row r="722" spans="1:4" x14ac:dyDescent="0.25">
      <c r="A722" s="27"/>
      <c r="B722" s="27"/>
      <c r="C722" s="27"/>
      <c r="D722" s="26"/>
    </row>
    <row r="723" spans="1:4" x14ac:dyDescent="0.25">
      <c r="A723" s="27"/>
      <c r="B723" s="27"/>
      <c r="C723" s="27"/>
      <c r="D723" s="26"/>
    </row>
    <row r="724" spans="1:4" x14ac:dyDescent="0.25">
      <c r="A724" s="27"/>
      <c r="B724" s="27"/>
      <c r="C724" s="27"/>
      <c r="D724" s="26"/>
    </row>
    <row r="725" spans="1:4" x14ac:dyDescent="0.25">
      <c r="A725" s="27"/>
      <c r="B725" s="27"/>
      <c r="C725" s="27"/>
      <c r="D725" s="26"/>
    </row>
    <row r="726" spans="1:4" x14ac:dyDescent="0.25">
      <c r="A726" s="27"/>
      <c r="B726" s="27"/>
      <c r="C726" s="27"/>
      <c r="D726" s="26"/>
    </row>
    <row r="727" spans="1:4" x14ac:dyDescent="0.25">
      <c r="A727" s="27"/>
      <c r="B727" s="27"/>
      <c r="C727" s="27"/>
      <c r="D727" s="26"/>
    </row>
    <row r="728" spans="1:4" x14ac:dyDescent="0.25">
      <c r="A728" s="27"/>
      <c r="B728" s="27"/>
      <c r="C728" s="27"/>
      <c r="D728" s="26"/>
    </row>
    <row r="729" spans="1:4" x14ac:dyDescent="0.25">
      <c r="A729" s="27"/>
      <c r="B729" s="27"/>
      <c r="C729" s="27"/>
      <c r="D729" s="26"/>
    </row>
    <row r="730" spans="1:4" x14ac:dyDescent="0.25">
      <c r="A730" s="27"/>
      <c r="B730" s="27"/>
      <c r="C730" s="27"/>
      <c r="D730" s="26"/>
    </row>
    <row r="731" spans="1:4" x14ac:dyDescent="0.25">
      <c r="A731" s="27"/>
      <c r="B731" s="27"/>
      <c r="C731" s="27"/>
      <c r="D731" s="26"/>
    </row>
    <row r="732" spans="1:4" x14ac:dyDescent="0.25">
      <c r="A732" s="27"/>
      <c r="B732" s="27"/>
      <c r="C732" s="27"/>
      <c r="D732" s="26"/>
    </row>
    <row r="733" spans="1:4" x14ac:dyDescent="0.25">
      <c r="A733" s="27"/>
      <c r="B733" s="27"/>
      <c r="C733" s="27"/>
      <c r="D733" s="26"/>
    </row>
    <row r="734" spans="1:4" x14ac:dyDescent="0.25">
      <c r="A734" s="27"/>
      <c r="B734" s="27"/>
      <c r="C734" s="27"/>
      <c r="D734" s="26"/>
    </row>
    <row r="735" spans="1:4" x14ac:dyDescent="0.25">
      <c r="A735" s="27"/>
      <c r="B735" s="27"/>
      <c r="C735" s="27"/>
      <c r="D735" s="26"/>
    </row>
    <row r="736" spans="1:4" x14ac:dyDescent="0.25">
      <c r="A736" s="27"/>
      <c r="B736" s="27"/>
      <c r="C736" s="27"/>
      <c r="D736" s="26"/>
    </row>
    <row r="737" spans="1:4" x14ac:dyDescent="0.25">
      <c r="A737" s="27"/>
      <c r="B737" s="27"/>
      <c r="C737" s="27"/>
      <c r="D737" s="26"/>
    </row>
    <row r="738" spans="1:4" x14ac:dyDescent="0.25">
      <c r="A738" s="27"/>
      <c r="B738" s="27"/>
      <c r="C738" s="27"/>
      <c r="D738" s="26"/>
    </row>
    <row r="739" spans="1:4" x14ac:dyDescent="0.25">
      <c r="A739" s="27"/>
      <c r="B739" s="27"/>
      <c r="C739" s="27"/>
      <c r="D739" s="26"/>
    </row>
    <row r="740" spans="1:4" x14ac:dyDescent="0.25">
      <c r="A740" s="27"/>
      <c r="B740" s="27"/>
      <c r="C740" s="27"/>
      <c r="D740" s="26"/>
    </row>
    <row r="741" spans="1:4" x14ac:dyDescent="0.25">
      <c r="A741" s="27"/>
      <c r="B741" s="27"/>
      <c r="C741" s="27"/>
      <c r="D741" s="26"/>
    </row>
    <row r="742" spans="1:4" x14ac:dyDescent="0.25">
      <c r="A742" s="27"/>
      <c r="B742" s="27"/>
      <c r="C742" s="27"/>
      <c r="D742" s="26"/>
    </row>
    <row r="743" spans="1:4" x14ac:dyDescent="0.25">
      <c r="A743" s="27"/>
      <c r="B743" s="27"/>
      <c r="C743" s="27"/>
      <c r="D743" s="26"/>
    </row>
    <row r="744" spans="1:4" x14ac:dyDescent="0.25">
      <c r="A744" s="27"/>
      <c r="B744" s="27"/>
      <c r="C744" s="27"/>
      <c r="D744" s="26"/>
    </row>
    <row r="745" spans="1:4" x14ac:dyDescent="0.25">
      <c r="A745" s="27"/>
      <c r="B745" s="27"/>
      <c r="C745" s="27"/>
      <c r="D745" s="26"/>
    </row>
    <row r="746" spans="1:4" x14ac:dyDescent="0.25">
      <c r="A746" s="27"/>
      <c r="B746" s="27"/>
      <c r="C746" s="27"/>
      <c r="D746" s="26"/>
    </row>
    <row r="747" spans="1:4" x14ac:dyDescent="0.25">
      <c r="A747" s="27"/>
      <c r="B747" s="27"/>
      <c r="C747" s="27"/>
      <c r="D747" s="26"/>
    </row>
    <row r="748" spans="1:4" x14ac:dyDescent="0.25">
      <c r="A748" s="27"/>
      <c r="B748" s="27"/>
      <c r="C748" s="27"/>
      <c r="D748" s="26"/>
    </row>
    <row r="749" spans="1:4" x14ac:dyDescent="0.25">
      <c r="A749" s="27"/>
      <c r="B749" s="27"/>
      <c r="C749" s="27"/>
      <c r="D749" s="26"/>
    </row>
    <row r="750" spans="1:4" x14ac:dyDescent="0.25">
      <c r="A750" s="27"/>
      <c r="B750" s="27"/>
      <c r="C750" s="27"/>
      <c r="D750" s="26"/>
    </row>
    <row r="751" spans="1:4" x14ac:dyDescent="0.25">
      <c r="A751" s="27"/>
      <c r="B751" s="27"/>
      <c r="C751" s="27"/>
      <c r="D751" s="26"/>
    </row>
    <row r="752" spans="1:4" x14ac:dyDescent="0.25">
      <c r="A752" s="27"/>
      <c r="B752" s="27"/>
      <c r="C752" s="27"/>
      <c r="D752" s="26"/>
    </row>
    <row r="753" spans="1:4" x14ac:dyDescent="0.25">
      <c r="A753" s="27"/>
      <c r="B753" s="27"/>
      <c r="C753" s="27"/>
      <c r="D753" s="26"/>
    </row>
    <row r="754" spans="1:4" x14ac:dyDescent="0.25">
      <c r="A754" s="27"/>
      <c r="B754" s="27"/>
      <c r="C754" s="27"/>
      <c r="D754" s="26"/>
    </row>
    <row r="755" spans="1:4" x14ac:dyDescent="0.25">
      <c r="A755" s="27"/>
      <c r="B755" s="27"/>
      <c r="C755" s="27"/>
      <c r="D755" s="26"/>
    </row>
    <row r="756" spans="1:4" x14ac:dyDescent="0.25">
      <c r="A756" s="27"/>
      <c r="B756" s="27"/>
      <c r="C756" s="27"/>
      <c r="D756" s="26"/>
    </row>
    <row r="757" spans="1:4" x14ac:dyDescent="0.25">
      <c r="A757" s="27"/>
      <c r="B757" s="27"/>
      <c r="C757" s="27"/>
      <c r="D757" s="26"/>
    </row>
    <row r="758" spans="1:4" x14ac:dyDescent="0.25">
      <c r="A758" s="27"/>
      <c r="B758" s="27"/>
      <c r="C758" s="27"/>
      <c r="D758" s="26"/>
    </row>
    <row r="759" spans="1:4" x14ac:dyDescent="0.25">
      <c r="A759" s="27"/>
      <c r="B759" s="27"/>
      <c r="C759" s="27"/>
      <c r="D759" s="26"/>
    </row>
    <row r="760" spans="1:4" x14ac:dyDescent="0.25">
      <c r="A760" s="27"/>
      <c r="B760" s="27"/>
      <c r="C760" s="27"/>
      <c r="D760" s="26"/>
    </row>
    <row r="761" spans="1:4" x14ac:dyDescent="0.25">
      <c r="A761" s="27"/>
      <c r="B761" s="27"/>
      <c r="C761" s="27"/>
      <c r="D761" s="26"/>
    </row>
    <row r="762" spans="1:4" x14ac:dyDescent="0.25">
      <c r="A762" s="27"/>
      <c r="B762" s="27"/>
      <c r="C762" s="27"/>
      <c r="D762" s="26"/>
    </row>
    <row r="763" spans="1:4" x14ac:dyDescent="0.25">
      <c r="A763" s="27"/>
      <c r="B763" s="27"/>
      <c r="C763" s="27"/>
      <c r="D763" s="26"/>
    </row>
    <row r="764" spans="1:4" x14ac:dyDescent="0.25">
      <c r="A764" s="27"/>
      <c r="B764" s="27"/>
      <c r="C764" s="27"/>
      <c r="D764" s="26"/>
    </row>
    <row r="765" spans="1:4" x14ac:dyDescent="0.25">
      <c r="A765" s="27"/>
      <c r="B765" s="27"/>
      <c r="C765" s="27"/>
      <c r="D765" s="26"/>
    </row>
    <row r="766" spans="1:4" x14ac:dyDescent="0.25">
      <c r="A766" s="27"/>
      <c r="B766" s="27"/>
      <c r="C766" s="27"/>
      <c r="D766" s="26"/>
    </row>
    <row r="767" spans="1:4" x14ac:dyDescent="0.25">
      <c r="A767" s="27"/>
      <c r="B767" s="27"/>
      <c r="C767" s="27"/>
      <c r="D767" s="26"/>
    </row>
    <row r="768" spans="1:4" x14ac:dyDescent="0.25">
      <c r="A768" s="27"/>
      <c r="B768" s="27"/>
      <c r="C768" s="27"/>
      <c r="D768" s="26"/>
    </row>
    <row r="769" spans="1:4" x14ac:dyDescent="0.25">
      <c r="A769" s="27"/>
      <c r="B769" s="27"/>
      <c r="C769" s="27"/>
      <c r="D769" s="26"/>
    </row>
    <row r="770" spans="1:4" x14ac:dyDescent="0.25">
      <c r="A770" s="27"/>
      <c r="B770" s="27"/>
      <c r="C770" s="27"/>
      <c r="D770" s="26"/>
    </row>
    <row r="771" spans="1:4" x14ac:dyDescent="0.25">
      <c r="A771" s="27"/>
      <c r="B771" s="27"/>
      <c r="C771" s="27"/>
      <c r="D771" s="26"/>
    </row>
    <row r="772" spans="1:4" x14ac:dyDescent="0.25">
      <c r="A772" s="27"/>
      <c r="B772" s="27"/>
      <c r="C772" s="27"/>
      <c r="D772" s="26"/>
    </row>
    <row r="773" spans="1:4" x14ac:dyDescent="0.25">
      <c r="A773" s="27"/>
      <c r="B773" s="27"/>
      <c r="C773" s="27"/>
      <c r="D773" s="26"/>
    </row>
    <row r="774" spans="1:4" x14ac:dyDescent="0.25">
      <c r="A774" s="27"/>
      <c r="B774" s="27"/>
      <c r="C774" s="27"/>
      <c r="D774" s="26"/>
    </row>
    <row r="775" spans="1:4" x14ac:dyDescent="0.25">
      <c r="A775" s="27"/>
      <c r="B775" s="27"/>
      <c r="C775" s="27"/>
      <c r="D775" s="26"/>
    </row>
    <row r="776" spans="1:4" x14ac:dyDescent="0.25">
      <c r="A776" s="27"/>
      <c r="B776" s="27"/>
      <c r="C776" s="27"/>
      <c r="D776" s="26"/>
    </row>
    <row r="777" spans="1:4" x14ac:dyDescent="0.25">
      <c r="A777" s="27"/>
      <c r="B777" s="27"/>
      <c r="C777" s="27"/>
      <c r="D777" s="26"/>
    </row>
    <row r="778" spans="1:4" x14ac:dyDescent="0.25">
      <c r="A778" s="27"/>
      <c r="B778" s="27"/>
      <c r="C778" s="27"/>
      <c r="D778" s="26"/>
    </row>
    <row r="779" spans="1:4" x14ac:dyDescent="0.25">
      <c r="A779" s="27"/>
      <c r="B779" s="27"/>
      <c r="C779" s="27"/>
      <c r="D779" s="26"/>
    </row>
    <row r="780" spans="1:4" x14ac:dyDescent="0.25">
      <c r="A780" s="27"/>
      <c r="B780" s="27"/>
      <c r="C780" s="27"/>
      <c r="D780" s="26"/>
    </row>
    <row r="781" spans="1:4" x14ac:dyDescent="0.25">
      <c r="A781" s="27"/>
      <c r="B781" s="27"/>
      <c r="C781" s="27"/>
      <c r="D781" s="26"/>
    </row>
    <row r="782" spans="1:4" x14ac:dyDescent="0.25">
      <c r="A782" s="27"/>
      <c r="B782" s="27"/>
      <c r="C782" s="27"/>
      <c r="D782" s="26"/>
    </row>
    <row r="783" spans="1:4" x14ac:dyDescent="0.25">
      <c r="A783" s="27"/>
      <c r="B783" s="27"/>
      <c r="C783" s="27"/>
      <c r="D783" s="26"/>
    </row>
    <row r="784" spans="1:4" x14ac:dyDescent="0.25">
      <c r="A784" s="27"/>
      <c r="B784" s="27"/>
      <c r="C784" s="27"/>
      <c r="D784" s="26"/>
    </row>
    <row r="785" spans="1:4" x14ac:dyDescent="0.25">
      <c r="A785" s="27"/>
      <c r="B785" s="27"/>
      <c r="C785" s="27"/>
      <c r="D785" s="26"/>
    </row>
    <row r="786" spans="1:4" x14ac:dyDescent="0.25">
      <c r="A786" s="27"/>
      <c r="B786" s="27"/>
      <c r="C786" s="27"/>
      <c r="D786" s="26"/>
    </row>
    <row r="787" spans="1:4" x14ac:dyDescent="0.25">
      <c r="A787" s="27"/>
      <c r="B787" s="27"/>
      <c r="C787" s="27"/>
      <c r="D787" s="26"/>
    </row>
    <row r="788" spans="1:4" x14ac:dyDescent="0.25">
      <c r="A788" s="27"/>
      <c r="B788" s="27"/>
      <c r="C788" s="27"/>
      <c r="D788" s="26"/>
    </row>
    <row r="789" spans="1:4" x14ac:dyDescent="0.25">
      <c r="A789" s="27"/>
      <c r="B789" s="27"/>
      <c r="C789" s="27"/>
      <c r="D789" s="26"/>
    </row>
    <row r="790" spans="1:4" x14ac:dyDescent="0.25">
      <c r="A790" s="27"/>
      <c r="B790" s="27"/>
      <c r="C790" s="27"/>
      <c r="D790" s="26"/>
    </row>
    <row r="791" spans="1:4" x14ac:dyDescent="0.25">
      <c r="A791" s="27"/>
      <c r="B791" s="27"/>
      <c r="C791" s="27"/>
      <c r="D791" s="26"/>
    </row>
    <row r="792" spans="1:4" x14ac:dyDescent="0.25">
      <c r="A792" s="27"/>
      <c r="B792" s="27"/>
      <c r="C792" s="27"/>
      <c r="D792" s="26"/>
    </row>
    <row r="793" spans="1:4" x14ac:dyDescent="0.25">
      <c r="A793" s="27"/>
      <c r="B793" s="27"/>
      <c r="C793" s="27"/>
      <c r="D793" s="26"/>
    </row>
    <row r="794" spans="1:4" x14ac:dyDescent="0.25">
      <c r="A794" s="27"/>
      <c r="B794" s="27"/>
      <c r="C794" s="27"/>
      <c r="D794" s="26"/>
    </row>
    <row r="795" spans="1:4" x14ac:dyDescent="0.25">
      <c r="A795" s="27"/>
      <c r="B795" s="27"/>
      <c r="C795" s="27"/>
      <c r="D795" s="26"/>
    </row>
    <row r="796" spans="1:4" x14ac:dyDescent="0.25">
      <c r="A796" s="27"/>
      <c r="B796" s="27"/>
      <c r="C796" s="27"/>
      <c r="D796" s="26"/>
    </row>
    <row r="797" spans="1:4" x14ac:dyDescent="0.25">
      <c r="A797" s="27"/>
      <c r="B797" s="27"/>
      <c r="C797" s="27"/>
      <c r="D797" s="26"/>
    </row>
    <row r="798" spans="1:4" x14ac:dyDescent="0.25">
      <c r="A798" s="27"/>
      <c r="B798" s="27"/>
      <c r="C798" s="27"/>
      <c r="D798" s="26"/>
    </row>
    <row r="799" spans="1:4" x14ac:dyDescent="0.25">
      <c r="A799" s="27"/>
      <c r="B799" s="27"/>
      <c r="C799" s="27"/>
      <c r="D799" s="26"/>
    </row>
    <row r="800" spans="1:4" x14ac:dyDescent="0.25">
      <c r="A800" s="27"/>
      <c r="B800" s="27"/>
      <c r="C800" s="27"/>
      <c r="D800" s="26"/>
    </row>
    <row r="801" spans="1:4" x14ac:dyDescent="0.25">
      <c r="A801" s="27"/>
      <c r="B801" s="27"/>
      <c r="C801" s="27"/>
      <c r="D801" s="26"/>
    </row>
    <row r="802" spans="1:4" x14ac:dyDescent="0.25">
      <c r="A802" s="27"/>
      <c r="B802" s="27"/>
      <c r="C802" s="27"/>
      <c r="D802" s="26"/>
    </row>
    <row r="803" spans="1:4" x14ac:dyDescent="0.25">
      <c r="A803" s="27"/>
      <c r="B803" s="27"/>
      <c r="C803" s="27"/>
      <c r="D803" s="26"/>
    </row>
    <row r="804" spans="1:4" x14ac:dyDescent="0.25">
      <c r="A804" s="27"/>
      <c r="B804" s="27"/>
      <c r="C804" s="27"/>
      <c r="D804" s="26"/>
    </row>
    <row r="805" spans="1:4" x14ac:dyDescent="0.25">
      <c r="A805" s="27"/>
      <c r="B805" s="27"/>
      <c r="C805" s="27"/>
      <c r="D805" s="26"/>
    </row>
    <row r="806" spans="1:4" x14ac:dyDescent="0.25">
      <c r="A806" s="27"/>
      <c r="B806" s="27"/>
      <c r="C806" s="27"/>
      <c r="D806" s="26"/>
    </row>
    <row r="807" spans="1:4" x14ac:dyDescent="0.25">
      <c r="A807" s="27"/>
      <c r="B807" s="27"/>
      <c r="C807" s="27"/>
      <c r="D807" s="26"/>
    </row>
    <row r="808" spans="1:4" x14ac:dyDescent="0.25">
      <c r="A808" s="27"/>
      <c r="B808" s="27"/>
      <c r="C808" s="27"/>
      <c r="D808" s="26"/>
    </row>
    <row r="809" spans="1:4" x14ac:dyDescent="0.25">
      <c r="A809" s="27"/>
      <c r="B809" s="27"/>
      <c r="C809" s="27"/>
      <c r="D809" s="26"/>
    </row>
    <row r="810" spans="1:4" x14ac:dyDescent="0.25">
      <c r="A810" s="27"/>
      <c r="B810" s="27"/>
      <c r="C810" s="27"/>
      <c r="D810" s="26"/>
    </row>
    <row r="811" spans="1:4" x14ac:dyDescent="0.25">
      <c r="A811" s="27"/>
      <c r="B811" s="27"/>
      <c r="C811" s="27"/>
      <c r="D811" s="26"/>
    </row>
    <row r="812" spans="1:4" x14ac:dyDescent="0.25">
      <c r="A812" s="27"/>
      <c r="B812" s="27"/>
      <c r="C812" s="27"/>
      <c r="D812" s="26"/>
    </row>
    <row r="813" spans="1:4" x14ac:dyDescent="0.25">
      <c r="A813" s="27"/>
      <c r="B813" s="27"/>
      <c r="C813" s="27"/>
      <c r="D813" s="26"/>
    </row>
    <row r="814" spans="1:4" x14ac:dyDescent="0.25">
      <c r="A814" s="27"/>
      <c r="B814" s="27"/>
      <c r="C814" s="27"/>
      <c r="D814" s="26"/>
    </row>
    <row r="815" spans="1:4" x14ac:dyDescent="0.25">
      <c r="A815" s="27"/>
      <c r="B815" s="27"/>
      <c r="C815" s="27"/>
      <c r="D815" s="26"/>
    </row>
    <row r="816" spans="1:4" x14ac:dyDescent="0.25">
      <c r="A816" s="27"/>
      <c r="B816" s="27"/>
      <c r="C816" s="27"/>
      <c r="D816" s="26"/>
    </row>
    <row r="817" spans="1:4" x14ac:dyDescent="0.25">
      <c r="A817" s="27"/>
      <c r="B817" s="27"/>
      <c r="C817" s="27"/>
      <c r="D817" s="26"/>
    </row>
    <row r="818" spans="1:4" x14ac:dyDescent="0.25">
      <c r="A818" s="27"/>
      <c r="B818" s="27"/>
      <c r="C818" s="27"/>
      <c r="D818" s="26"/>
    </row>
    <row r="819" spans="1:4" x14ac:dyDescent="0.25">
      <c r="A819" s="27"/>
      <c r="B819" s="27"/>
      <c r="C819" s="27"/>
      <c r="D819" s="26"/>
    </row>
    <row r="820" spans="1:4" x14ac:dyDescent="0.25">
      <c r="A820" s="27"/>
      <c r="B820" s="27"/>
      <c r="C820" s="27"/>
      <c r="D820" s="26"/>
    </row>
    <row r="821" spans="1:4" x14ac:dyDescent="0.25">
      <c r="A821" s="27"/>
      <c r="B821" s="27"/>
      <c r="C821" s="27"/>
      <c r="D821" s="26"/>
    </row>
    <row r="822" spans="1:4" x14ac:dyDescent="0.25">
      <c r="A822" s="27"/>
      <c r="B822" s="27"/>
      <c r="C822" s="27"/>
      <c r="D822" s="26"/>
    </row>
    <row r="823" spans="1:4" x14ac:dyDescent="0.25">
      <c r="A823" s="27"/>
      <c r="B823" s="27"/>
      <c r="C823" s="27"/>
      <c r="D823" s="26"/>
    </row>
    <row r="824" spans="1:4" x14ac:dyDescent="0.25">
      <c r="A824" s="27"/>
      <c r="B824" s="27"/>
      <c r="C824" s="27"/>
      <c r="D824" s="26"/>
    </row>
    <row r="825" spans="1:4" x14ac:dyDescent="0.25">
      <c r="A825" s="27"/>
      <c r="B825" s="27"/>
      <c r="C825" s="27"/>
      <c r="D825" s="26"/>
    </row>
    <row r="826" spans="1:4" x14ac:dyDescent="0.25">
      <c r="A826" s="27"/>
      <c r="B826" s="27"/>
      <c r="C826" s="27"/>
      <c r="D826" s="26"/>
    </row>
    <row r="827" spans="1:4" x14ac:dyDescent="0.25">
      <c r="A827" s="27"/>
      <c r="B827" s="27"/>
      <c r="C827" s="27"/>
      <c r="D827" s="26"/>
    </row>
    <row r="828" spans="1:4" x14ac:dyDescent="0.25">
      <c r="A828" s="27"/>
      <c r="B828" s="27"/>
      <c r="C828" s="27"/>
      <c r="D828" s="26"/>
    </row>
    <row r="829" spans="1:4" x14ac:dyDescent="0.25">
      <c r="A829" s="27"/>
      <c r="B829" s="27"/>
      <c r="C829" s="27"/>
      <c r="D829" s="26"/>
    </row>
    <row r="830" spans="1:4" x14ac:dyDescent="0.25">
      <c r="A830" s="27"/>
      <c r="B830" s="27"/>
      <c r="C830" s="27"/>
      <c r="D830" s="26"/>
    </row>
    <row r="831" spans="1:4" x14ac:dyDescent="0.25">
      <c r="A831" s="27"/>
      <c r="B831" s="27"/>
      <c r="C831" s="27"/>
      <c r="D831" s="26"/>
    </row>
    <row r="832" spans="1:4" x14ac:dyDescent="0.25">
      <c r="A832" s="27"/>
      <c r="B832" s="27"/>
      <c r="C832" s="27"/>
      <c r="D832" s="26"/>
    </row>
    <row r="833" spans="1:4" x14ac:dyDescent="0.25">
      <c r="A833" s="27"/>
      <c r="B833" s="27"/>
      <c r="C833" s="27"/>
      <c r="D833" s="26"/>
    </row>
    <row r="834" spans="1:4" x14ac:dyDescent="0.25">
      <c r="A834" s="27"/>
      <c r="B834" s="27"/>
      <c r="C834" s="27"/>
      <c r="D834" s="26"/>
    </row>
    <row r="835" spans="1:4" x14ac:dyDescent="0.25">
      <c r="A835" s="27"/>
      <c r="B835" s="27"/>
      <c r="C835" s="27"/>
      <c r="D835" s="26"/>
    </row>
    <row r="836" spans="1:4" x14ac:dyDescent="0.25">
      <c r="A836" s="27"/>
      <c r="B836" s="27"/>
      <c r="C836" s="27"/>
      <c r="D836" s="26"/>
    </row>
    <row r="837" spans="1:4" x14ac:dyDescent="0.25">
      <c r="A837" s="27"/>
      <c r="B837" s="27"/>
      <c r="C837" s="27"/>
      <c r="D837" s="26"/>
    </row>
    <row r="838" spans="1:4" x14ac:dyDescent="0.25">
      <c r="A838" s="27"/>
      <c r="B838" s="27"/>
      <c r="C838" s="27"/>
      <c r="D838" s="26"/>
    </row>
    <row r="839" spans="1:4" x14ac:dyDescent="0.25">
      <c r="A839" s="27"/>
      <c r="B839" s="27"/>
      <c r="C839" s="27"/>
      <c r="D839" s="26"/>
    </row>
    <row r="840" spans="1:4" x14ac:dyDescent="0.25">
      <c r="A840" s="27"/>
      <c r="B840" s="27"/>
      <c r="C840" s="27"/>
      <c r="D840" s="26"/>
    </row>
    <row r="841" spans="1:4" x14ac:dyDescent="0.25">
      <c r="A841" s="27"/>
      <c r="B841" s="27"/>
      <c r="C841" s="27"/>
      <c r="D841" s="26"/>
    </row>
    <row r="842" spans="1:4" x14ac:dyDescent="0.25">
      <c r="A842" s="27"/>
      <c r="B842" s="27"/>
      <c r="C842" s="27"/>
      <c r="D842" s="26"/>
    </row>
    <row r="843" spans="1:4" x14ac:dyDescent="0.25">
      <c r="A843" s="27"/>
      <c r="B843" s="27"/>
      <c r="C843" s="27"/>
      <c r="D843" s="26"/>
    </row>
    <row r="844" spans="1:4" x14ac:dyDescent="0.25">
      <c r="A844" s="27"/>
      <c r="B844" s="27"/>
      <c r="C844" s="27"/>
      <c r="D844" s="26"/>
    </row>
    <row r="845" spans="1:4" x14ac:dyDescent="0.25">
      <c r="A845" s="27"/>
      <c r="B845" s="27"/>
      <c r="C845" s="27"/>
      <c r="D845" s="26"/>
    </row>
    <row r="846" spans="1:4" x14ac:dyDescent="0.25">
      <c r="A846" s="27"/>
      <c r="B846" s="27"/>
      <c r="C846" s="27"/>
      <c r="D846" s="26"/>
    </row>
    <row r="847" spans="1:4" x14ac:dyDescent="0.25">
      <c r="A847" s="27"/>
      <c r="B847" s="27"/>
      <c r="C847" s="27"/>
      <c r="D847" s="26"/>
    </row>
    <row r="848" spans="1:4" x14ac:dyDescent="0.25">
      <c r="A848" s="27"/>
      <c r="B848" s="27"/>
      <c r="C848" s="27"/>
      <c r="D848" s="26"/>
    </row>
    <row r="849" spans="1:4" x14ac:dyDescent="0.25">
      <c r="A849" s="27"/>
      <c r="B849" s="27"/>
      <c r="C849" s="27"/>
      <c r="D849" s="26"/>
    </row>
    <row r="850" spans="1:4" x14ac:dyDescent="0.25">
      <c r="A850" s="27"/>
      <c r="B850" s="27"/>
      <c r="C850" s="27"/>
      <c r="D850" s="26"/>
    </row>
    <row r="851" spans="1:4" x14ac:dyDescent="0.25">
      <c r="A851" s="27"/>
      <c r="B851" s="27"/>
      <c r="C851" s="27"/>
      <c r="D851" s="26"/>
    </row>
    <row r="852" spans="1:4" x14ac:dyDescent="0.25">
      <c r="A852" s="27"/>
      <c r="B852" s="27"/>
      <c r="C852" s="27"/>
      <c r="D852" s="26"/>
    </row>
    <row r="853" spans="1:4" x14ac:dyDescent="0.25">
      <c r="A853" s="27"/>
      <c r="B853" s="27"/>
      <c r="C853" s="27"/>
      <c r="D853" s="26"/>
    </row>
    <row r="854" spans="1:4" x14ac:dyDescent="0.25">
      <c r="A854" s="27"/>
      <c r="B854" s="27"/>
      <c r="C854" s="27"/>
      <c r="D854" s="26"/>
    </row>
    <row r="855" spans="1:4" x14ac:dyDescent="0.25">
      <c r="A855" s="27"/>
      <c r="B855" s="27"/>
      <c r="C855" s="27"/>
      <c r="D855" s="26"/>
    </row>
    <row r="856" spans="1:4" x14ac:dyDescent="0.25">
      <c r="A856" s="27"/>
      <c r="B856" s="27"/>
      <c r="C856" s="27"/>
      <c r="D856" s="26"/>
    </row>
    <row r="857" spans="1:4" x14ac:dyDescent="0.25">
      <c r="A857" s="27"/>
      <c r="B857" s="27"/>
      <c r="C857" s="27"/>
      <c r="D857" s="26"/>
    </row>
    <row r="858" spans="1:4" x14ac:dyDescent="0.25">
      <c r="A858" s="27"/>
      <c r="B858" s="27"/>
      <c r="C858" s="27"/>
      <c r="D858" s="26"/>
    </row>
    <row r="859" spans="1:4" x14ac:dyDescent="0.25">
      <c r="A859" s="27"/>
      <c r="B859" s="27"/>
      <c r="C859" s="27"/>
      <c r="D859" s="26"/>
    </row>
    <row r="860" spans="1:4" x14ac:dyDescent="0.25">
      <c r="A860" s="27"/>
      <c r="B860" s="27"/>
      <c r="C860" s="27"/>
      <c r="D860" s="26"/>
    </row>
    <row r="861" spans="1:4" x14ac:dyDescent="0.25">
      <c r="A861" s="27"/>
      <c r="B861" s="27"/>
      <c r="C861" s="27"/>
      <c r="D861" s="26"/>
    </row>
    <row r="862" spans="1:4" x14ac:dyDescent="0.25">
      <c r="A862" s="27"/>
      <c r="B862" s="27"/>
      <c r="C862" s="27"/>
      <c r="D862" s="26"/>
    </row>
    <row r="863" spans="1:4" x14ac:dyDescent="0.25">
      <c r="A863" s="27"/>
      <c r="B863" s="27"/>
      <c r="C863" s="27"/>
      <c r="D863" s="26"/>
    </row>
    <row r="864" spans="1:4" x14ac:dyDescent="0.25">
      <c r="A864" s="27"/>
      <c r="B864" s="27"/>
      <c r="C864" s="27"/>
      <c r="D864" s="26"/>
    </row>
    <row r="865" spans="1:4" x14ac:dyDescent="0.25">
      <c r="A865" s="27"/>
      <c r="B865" s="27"/>
      <c r="C865" s="27"/>
      <c r="D865" s="26"/>
    </row>
    <row r="866" spans="1:4" x14ac:dyDescent="0.25">
      <c r="A866" s="27"/>
      <c r="B866" s="27"/>
      <c r="C866" s="27"/>
      <c r="D866" s="26"/>
    </row>
    <row r="867" spans="1:4" x14ac:dyDescent="0.25">
      <c r="A867" s="27"/>
      <c r="B867" s="27"/>
      <c r="C867" s="27"/>
      <c r="D867" s="26"/>
    </row>
    <row r="868" spans="1:4" x14ac:dyDescent="0.25">
      <c r="A868" s="27"/>
      <c r="B868" s="27"/>
      <c r="C868" s="27"/>
      <c r="D868" s="26"/>
    </row>
    <row r="869" spans="1:4" x14ac:dyDescent="0.25">
      <c r="A869" s="27"/>
      <c r="B869" s="27"/>
      <c r="C869" s="27"/>
      <c r="D869" s="26"/>
    </row>
    <row r="870" spans="1:4" x14ac:dyDescent="0.25">
      <c r="A870" s="27"/>
      <c r="B870" s="27"/>
      <c r="C870" s="27"/>
      <c r="D870" s="26"/>
    </row>
    <row r="871" spans="1:4" x14ac:dyDescent="0.25">
      <c r="A871" s="27"/>
      <c r="B871" s="27"/>
      <c r="C871" s="27"/>
      <c r="D871" s="26"/>
    </row>
    <row r="872" spans="1:4" x14ac:dyDescent="0.25">
      <c r="A872" s="27"/>
      <c r="B872" s="27"/>
      <c r="C872" s="27"/>
      <c r="D872" s="26"/>
    </row>
    <row r="873" spans="1:4" x14ac:dyDescent="0.25">
      <c r="A873" s="27"/>
      <c r="B873" s="27"/>
      <c r="C873" s="27"/>
      <c r="D873" s="26"/>
    </row>
    <row r="874" spans="1:4" x14ac:dyDescent="0.25">
      <c r="A874" s="27"/>
      <c r="B874" s="27"/>
      <c r="C874" s="27"/>
      <c r="D874" s="26"/>
    </row>
    <row r="875" spans="1:4" x14ac:dyDescent="0.25">
      <c r="A875" s="27"/>
      <c r="B875" s="27"/>
      <c r="C875" s="27"/>
      <c r="D875" s="26"/>
    </row>
    <row r="876" spans="1:4" x14ac:dyDescent="0.25">
      <c r="A876" s="27"/>
      <c r="B876" s="27"/>
      <c r="C876" s="27"/>
      <c r="D876" s="26"/>
    </row>
    <row r="877" spans="1:4" x14ac:dyDescent="0.25">
      <c r="A877" s="27"/>
      <c r="B877" s="27"/>
      <c r="C877" s="27"/>
      <c r="D877" s="26"/>
    </row>
    <row r="878" spans="1:4" x14ac:dyDescent="0.25">
      <c r="A878" s="27"/>
      <c r="B878" s="27"/>
      <c r="C878" s="27"/>
      <c r="D878" s="26"/>
    </row>
    <row r="879" spans="1:4" x14ac:dyDescent="0.25">
      <c r="A879" s="27"/>
      <c r="B879" s="27"/>
      <c r="C879" s="27"/>
      <c r="D879" s="26"/>
    </row>
    <row r="880" spans="1:4" x14ac:dyDescent="0.25">
      <c r="A880" s="27"/>
      <c r="B880" s="27"/>
      <c r="C880" s="27"/>
      <c r="D880" s="26"/>
    </row>
    <row r="881" spans="1:4" x14ac:dyDescent="0.25">
      <c r="A881" s="27"/>
      <c r="B881" s="27"/>
      <c r="C881" s="27"/>
      <c r="D881" s="26"/>
    </row>
    <row r="882" spans="1:4" x14ac:dyDescent="0.25">
      <c r="A882" s="27"/>
      <c r="B882" s="27"/>
      <c r="C882" s="27"/>
      <c r="D882" s="26"/>
    </row>
    <row r="883" spans="1:4" x14ac:dyDescent="0.25">
      <c r="A883" s="27"/>
      <c r="B883" s="27"/>
      <c r="C883" s="27"/>
      <c r="D883" s="26"/>
    </row>
    <row r="884" spans="1:4" x14ac:dyDescent="0.25">
      <c r="A884" s="27"/>
      <c r="B884" s="27"/>
      <c r="C884" s="27"/>
      <c r="D884" s="26"/>
    </row>
    <row r="885" spans="1:4" x14ac:dyDescent="0.25">
      <c r="A885" s="27"/>
      <c r="B885" s="27"/>
      <c r="C885" s="27"/>
      <c r="D885" s="26"/>
    </row>
    <row r="886" spans="1:4" x14ac:dyDescent="0.25">
      <c r="A886" s="27"/>
      <c r="B886" s="27"/>
      <c r="C886" s="27"/>
      <c r="D886" s="26"/>
    </row>
    <row r="887" spans="1:4" x14ac:dyDescent="0.25">
      <c r="A887" s="27"/>
      <c r="B887" s="27"/>
      <c r="C887" s="27"/>
      <c r="D887" s="26"/>
    </row>
    <row r="888" spans="1:4" x14ac:dyDescent="0.25">
      <c r="A888" s="27"/>
      <c r="B888" s="27"/>
      <c r="C888" s="27"/>
      <c r="D888" s="26"/>
    </row>
    <row r="889" spans="1:4" x14ac:dyDescent="0.25">
      <c r="A889" s="27"/>
      <c r="B889" s="27"/>
      <c r="C889" s="27"/>
      <c r="D889" s="26"/>
    </row>
    <row r="890" spans="1:4" x14ac:dyDescent="0.25">
      <c r="A890" s="27"/>
      <c r="B890" s="27"/>
      <c r="C890" s="27"/>
      <c r="D890" s="26"/>
    </row>
    <row r="891" spans="1:4" x14ac:dyDescent="0.25">
      <c r="A891" s="27"/>
      <c r="B891" s="27"/>
      <c r="C891" s="27"/>
      <c r="D891" s="26"/>
    </row>
    <row r="892" spans="1:4" x14ac:dyDescent="0.25">
      <c r="A892" s="27"/>
      <c r="B892" s="27"/>
      <c r="C892" s="27"/>
      <c r="D892" s="26"/>
    </row>
    <row r="893" spans="1:4" x14ac:dyDescent="0.25">
      <c r="A893" s="27"/>
      <c r="B893" s="27"/>
      <c r="C893" s="27"/>
      <c r="D893" s="26"/>
    </row>
    <row r="894" spans="1:4" x14ac:dyDescent="0.25">
      <c r="A894" s="27"/>
      <c r="B894" s="27"/>
      <c r="C894" s="27"/>
      <c r="D894" s="26"/>
    </row>
    <row r="895" spans="1:4" x14ac:dyDescent="0.25">
      <c r="A895" s="27"/>
      <c r="B895" s="27"/>
      <c r="C895" s="27"/>
      <c r="D895" s="26"/>
    </row>
    <row r="896" spans="1:4" x14ac:dyDescent="0.25">
      <c r="A896" s="27"/>
      <c r="B896" s="27"/>
      <c r="C896" s="27"/>
      <c r="D896" s="26"/>
    </row>
    <row r="897" spans="1:4" x14ac:dyDescent="0.25">
      <c r="A897" s="27"/>
      <c r="B897" s="27"/>
      <c r="C897" s="27"/>
      <c r="D897" s="26"/>
    </row>
    <row r="898" spans="1:4" x14ac:dyDescent="0.25">
      <c r="A898" s="27"/>
      <c r="B898" s="27"/>
      <c r="C898" s="27"/>
      <c r="D898" s="26"/>
    </row>
    <row r="899" spans="1:4" x14ac:dyDescent="0.25">
      <c r="A899" s="27"/>
      <c r="B899" s="27"/>
      <c r="C899" s="27"/>
      <c r="D899" s="26"/>
    </row>
    <row r="900" spans="1:4" x14ac:dyDescent="0.25">
      <c r="A900" s="27"/>
      <c r="B900" s="27"/>
      <c r="C900" s="27"/>
      <c r="D900" s="26"/>
    </row>
    <row r="901" spans="1:4" x14ac:dyDescent="0.25">
      <c r="A901" s="27"/>
      <c r="B901" s="27"/>
      <c r="C901" s="27"/>
      <c r="D901" s="26"/>
    </row>
    <row r="902" spans="1:4" x14ac:dyDescent="0.25">
      <c r="A902" s="27"/>
      <c r="B902" s="27"/>
      <c r="C902" s="27"/>
      <c r="D902" s="26"/>
    </row>
    <row r="903" spans="1:4" x14ac:dyDescent="0.25">
      <c r="A903" s="27"/>
      <c r="B903" s="27"/>
      <c r="C903" s="27"/>
      <c r="D903" s="26"/>
    </row>
    <row r="904" spans="1:4" x14ac:dyDescent="0.25">
      <c r="A904" s="27"/>
      <c r="B904" s="27"/>
      <c r="C904" s="27"/>
      <c r="D904" s="26"/>
    </row>
    <row r="905" spans="1:4" x14ac:dyDescent="0.25">
      <c r="A905" s="27"/>
      <c r="B905" s="27"/>
      <c r="C905" s="27"/>
      <c r="D905" s="26"/>
    </row>
    <row r="906" spans="1:4" x14ac:dyDescent="0.25">
      <c r="A906" s="27"/>
      <c r="B906" s="27"/>
      <c r="C906" s="27"/>
      <c r="D906" s="26"/>
    </row>
    <row r="907" spans="1:4" x14ac:dyDescent="0.25">
      <c r="A907" s="27"/>
      <c r="B907" s="27"/>
      <c r="C907" s="27"/>
      <c r="D907" s="26"/>
    </row>
    <row r="908" spans="1:4" x14ac:dyDescent="0.25">
      <c r="A908" s="27"/>
      <c r="B908" s="27"/>
      <c r="C908" s="27"/>
      <c r="D908" s="26"/>
    </row>
    <row r="909" spans="1:4" x14ac:dyDescent="0.25">
      <c r="A909" s="27"/>
      <c r="B909" s="27"/>
      <c r="C909" s="27"/>
      <c r="D909" s="26"/>
    </row>
    <row r="910" spans="1:4" x14ac:dyDescent="0.25">
      <c r="A910" s="27"/>
      <c r="B910" s="27"/>
      <c r="C910" s="27"/>
      <c r="D910" s="26"/>
    </row>
    <row r="911" spans="1:4" x14ac:dyDescent="0.25">
      <c r="A911" s="27"/>
      <c r="B911" s="27"/>
      <c r="C911" s="27"/>
      <c r="D911" s="26"/>
    </row>
    <row r="912" spans="1:4" x14ac:dyDescent="0.25">
      <c r="A912" s="27"/>
      <c r="B912" s="27"/>
      <c r="C912" s="27"/>
      <c r="D912" s="26"/>
    </row>
    <row r="913" spans="1:4" x14ac:dyDescent="0.25">
      <c r="A913" s="27"/>
      <c r="B913" s="27"/>
      <c r="C913" s="27"/>
      <c r="D913" s="26"/>
    </row>
    <row r="914" spans="1:4" x14ac:dyDescent="0.25">
      <c r="A914" s="27"/>
      <c r="B914" s="27"/>
      <c r="C914" s="27"/>
      <c r="D914" s="26"/>
    </row>
    <row r="915" spans="1:4" x14ac:dyDescent="0.25">
      <c r="A915" s="27"/>
      <c r="B915" s="27"/>
      <c r="C915" s="27"/>
      <c r="D915" s="26"/>
    </row>
    <row r="916" spans="1:4" x14ac:dyDescent="0.25">
      <c r="A916" s="27"/>
      <c r="B916" s="27"/>
      <c r="C916" s="27"/>
      <c r="D916" s="26"/>
    </row>
    <row r="917" spans="1:4" x14ac:dyDescent="0.25">
      <c r="A917" s="27"/>
      <c r="B917" s="27"/>
      <c r="C917" s="27"/>
      <c r="D917" s="26"/>
    </row>
    <row r="918" spans="1:4" x14ac:dyDescent="0.25">
      <c r="A918" s="27"/>
      <c r="B918" s="27"/>
      <c r="C918" s="27"/>
      <c r="D918" s="26"/>
    </row>
    <row r="919" spans="1:4" x14ac:dyDescent="0.25">
      <c r="A919" s="27"/>
      <c r="B919" s="27"/>
      <c r="C919" s="27"/>
      <c r="D919" s="26"/>
    </row>
    <row r="920" spans="1:4" x14ac:dyDescent="0.25">
      <c r="A920" s="27"/>
      <c r="B920" s="27"/>
      <c r="C920" s="27"/>
      <c r="D920" s="26"/>
    </row>
    <row r="921" spans="1:4" x14ac:dyDescent="0.25">
      <c r="A921" s="27"/>
      <c r="B921" s="27"/>
      <c r="C921" s="27"/>
      <c r="D921" s="26"/>
    </row>
    <row r="922" spans="1:4" x14ac:dyDescent="0.25">
      <c r="A922" s="27"/>
      <c r="B922" s="27"/>
      <c r="C922" s="27"/>
      <c r="D922" s="26"/>
    </row>
    <row r="923" spans="1:4" x14ac:dyDescent="0.25">
      <c r="A923" s="27"/>
      <c r="B923" s="27"/>
      <c r="C923" s="27"/>
      <c r="D923" s="26"/>
    </row>
    <row r="924" spans="1:4" x14ac:dyDescent="0.25">
      <c r="A924" s="27"/>
      <c r="B924" s="27"/>
      <c r="C924" s="27"/>
      <c r="D924" s="26"/>
    </row>
    <row r="925" spans="1:4" x14ac:dyDescent="0.25">
      <c r="A925" s="27"/>
      <c r="B925" s="27"/>
      <c r="C925" s="27"/>
      <c r="D925" s="26"/>
    </row>
    <row r="926" spans="1:4" x14ac:dyDescent="0.25">
      <c r="A926" s="27"/>
      <c r="B926" s="27"/>
      <c r="C926" s="27"/>
      <c r="D926" s="26"/>
    </row>
    <row r="927" spans="1:4" x14ac:dyDescent="0.25">
      <c r="A927" s="27"/>
      <c r="B927" s="27"/>
      <c r="C927" s="27"/>
      <c r="D927" s="26"/>
    </row>
    <row r="928" spans="1:4" x14ac:dyDescent="0.25">
      <c r="A928" s="27"/>
      <c r="B928" s="27"/>
      <c r="C928" s="27"/>
      <c r="D928" s="26"/>
    </row>
    <row r="929" spans="1:4" x14ac:dyDescent="0.25">
      <c r="A929" s="27"/>
      <c r="B929" s="27"/>
      <c r="C929" s="27"/>
      <c r="D929" s="26"/>
    </row>
    <row r="930" spans="1:4" x14ac:dyDescent="0.25">
      <c r="A930" s="27"/>
      <c r="B930" s="27"/>
      <c r="C930" s="27"/>
      <c r="D930" s="26"/>
    </row>
    <row r="931" spans="1:4" x14ac:dyDescent="0.25">
      <c r="A931" s="27"/>
      <c r="B931" s="27"/>
      <c r="C931" s="27"/>
      <c r="D931" s="26"/>
    </row>
    <row r="932" spans="1:4" x14ac:dyDescent="0.25">
      <c r="A932" s="27"/>
      <c r="B932" s="27"/>
      <c r="C932" s="27"/>
      <c r="D932" s="26"/>
    </row>
    <row r="933" spans="1:4" x14ac:dyDescent="0.25">
      <c r="A933" s="27"/>
      <c r="B933" s="27"/>
      <c r="C933" s="27"/>
      <c r="D933" s="26"/>
    </row>
    <row r="934" spans="1:4" x14ac:dyDescent="0.25">
      <c r="A934" s="27"/>
      <c r="B934" s="27"/>
      <c r="C934" s="27"/>
      <c r="D934" s="26"/>
    </row>
    <row r="935" spans="1:4" x14ac:dyDescent="0.25">
      <c r="A935" s="27"/>
      <c r="B935" s="27"/>
      <c r="C935" s="27"/>
      <c r="D935" s="26"/>
    </row>
    <row r="936" spans="1:4" x14ac:dyDescent="0.25">
      <c r="A936" s="27"/>
      <c r="B936" s="27"/>
      <c r="C936" s="27"/>
      <c r="D936" s="26"/>
    </row>
    <row r="937" spans="1:4" x14ac:dyDescent="0.25">
      <c r="A937" s="27"/>
      <c r="B937" s="27"/>
      <c r="C937" s="27"/>
      <c r="D937" s="26"/>
    </row>
    <row r="938" spans="1:4" x14ac:dyDescent="0.25">
      <c r="A938" s="27"/>
      <c r="B938" s="27"/>
      <c r="C938" s="27"/>
      <c r="D938" s="26"/>
    </row>
    <row r="939" spans="1:4" x14ac:dyDescent="0.25">
      <c r="A939" s="27"/>
      <c r="B939" s="27"/>
      <c r="C939" s="27"/>
      <c r="D939" s="26"/>
    </row>
    <row r="940" spans="1:4" x14ac:dyDescent="0.25">
      <c r="A940" s="27"/>
      <c r="B940" s="27"/>
      <c r="C940" s="27"/>
      <c r="D940" s="26"/>
    </row>
    <row r="941" spans="1:4" x14ac:dyDescent="0.25">
      <c r="A941" s="27"/>
      <c r="B941" s="27"/>
      <c r="C941" s="27"/>
      <c r="D941" s="26"/>
    </row>
    <row r="942" spans="1:4" x14ac:dyDescent="0.25">
      <c r="A942" s="27"/>
      <c r="B942" s="27"/>
      <c r="C942" s="27"/>
      <c r="D942" s="26"/>
    </row>
    <row r="943" spans="1:4" x14ac:dyDescent="0.25">
      <c r="A943" s="27"/>
      <c r="B943" s="27"/>
      <c r="C943" s="27"/>
      <c r="D943" s="26"/>
    </row>
    <row r="944" spans="1:4" x14ac:dyDescent="0.25">
      <c r="A944" s="27"/>
      <c r="B944" s="27"/>
      <c r="C944" s="27"/>
      <c r="D944" s="26"/>
    </row>
    <row r="945" spans="1:4" x14ac:dyDescent="0.25">
      <c r="A945" s="27"/>
      <c r="B945" s="27"/>
      <c r="C945" s="27"/>
      <c r="D945" s="26"/>
    </row>
    <row r="946" spans="1:4" x14ac:dyDescent="0.25">
      <c r="A946" s="27"/>
      <c r="B946" s="27"/>
      <c r="C946" s="27"/>
      <c r="D946" s="26"/>
    </row>
    <row r="947" spans="1:4" x14ac:dyDescent="0.25">
      <c r="A947" s="27"/>
      <c r="B947" s="27"/>
      <c r="C947" s="27"/>
      <c r="D947" s="26"/>
    </row>
    <row r="948" spans="1:4" x14ac:dyDescent="0.25">
      <c r="A948" s="27"/>
      <c r="B948" s="27"/>
      <c r="C948" s="27"/>
      <c r="D948" s="26"/>
    </row>
    <row r="949" spans="1:4" x14ac:dyDescent="0.25">
      <c r="A949" s="27"/>
      <c r="B949" s="27"/>
      <c r="C949" s="27"/>
      <c r="D949" s="26"/>
    </row>
    <row r="950" spans="1:4" x14ac:dyDescent="0.25">
      <c r="A950" s="27"/>
      <c r="B950" s="27"/>
      <c r="C950" s="27"/>
      <c r="D950" s="26"/>
    </row>
    <row r="951" spans="1:4" x14ac:dyDescent="0.25">
      <c r="A951" s="27"/>
      <c r="B951" s="27"/>
      <c r="C951" s="27"/>
      <c r="D951" s="26"/>
    </row>
    <row r="952" spans="1:4" x14ac:dyDescent="0.25">
      <c r="A952" s="27"/>
      <c r="B952" s="27"/>
      <c r="C952" s="27"/>
      <c r="D952" s="26"/>
    </row>
    <row r="953" spans="1:4" x14ac:dyDescent="0.25">
      <c r="A953" s="27"/>
      <c r="B953" s="27"/>
      <c r="C953" s="27"/>
      <c r="D953" s="26"/>
    </row>
    <row r="954" spans="1:4" x14ac:dyDescent="0.25">
      <c r="A954" s="27"/>
      <c r="B954" s="27"/>
      <c r="C954" s="27"/>
      <c r="D954" s="26"/>
    </row>
    <row r="955" spans="1:4" x14ac:dyDescent="0.25">
      <c r="A955" s="27"/>
      <c r="B955" s="27"/>
      <c r="C955" s="27"/>
      <c r="D955" s="26"/>
    </row>
    <row r="956" spans="1:4" x14ac:dyDescent="0.25">
      <c r="A956" s="27"/>
      <c r="B956" s="27"/>
      <c r="C956" s="27"/>
      <c r="D956" s="26"/>
    </row>
    <row r="957" spans="1:4" x14ac:dyDescent="0.25">
      <c r="A957" s="27"/>
      <c r="B957" s="27"/>
      <c r="C957" s="27"/>
      <c r="D957" s="26"/>
    </row>
    <row r="958" spans="1:4" x14ac:dyDescent="0.25">
      <c r="A958" s="27"/>
      <c r="B958" s="27"/>
      <c r="C958" s="27"/>
      <c r="D958" s="26"/>
    </row>
    <row r="959" spans="1:4" x14ac:dyDescent="0.25">
      <c r="A959" s="27"/>
      <c r="B959" s="27"/>
      <c r="C959" s="27"/>
      <c r="D959" s="26"/>
    </row>
    <row r="960" spans="1:4" x14ac:dyDescent="0.25">
      <c r="A960" s="27"/>
      <c r="B960" s="27"/>
      <c r="C960" s="27"/>
      <c r="D960" s="26"/>
    </row>
    <row r="961" spans="1:4" x14ac:dyDescent="0.25">
      <c r="A961" s="27"/>
      <c r="B961" s="27"/>
      <c r="C961" s="27"/>
      <c r="D961" s="26"/>
    </row>
    <row r="962" spans="1:4" x14ac:dyDescent="0.25">
      <c r="A962" s="27"/>
      <c r="B962" s="27"/>
      <c r="C962" s="27"/>
      <c r="D962" s="26"/>
    </row>
    <row r="963" spans="1:4" x14ac:dyDescent="0.25">
      <c r="A963" s="27"/>
      <c r="B963" s="27"/>
      <c r="C963" s="27"/>
      <c r="D963" s="26"/>
    </row>
    <row r="964" spans="1:4" x14ac:dyDescent="0.25">
      <c r="A964" s="27"/>
      <c r="B964" s="27"/>
      <c r="C964" s="27"/>
      <c r="D964" s="26"/>
    </row>
    <row r="965" spans="1:4" x14ac:dyDescent="0.25">
      <c r="A965" s="27"/>
      <c r="B965" s="27"/>
      <c r="C965" s="27"/>
      <c r="D965" s="26"/>
    </row>
    <row r="966" spans="1:4" x14ac:dyDescent="0.25">
      <c r="A966" s="27"/>
      <c r="B966" s="27"/>
      <c r="C966" s="27"/>
      <c r="D966" s="26"/>
    </row>
    <row r="967" spans="1:4" x14ac:dyDescent="0.25">
      <c r="A967" s="27"/>
      <c r="B967" s="27"/>
      <c r="C967" s="27"/>
      <c r="D967" s="26"/>
    </row>
    <row r="968" spans="1:4" x14ac:dyDescent="0.25">
      <c r="A968" s="27"/>
      <c r="B968" s="27"/>
      <c r="C968" s="27"/>
      <c r="D968" s="26"/>
    </row>
    <row r="969" spans="1:4" x14ac:dyDescent="0.25">
      <c r="A969" s="27"/>
      <c r="B969" s="27"/>
      <c r="C969" s="27"/>
      <c r="D969" s="26"/>
    </row>
    <row r="970" spans="1:4" x14ac:dyDescent="0.25">
      <c r="A970" s="27"/>
      <c r="B970" s="27"/>
      <c r="C970" s="27"/>
      <c r="D970" s="26"/>
    </row>
    <row r="971" spans="1:4" x14ac:dyDescent="0.25">
      <c r="A971" s="27"/>
      <c r="B971" s="27"/>
      <c r="C971" s="27"/>
      <c r="D971" s="26"/>
    </row>
    <row r="972" spans="1:4" x14ac:dyDescent="0.25">
      <c r="A972" s="27"/>
      <c r="B972" s="27"/>
      <c r="C972" s="27"/>
      <c r="D972" s="26"/>
    </row>
    <row r="973" spans="1:4" x14ac:dyDescent="0.25">
      <c r="A973" s="27"/>
      <c r="B973" s="27"/>
      <c r="C973" s="27"/>
      <c r="D973" s="26"/>
    </row>
    <row r="974" spans="1:4" x14ac:dyDescent="0.25">
      <c r="A974" s="27"/>
      <c r="B974" s="27"/>
      <c r="C974" s="27"/>
      <c r="D974" s="26"/>
    </row>
    <row r="975" spans="1:4" x14ac:dyDescent="0.25">
      <c r="A975" s="27"/>
      <c r="B975" s="27"/>
      <c r="C975" s="27"/>
      <c r="D975" s="26"/>
    </row>
    <row r="976" spans="1:4" x14ac:dyDescent="0.25">
      <c r="A976" s="27"/>
      <c r="B976" s="27"/>
      <c r="C976" s="27"/>
      <c r="D976" s="26"/>
    </row>
    <row r="977" spans="1:4" x14ac:dyDescent="0.25">
      <c r="A977" s="27"/>
      <c r="B977" s="27"/>
      <c r="C977" s="27"/>
      <c r="D977" s="26"/>
    </row>
    <row r="978" spans="1:4" x14ac:dyDescent="0.25">
      <c r="A978" s="27"/>
      <c r="B978" s="27"/>
      <c r="C978" s="27"/>
      <c r="D978" s="26"/>
    </row>
    <row r="979" spans="1:4" x14ac:dyDescent="0.25">
      <c r="A979" s="27"/>
      <c r="B979" s="27"/>
      <c r="C979" s="27"/>
      <c r="D979" s="26"/>
    </row>
    <row r="980" spans="1:4" x14ac:dyDescent="0.25">
      <c r="A980" s="27"/>
      <c r="B980" s="27"/>
      <c r="C980" s="27"/>
      <c r="D980" s="26"/>
    </row>
    <row r="981" spans="1:4" x14ac:dyDescent="0.25">
      <c r="A981" s="27"/>
      <c r="B981" s="27"/>
      <c r="C981" s="27"/>
      <c r="D981" s="26"/>
    </row>
    <row r="982" spans="1:4" x14ac:dyDescent="0.25">
      <c r="A982" s="27"/>
      <c r="B982" s="27"/>
      <c r="C982" s="27"/>
      <c r="D982" s="26"/>
    </row>
    <row r="983" spans="1:4" x14ac:dyDescent="0.25">
      <c r="A983" s="27"/>
      <c r="B983" s="27"/>
      <c r="C983" s="27"/>
      <c r="D983" s="26"/>
    </row>
    <row r="984" spans="1:4" x14ac:dyDescent="0.25">
      <c r="A984" s="27"/>
      <c r="B984" s="27"/>
      <c r="C984" s="27"/>
      <c r="D984" s="26"/>
    </row>
    <row r="985" spans="1:4" x14ac:dyDescent="0.25">
      <c r="A985" s="27"/>
      <c r="B985" s="27"/>
      <c r="C985" s="27"/>
      <c r="D985" s="26"/>
    </row>
    <row r="986" spans="1:4" x14ac:dyDescent="0.25">
      <c r="A986" s="27"/>
      <c r="B986" s="27"/>
      <c r="C986" s="27"/>
      <c r="D986" s="26"/>
    </row>
    <row r="987" spans="1:4" x14ac:dyDescent="0.25">
      <c r="A987" s="27"/>
      <c r="B987" s="27"/>
      <c r="C987" s="27"/>
      <c r="D987" s="26"/>
    </row>
    <row r="988" spans="1:4" x14ac:dyDescent="0.25">
      <c r="A988" s="27"/>
      <c r="B988" s="27"/>
      <c r="C988" s="27"/>
      <c r="D988" s="26"/>
    </row>
    <row r="989" spans="1:4" x14ac:dyDescent="0.25">
      <c r="A989" s="27"/>
      <c r="B989" s="27"/>
      <c r="C989" s="27"/>
      <c r="D989" s="26"/>
    </row>
    <row r="990" spans="1:4" x14ac:dyDescent="0.25">
      <c r="A990" s="27"/>
      <c r="B990" s="27"/>
      <c r="C990" s="27"/>
      <c r="D990" s="26"/>
    </row>
    <row r="991" spans="1:4" x14ac:dyDescent="0.25">
      <c r="A991" s="27"/>
      <c r="B991" s="27"/>
      <c r="C991" s="27"/>
      <c r="D991" s="26"/>
    </row>
    <row r="992" spans="1:4" x14ac:dyDescent="0.25">
      <c r="A992" s="27"/>
      <c r="B992" s="27"/>
      <c r="C992" s="27"/>
      <c r="D992" s="26"/>
    </row>
    <row r="993" spans="1:4" x14ac:dyDescent="0.25">
      <c r="A993" s="27"/>
      <c r="B993" s="27"/>
      <c r="C993" s="27"/>
      <c r="D993" s="26"/>
    </row>
    <row r="994" spans="1:4" x14ac:dyDescent="0.25">
      <c r="A994" s="27"/>
      <c r="B994" s="27"/>
      <c r="C994" s="27"/>
      <c r="D994" s="26"/>
    </row>
    <row r="995" spans="1:4" x14ac:dyDescent="0.25">
      <c r="A995" s="27"/>
      <c r="B995" s="27"/>
      <c r="C995" s="27"/>
      <c r="D995" s="26"/>
    </row>
    <row r="996" spans="1:4" x14ac:dyDescent="0.25">
      <c r="A996" s="27"/>
      <c r="B996" s="27"/>
      <c r="C996" s="27"/>
      <c r="D996" s="26"/>
    </row>
    <row r="997" spans="1:4" x14ac:dyDescent="0.25">
      <c r="A997" s="27"/>
      <c r="B997" s="27"/>
      <c r="C997" s="27"/>
      <c r="D997" s="26"/>
    </row>
    <row r="998" spans="1:4" x14ac:dyDescent="0.25">
      <c r="A998" s="27"/>
      <c r="B998" s="27"/>
      <c r="C998" s="27"/>
      <c r="D998" s="26"/>
    </row>
    <row r="999" spans="1:4" x14ac:dyDescent="0.25">
      <c r="A999" s="27"/>
      <c r="B999" s="27"/>
      <c r="C999" s="27"/>
      <c r="D999" s="26"/>
    </row>
    <row r="1000" spans="1:4" x14ac:dyDescent="0.25">
      <c r="A1000" s="27"/>
      <c r="B1000" s="27"/>
      <c r="C1000" s="27"/>
      <c r="D1000" s="26"/>
    </row>
    <row r="1001" spans="1:4" x14ac:dyDescent="0.25">
      <c r="A1001" s="27"/>
      <c r="B1001" s="27"/>
      <c r="C1001" s="27"/>
      <c r="D1001" s="26"/>
    </row>
    <row r="1002" spans="1:4" x14ac:dyDescent="0.25">
      <c r="A1002" s="27"/>
      <c r="B1002" s="27"/>
      <c r="C1002" s="27"/>
      <c r="D1002" s="26"/>
    </row>
    <row r="1003" spans="1:4" x14ac:dyDescent="0.25">
      <c r="A1003" s="27"/>
      <c r="B1003" s="27"/>
      <c r="C1003" s="27"/>
      <c r="D1003" s="26"/>
    </row>
    <row r="1004" spans="1:4" x14ac:dyDescent="0.25">
      <c r="A1004" s="27"/>
      <c r="B1004" s="27"/>
      <c r="C1004" s="27"/>
      <c r="D1004" s="26"/>
    </row>
    <row r="1005" spans="1:4" x14ac:dyDescent="0.25">
      <c r="A1005" s="27"/>
      <c r="B1005" s="27"/>
      <c r="C1005" s="27"/>
      <c r="D1005" s="26"/>
    </row>
    <row r="1006" spans="1:4" x14ac:dyDescent="0.25">
      <c r="A1006" s="27"/>
      <c r="B1006" s="27"/>
      <c r="C1006" s="27"/>
      <c r="D1006" s="26"/>
    </row>
    <row r="1007" spans="1:4" x14ac:dyDescent="0.25">
      <c r="A1007" s="27"/>
      <c r="B1007" s="27"/>
      <c r="C1007" s="27"/>
      <c r="D1007" s="26"/>
    </row>
    <row r="1008" spans="1:4" x14ac:dyDescent="0.25">
      <c r="A1008" s="27"/>
      <c r="B1008" s="27"/>
      <c r="C1008" s="27"/>
      <c r="D1008" s="26"/>
    </row>
    <row r="1009" spans="1:4" x14ac:dyDescent="0.25">
      <c r="A1009" s="27"/>
      <c r="B1009" s="27"/>
      <c r="C1009" s="27"/>
      <c r="D1009" s="26"/>
    </row>
    <row r="1010" spans="1:4" x14ac:dyDescent="0.25">
      <c r="A1010" s="27"/>
      <c r="B1010" s="27"/>
      <c r="C1010" s="27"/>
      <c r="D1010" s="26"/>
    </row>
    <row r="1011" spans="1:4" x14ac:dyDescent="0.25">
      <c r="A1011" s="27"/>
      <c r="B1011" s="27"/>
      <c r="C1011" s="27"/>
      <c r="D1011" s="26"/>
    </row>
    <row r="1012" spans="1:4" x14ac:dyDescent="0.25">
      <c r="A1012" s="27"/>
      <c r="B1012" s="27"/>
      <c r="C1012" s="27"/>
      <c r="D1012" s="26"/>
    </row>
    <row r="1013" spans="1:4" x14ac:dyDescent="0.25">
      <c r="A1013" s="27"/>
      <c r="B1013" s="27"/>
      <c r="C1013" s="27"/>
      <c r="D1013" s="26"/>
    </row>
    <row r="1014" spans="1:4" x14ac:dyDescent="0.25">
      <c r="A1014" s="27"/>
      <c r="B1014" s="27"/>
      <c r="C1014" s="27"/>
      <c r="D1014" s="26"/>
    </row>
    <row r="1015" spans="1:4" x14ac:dyDescent="0.25">
      <c r="A1015" s="27"/>
      <c r="B1015" s="27"/>
      <c r="C1015" s="27"/>
      <c r="D1015" s="26"/>
    </row>
    <row r="1016" spans="1:4" x14ac:dyDescent="0.25">
      <c r="A1016" s="27"/>
      <c r="B1016" s="27"/>
      <c r="C1016" s="27"/>
      <c r="D1016" s="26"/>
    </row>
    <row r="1017" spans="1:4" x14ac:dyDescent="0.25">
      <c r="A1017" s="27"/>
      <c r="B1017" s="27"/>
      <c r="C1017" s="27"/>
      <c r="D1017" s="26"/>
    </row>
    <row r="1018" spans="1:4" x14ac:dyDescent="0.25">
      <c r="A1018" s="27"/>
      <c r="B1018" s="27"/>
      <c r="C1018" s="27"/>
      <c r="D1018" s="26"/>
    </row>
    <row r="1019" spans="1:4" x14ac:dyDescent="0.25">
      <c r="A1019" s="27"/>
      <c r="B1019" s="27"/>
      <c r="C1019" s="27"/>
      <c r="D1019" s="26"/>
    </row>
    <row r="1020" spans="1:4" x14ac:dyDescent="0.25">
      <c r="A1020" s="27"/>
      <c r="B1020" s="27"/>
      <c r="C1020" s="27"/>
      <c r="D1020" s="26"/>
    </row>
    <row r="1021" spans="1:4" x14ac:dyDescent="0.25">
      <c r="A1021" s="27"/>
      <c r="B1021" s="27"/>
      <c r="C1021" s="27"/>
      <c r="D1021" s="26"/>
    </row>
    <row r="1022" spans="1:4" x14ac:dyDescent="0.25">
      <c r="A1022" s="27"/>
      <c r="B1022" s="27"/>
      <c r="C1022" s="27"/>
      <c r="D1022" s="26"/>
    </row>
    <row r="1023" spans="1:4" x14ac:dyDescent="0.25">
      <c r="A1023" s="27"/>
      <c r="B1023" s="27"/>
      <c r="C1023" s="27"/>
      <c r="D1023" s="26"/>
    </row>
    <row r="1024" spans="1:4" x14ac:dyDescent="0.25">
      <c r="A1024" s="27"/>
      <c r="B1024" s="27"/>
      <c r="C1024" s="27"/>
      <c r="D1024" s="26"/>
    </row>
    <row r="1025" spans="1:4" x14ac:dyDescent="0.25">
      <c r="A1025" s="27"/>
      <c r="B1025" s="27"/>
      <c r="C1025" s="27"/>
      <c r="D1025" s="26"/>
    </row>
    <row r="1026" spans="1:4" x14ac:dyDescent="0.25">
      <c r="A1026" s="27"/>
      <c r="B1026" s="27"/>
      <c r="C1026" s="27"/>
      <c r="D1026" s="26"/>
    </row>
    <row r="1027" spans="1:4" x14ac:dyDescent="0.25">
      <c r="A1027" s="27"/>
      <c r="B1027" s="27"/>
      <c r="C1027" s="27"/>
      <c r="D1027" s="26"/>
    </row>
    <row r="1028" spans="1:4" x14ac:dyDescent="0.25">
      <c r="A1028" s="27"/>
      <c r="B1028" s="27"/>
      <c r="C1028" s="27"/>
      <c r="D1028" s="26"/>
    </row>
    <row r="1029" spans="1:4" x14ac:dyDescent="0.25">
      <c r="A1029" s="27"/>
      <c r="B1029" s="27"/>
      <c r="C1029" s="27"/>
      <c r="D1029" s="26"/>
    </row>
    <row r="1030" spans="1:4" x14ac:dyDescent="0.25">
      <c r="A1030" s="27"/>
      <c r="B1030" s="27"/>
      <c r="C1030" s="27"/>
      <c r="D1030" s="26"/>
    </row>
    <row r="1031" spans="1:4" x14ac:dyDescent="0.25">
      <c r="A1031" s="27"/>
      <c r="B1031" s="27"/>
      <c r="C1031" s="27"/>
      <c r="D1031" s="26"/>
    </row>
    <row r="1032" spans="1:4" x14ac:dyDescent="0.25">
      <c r="A1032" s="27"/>
      <c r="B1032" s="27"/>
      <c r="C1032" s="27"/>
      <c r="D1032" s="26"/>
    </row>
    <row r="1033" spans="1:4" x14ac:dyDescent="0.25">
      <c r="A1033" s="27"/>
      <c r="B1033" s="27"/>
      <c r="C1033" s="27"/>
      <c r="D1033" s="26"/>
    </row>
    <row r="1034" spans="1:4" x14ac:dyDescent="0.25">
      <c r="A1034" s="27"/>
      <c r="B1034" s="27"/>
      <c r="C1034" s="27"/>
      <c r="D1034" s="26"/>
    </row>
    <row r="1035" spans="1:4" x14ac:dyDescent="0.25">
      <c r="A1035" s="27"/>
      <c r="B1035" s="27"/>
      <c r="C1035" s="27"/>
      <c r="D1035" s="26"/>
    </row>
    <row r="1036" spans="1:4" x14ac:dyDescent="0.25">
      <c r="A1036" s="27"/>
      <c r="B1036" s="27"/>
      <c r="C1036" s="27"/>
      <c r="D1036" s="26"/>
    </row>
    <row r="1037" spans="1:4" x14ac:dyDescent="0.25">
      <c r="A1037" s="27"/>
      <c r="B1037" s="27"/>
      <c r="C1037" s="27"/>
      <c r="D1037" s="26"/>
    </row>
    <row r="1038" spans="1:4" x14ac:dyDescent="0.25">
      <c r="A1038" s="27"/>
      <c r="B1038" s="27"/>
      <c r="C1038" s="27"/>
      <c r="D1038" s="26"/>
    </row>
    <row r="1039" spans="1:4" x14ac:dyDescent="0.25">
      <c r="A1039" s="27"/>
      <c r="B1039" s="27"/>
      <c r="C1039" s="27"/>
      <c r="D1039" s="26"/>
    </row>
    <row r="1040" spans="1:4" x14ac:dyDescent="0.25">
      <c r="A1040" s="27"/>
      <c r="B1040" s="27"/>
      <c r="C1040" s="27"/>
      <c r="D1040" s="26"/>
    </row>
    <row r="1041" spans="1:4" x14ac:dyDescent="0.25">
      <c r="A1041" s="27"/>
      <c r="B1041" s="27"/>
      <c r="C1041" s="27"/>
      <c r="D1041" s="26"/>
    </row>
    <row r="1042" spans="1:4" x14ac:dyDescent="0.25">
      <c r="A1042" s="27"/>
      <c r="B1042" s="27"/>
      <c r="C1042" s="27"/>
      <c r="D1042" s="26"/>
    </row>
    <row r="1043" spans="1:4" x14ac:dyDescent="0.25">
      <c r="A1043" s="27"/>
      <c r="B1043" s="27"/>
      <c r="C1043" s="27"/>
      <c r="D1043" s="26"/>
    </row>
    <row r="1044" spans="1:4" x14ac:dyDescent="0.25">
      <c r="A1044" s="27"/>
      <c r="B1044" s="27"/>
      <c r="C1044" s="27"/>
      <c r="D1044" s="26"/>
    </row>
    <row r="1045" spans="1:4" x14ac:dyDescent="0.25">
      <c r="A1045" s="27"/>
      <c r="B1045" s="27"/>
      <c r="C1045" s="27"/>
      <c r="D1045" s="26"/>
    </row>
    <row r="1046" spans="1:4" x14ac:dyDescent="0.25">
      <c r="A1046" s="27"/>
      <c r="B1046" s="27"/>
      <c r="C1046" s="27"/>
      <c r="D1046" s="26"/>
    </row>
    <row r="1047" spans="1:4" x14ac:dyDescent="0.25">
      <c r="A1047" s="27"/>
      <c r="B1047" s="27"/>
      <c r="C1047" s="27"/>
      <c r="D1047" s="26"/>
    </row>
    <row r="1048" spans="1:4" x14ac:dyDescent="0.25">
      <c r="A1048" s="27"/>
      <c r="B1048" s="27"/>
      <c r="C1048" s="27"/>
      <c r="D1048" s="26"/>
    </row>
    <row r="1049" spans="1:4" x14ac:dyDescent="0.25">
      <c r="A1049" s="27"/>
      <c r="B1049" s="27"/>
      <c r="C1049" s="27"/>
      <c r="D1049" s="26"/>
    </row>
    <row r="1050" spans="1:4" x14ac:dyDescent="0.25">
      <c r="A1050" s="27"/>
      <c r="B1050" s="27"/>
      <c r="C1050" s="27"/>
      <c r="D1050" s="26"/>
    </row>
    <row r="1051" spans="1:4" x14ac:dyDescent="0.25">
      <c r="A1051" s="27"/>
      <c r="B1051" s="27"/>
      <c r="C1051" s="27"/>
      <c r="D1051" s="26"/>
    </row>
    <row r="1052" spans="1:4" x14ac:dyDescent="0.25">
      <c r="A1052" s="27"/>
      <c r="B1052" s="27"/>
      <c r="C1052" s="27"/>
      <c r="D1052" s="26"/>
    </row>
    <row r="1053" spans="1:4" x14ac:dyDescent="0.25">
      <c r="A1053" s="27"/>
      <c r="B1053" s="27"/>
      <c r="C1053" s="27"/>
      <c r="D1053" s="26"/>
    </row>
    <row r="1054" spans="1:4" x14ac:dyDescent="0.25">
      <c r="A1054" s="27"/>
      <c r="B1054" s="27"/>
      <c r="C1054" s="27"/>
      <c r="D1054" s="26"/>
    </row>
    <row r="1055" spans="1:4" x14ac:dyDescent="0.25">
      <c r="A1055" s="27"/>
      <c r="B1055" s="27"/>
      <c r="C1055" s="27"/>
      <c r="D1055" s="26"/>
    </row>
    <row r="1056" spans="1:4" x14ac:dyDescent="0.25">
      <c r="A1056" s="27"/>
      <c r="B1056" s="27"/>
      <c r="C1056" s="27"/>
      <c r="D1056" s="26"/>
    </row>
    <row r="1057" spans="1:4" x14ac:dyDescent="0.25">
      <c r="A1057" s="27"/>
      <c r="B1057" s="27"/>
      <c r="C1057" s="27"/>
      <c r="D1057" s="26"/>
    </row>
    <row r="1058" spans="1:4" x14ac:dyDescent="0.25">
      <c r="A1058" s="27"/>
      <c r="B1058" s="27"/>
      <c r="C1058" s="27"/>
      <c r="D1058" s="26"/>
    </row>
    <row r="1059" spans="1:4" x14ac:dyDescent="0.25">
      <c r="A1059" s="27"/>
      <c r="B1059" s="27"/>
      <c r="C1059" s="27"/>
      <c r="D1059" s="26"/>
    </row>
    <row r="1060" spans="1:4" x14ac:dyDescent="0.25">
      <c r="A1060" s="27"/>
      <c r="B1060" s="27"/>
      <c r="C1060" s="27"/>
      <c r="D1060" s="26"/>
    </row>
    <row r="1061" spans="1:4" x14ac:dyDescent="0.25">
      <c r="A1061" s="27"/>
      <c r="B1061" s="27"/>
      <c r="C1061" s="27"/>
      <c r="D1061" s="26"/>
    </row>
    <row r="1062" spans="1:4" x14ac:dyDescent="0.25">
      <c r="A1062" s="27"/>
      <c r="B1062" s="27"/>
      <c r="C1062" s="27"/>
      <c r="D1062" s="26"/>
    </row>
    <row r="1063" spans="1:4" x14ac:dyDescent="0.25">
      <c r="A1063" s="27"/>
      <c r="B1063" s="27"/>
      <c r="C1063" s="27"/>
      <c r="D1063" s="26"/>
    </row>
    <row r="1064" spans="1:4" x14ac:dyDescent="0.25">
      <c r="A1064" s="27"/>
      <c r="B1064" s="27"/>
      <c r="C1064" s="27"/>
      <c r="D1064" s="26"/>
    </row>
    <row r="1065" spans="1:4" x14ac:dyDescent="0.25">
      <c r="A1065" s="27"/>
      <c r="B1065" s="27"/>
      <c r="C1065" s="27"/>
      <c r="D1065" s="26"/>
    </row>
    <row r="1066" spans="1:4" x14ac:dyDescent="0.25">
      <c r="A1066" s="27"/>
      <c r="B1066" s="27"/>
      <c r="C1066" s="27"/>
      <c r="D1066" s="26"/>
    </row>
    <row r="1067" spans="1:4" x14ac:dyDescent="0.25">
      <c r="A1067" s="27"/>
      <c r="B1067" s="27"/>
      <c r="C1067" s="27"/>
      <c r="D1067" s="26"/>
    </row>
    <row r="1068" spans="1:4" x14ac:dyDescent="0.25">
      <c r="A1068" s="27"/>
      <c r="B1068" s="27"/>
      <c r="C1068" s="27"/>
      <c r="D1068" s="26"/>
    </row>
    <row r="1069" spans="1:4" x14ac:dyDescent="0.25">
      <c r="A1069" s="27"/>
      <c r="B1069" s="27"/>
      <c r="C1069" s="27"/>
      <c r="D1069" s="26"/>
    </row>
    <row r="1070" spans="1:4" x14ac:dyDescent="0.25">
      <c r="A1070" s="27"/>
      <c r="B1070" s="27"/>
      <c r="C1070" s="27"/>
      <c r="D1070" s="26"/>
    </row>
    <row r="1071" spans="1:4" x14ac:dyDescent="0.25">
      <c r="A1071" s="27"/>
      <c r="B1071" s="27"/>
      <c r="C1071" s="27"/>
      <c r="D1071" s="26"/>
    </row>
    <row r="1072" spans="1:4" x14ac:dyDescent="0.25">
      <c r="A1072" s="27"/>
      <c r="B1072" s="27"/>
      <c r="C1072" s="27"/>
      <c r="D1072" s="26"/>
    </row>
    <row r="1073" spans="1:4" x14ac:dyDescent="0.25">
      <c r="A1073" s="27"/>
      <c r="B1073" s="27"/>
      <c r="C1073" s="27"/>
      <c r="D1073" s="26"/>
    </row>
    <row r="1074" spans="1:4" x14ac:dyDescent="0.25">
      <c r="A1074" s="27"/>
      <c r="B1074" s="27"/>
      <c r="C1074" s="27"/>
      <c r="D1074" s="26"/>
    </row>
    <row r="1075" spans="1:4" x14ac:dyDescent="0.25">
      <c r="A1075" s="27"/>
      <c r="B1075" s="27"/>
      <c r="C1075" s="27"/>
      <c r="D1075" s="26"/>
    </row>
    <row r="1076" spans="1:4" x14ac:dyDescent="0.25">
      <c r="A1076" s="27"/>
      <c r="B1076" s="27"/>
      <c r="C1076" s="27"/>
      <c r="D1076" s="26"/>
    </row>
    <row r="1077" spans="1:4" x14ac:dyDescent="0.25">
      <c r="A1077" s="27"/>
      <c r="B1077" s="27"/>
      <c r="C1077" s="27"/>
      <c r="D1077" s="26"/>
    </row>
    <row r="1078" spans="1:4" x14ac:dyDescent="0.25">
      <c r="A1078" s="27"/>
      <c r="B1078" s="27"/>
      <c r="C1078" s="27"/>
      <c r="D1078" s="26"/>
    </row>
    <row r="1079" spans="1:4" x14ac:dyDescent="0.25">
      <c r="A1079" s="27"/>
      <c r="B1079" s="27"/>
      <c r="C1079" s="27"/>
      <c r="D1079" s="26"/>
    </row>
    <row r="1080" spans="1:4" x14ac:dyDescent="0.25">
      <c r="A1080" s="27"/>
      <c r="B1080" s="27"/>
      <c r="C1080" s="27"/>
      <c r="D1080" s="26"/>
    </row>
    <row r="1081" spans="1:4" x14ac:dyDescent="0.25">
      <c r="A1081" s="27"/>
      <c r="B1081" s="27"/>
      <c r="C1081" s="27"/>
      <c r="D1081" s="26"/>
    </row>
    <row r="1082" spans="1:4" x14ac:dyDescent="0.25">
      <c r="A1082" s="27"/>
      <c r="B1082" s="27"/>
      <c r="C1082" s="27"/>
      <c r="D1082" s="26"/>
    </row>
    <row r="1083" spans="1:4" x14ac:dyDescent="0.25">
      <c r="A1083" s="27"/>
      <c r="B1083" s="27"/>
      <c r="C1083" s="27"/>
      <c r="D1083" s="26"/>
    </row>
    <row r="1084" spans="1:4" x14ac:dyDescent="0.25">
      <c r="A1084" s="27"/>
      <c r="B1084" s="27"/>
      <c r="C1084" s="27"/>
      <c r="D1084" s="26"/>
    </row>
    <row r="1085" spans="1:4" x14ac:dyDescent="0.25">
      <c r="A1085" s="27"/>
      <c r="B1085" s="27"/>
      <c r="C1085" s="27"/>
      <c r="D1085" s="26"/>
    </row>
    <row r="1086" spans="1:4" x14ac:dyDescent="0.25">
      <c r="A1086" s="27"/>
      <c r="B1086" s="27"/>
      <c r="C1086" s="27"/>
      <c r="D1086" s="26"/>
    </row>
    <row r="1087" spans="1:4" x14ac:dyDescent="0.25">
      <c r="A1087" s="27"/>
      <c r="B1087" s="27"/>
      <c r="C1087" s="27"/>
      <c r="D1087" s="26"/>
    </row>
    <row r="1088" spans="1:4" x14ac:dyDescent="0.25">
      <c r="A1088" s="27"/>
      <c r="B1088" s="27"/>
      <c r="C1088" s="27"/>
      <c r="D1088" s="26"/>
    </row>
    <row r="1089" spans="1:4" x14ac:dyDescent="0.25">
      <c r="A1089" s="27"/>
      <c r="B1089" s="27"/>
      <c r="C1089" s="27"/>
      <c r="D1089" s="26"/>
    </row>
    <row r="1090" spans="1:4" x14ac:dyDescent="0.25">
      <c r="A1090" s="27"/>
      <c r="B1090" s="27"/>
      <c r="C1090" s="27"/>
      <c r="D1090" s="26"/>
    </row>
    <row r="1091" spans="1:4" x14ac:dyDescent="0.25">
      <c r="A1091" s="27"/>
      <c r="B1091" s="27"/>
      <c r="C1091" s="27"/>
      <c r="D1091" s="26"/>
    </row>
    <row r="1092" spans="1:4" x14ac:dyDescent="0.25">
      <c r="A1092" s="27"/>
      <c r="B1092" s="27"/>
      <c r="C1092" s="27"/>
      <c r="D1092" s="26"/>
    </row>
    <row r="1093" spans="1:4" x14ac:dyDescent="0.25">
      <c r="A1093" s="27"/>
      <c r="B1093" s="27"/>
      <c r="C1093" s="27"/>
      <c r="D1093" s="26"/>
    </row>
    <row r="1094" spans="1:4" x14ac:dyDescent="0.25">
      <c r="A1094" s="27"/>
      <c r="B1094" s="27"/>
      <c r="C1094" s="27"/>
      <c r="D1094" s="26"/>
    </row>
    <row r="1095" spans="1:4" x14ac:dyDescent="0.25">
      <c r="A1095" s="27"/>
      <c r="B1095" s="27"/>
      <c r="C1095" s="27"/>
      <c r="D1095" s="26"/>
    </row>
    <row r="1096" spans="1:4" x14ac:dyDescent="0.25">
      <c r="A1096" s="27"/>
      <c r="B1096" s="27"/>
      <c r="C1096" s="27"/>
      <c r="D1096" s="26"/>
    </row>
    <row r="1097" spans="1:4" x14ac:dyDescent="0.25">
      <c r="A1097" s="27"/>
      <c r="B1097" s="27"/>
      <c r="C1097" s="27"/>
      <c r="D1097" s="26"/>
    </row>
    <row r="1098" spans="1:4" x14ac:dyDescent="0.25">
      <c r="A1098" s="27"/>
      <c r="B1098" s="27"/>
      <c r="C1098" s="27"/>
      <c r="D1098" s="26"/>
    </row>
    <row r="1099" spans="1:4" x14ac:dyDescent="0.25">
      <c r="A1099" s="27"/>
      <c r="B1099" s="27"/>
      <c r="C1099" s="27"/>
      <c r="D1099" s="26"/>
    </row>
    <row r="1100" spans="1:4" x14ac:dyDescent="0.25">
      <c r="A1100" s="27"/>
      <c r="B1100" s="27"/>
      <c r="C1100" s="27"/>
      <c r="D1100" s="26"/>
    </row>
    <row r="1101" spans="1:4" x14ac:dyDescent="0.25">
      <c r="A1101" s="27"/>
      <c r="B1101" s="27"/>
      <c r="C1101" s="27"/>
      <c r="D1101" s="26"/>
    </row>
    <row r="1102" spans="1:4" x14ac:dyDescent="0.25">
      <c r="A1102" s="27"/>
      <c r="B1102" s="27"/>
      <c r="C1102" s="27"/>
      <c r="D1102" s="26"/>
    </row>
    <row r="1103" spans="1:4" x14ac:dyDescent="0.25">
      <c r="A1103" s="27"/>
      <c r="B1103" s="27"/>
      <c r="C1103" s="27"/>
      <c r="D1103" s="26"/>
    </row>
    <row r="1104" spans="1:4" x14ac:dyDescent="0.25">
      <c r="A1104" s="27"/>
      <c r="B1104" s="27"/>
      <c r="C1104" s="27"/>
      <c r="D1104" s="26"/>
    </row>
    <row r="1105" spans="1:4" x14ac:dyDescent="0.25">
      <c r="A1105" s="27"/>
      <c r="B1105" s="27"/>
      <c r="C1105" s="27"/>
      <c r="D1105" s="26"/>
    </row>
    <row r="1106" spans="1:4" x14ac:dyDescent="0.25">
      <c r="A1106" s="27"/>
      <c r="B1106" s="27"/>
      <c r="C1106" s="27"/>
      <c r="D1106" s="26"/>
    </row>
    <row r="1107" spans="1:4" x14ac:dyDescent="0.25">
      <c r="A1107" s="27"/>
      <c r="B1107" s="27"/>
      <c r="C1107" s="27"/>
      <c r="D1107" s="26"/>
    </row>
    <row r="1108" spans="1:4" x14ac:dyDescent="0.25">
      <c r="A1108" s="27"/>
      <c r="B1108" s="27"/>
      <c r="C1108" s="27"/>
      <c r="D1108" s="26"/>
    </row>
    <row r="1109" spans="1:4" x14ac:dyDescent="0.25">
      <c r="A1109" s="27"/>
      <c r="B1109" s="27"/>
      <c r="C1109" s="27"/>
      <c r="D1109" s="26"/>
    </row>
    <row r="1110" spans="1:4" x14ac:dyDescent="0.25">
      <c r="A1110" s="27"/>
      <c r="B1110" s="27"/>
      <c r="C1110" s="27"/>
      <c r="D1110" s="26"/>
    </row>
    <row r="1111" spans="1:4" x14ac:dyDescent="0.25">
      <c r="A1111" s="27"/>
      <c r="B1111" s="27"/>
      <c r="C1111" s="27"/>
      <c r="D1111" s="26"/>
    </row>
    <row r="1112" spans="1:4" x14ac:dyDescent="0.25">
      <c r="A1112" s="27"/>
      <c r="B1112" s="27"/>
      <c r="C1112" s="27"/>
      <c r="D1112" s="26"/>
    </row>
    <row r="1113" spans="1:4" x14ac:dyDescent="0.25">
      <c r="A1113" s="27"/>
      <c r="B1113" s="27"/>
      <c r="C1113" s="27"/>
      <c r="D1113" s="26"/>
    </row>
    <row r="1114" spans="1:4" x14ac:dyDescent="0.25">
      <c r="A1114" s="27"/>
      <c r="B1114" s="27"/>
      <c r="C1114" s="27"/>
      <c r="D1114" s="26"/>
    </row>
    <row r="1115" spans="1:4" x14ac:dyDescent="0.25">
      <c r="A1115" s="27"/>
      <c r="B1115" s="27"/>
      <c r="C1115" s="27"/>
      <c r="D1115" s="26"/>
    </row>
    <row r="1116" spans="1:4" x14ac:dyDescent="0.25">
      <c r="A1116" s="27"/>
      <c r="B1116" s="27"/>
      <c r="C1116" s="27"/>
      <c r="D1116" s="26"/>
    </row>
    <row r="1117" spans="1:4" x14ac:dyDescent="0.25">
      <c r="A1117" s="27"/>
      <c r="B1117" s="27"/>
      <c r="C1117" s="27"/>
      <c r="D1117" s="26"/>
    </row>
    <row r="1118" spans="1:4" x14ac:dyDescent="0.25">
      <c r="A1118" s="27"/>
      <c r="B1118" s="27"/>
      <c r="C1118" s="27"/>
      <c r="D1118" s="26"/>
    </row>
    <row r="1119" spans="1:4" x14ac:dyDescent="0.25">
      <c r="A1119" s="27"/>
      <c r="B1119" s="27"/>
      <c r="C1119" s="27"/>
      <c r="D1119" s="26"/>
    </row>
    <row r="1120" spans="1:4" x14ac:dyDescent="0.25">
      <c r="A1120" s="27"/>
      <c r="B1120" s="27"/>
      <c r="C1120" s="27"/>
      <c r="D1120" s="26"/>
    </row>
    <row r="1121" spans="1:4" x14ac:dyDescent="0.25">
      <c r="A1121" s="27"/>
      <c r="B1121" s="27"/>
      <c r="C1121" s="27"/>
      <c r="D1121" s="26"/>
    </row>
    <row r="1122" spans="1:4" x14ac:dyDescent="0.25">
      <c r="A1122" s="27"/>
      <c r="B1122" s="27"/>
      <c r="C1122" s="27"/>
      <c r="D1122" s="26"/>
    </row>
    <row r="1123" spans="1:4" x14ac:dyDescent="0.25">
      <c r="A1123" s="27"/>
      <c r="B1123" s="27"/>
      <c r="C1123" s="27"/>
      <c r="D1123" s="26"/>
    </row>
    <row r="1124" spans="1:4" x14ac:dyDescent="0.25">
      <c r="A1124" s="27"/>
      <c r="B1124" s="27"/>
      <c r="C1124" s="27"/>
      <c r="D1124" s="26"/>
    </row>
    <row r="1125" spans="1:4" x14ac:dyDescent="0.25">
      <c r="A1125" s="27"/>
      <c r="B1125" s="27"/>
      <c r="C1125" s="27"/>
      <c r="D1125" s="26"/>
    </row>
    <row r="1126" spans="1:4" x14ac:dyDescent="0.25">
      <c r="A1126" s="27"/>
      <c r="B1126" s="27"/>
      <c r="C1126" s="27"/>
      <c r="D1126" s="26"/>
    </row>
    <row r="1127" spans="1:4" x14ac:dyDescent="0.25">
      <c r="A1127" s="27"/>
      <c r="B1127" s="27"/>
      <c r="C1127" s="27"/>
      <c r="D1127" s="26"/>
    </row>
    <row r="1128" spans="1:4" x14ac:dyDescent="0.25">
      <c r="A1128" s="27"/>
      <c r="B1128" s="27"/>
      <c r="C1128" s="27"/>
      <c r="D1128" s="26"/>
    </row>
    <row r="1129" spans="1:4" x14ac:dyDescent="0.25">
      <c r="A1129" s="27"/>
      <c r="B1129" s="27"/>
      <c r="C1129" s="27"/>
      <c r="D1129" s="26"/>
    </row>
    <row r="1130" spans="1:4" x14ac:dyDescent="0.25">
      <c r="A1130" s="27"/>
      <c r="B1130" s="27"/>
      <c r="C1130" s="27"/>
      <c r="D1130" s="26"/>
    </row>
    <row r="1131" spans="1:4" x14ac:dyDescent="0.25">
      <c r="A1131" s="27"/>
      <c r="B1131" s="27"/>
      <c r="C1131" s="27"/>
      <c r="D1131" s="26"/>
    </row>
    <row r="1132" spans="1:4" x14ac:dyDescent="0.25">
      <c r="A1132" s="27"/>
      <c r="B1132" s="27"/>
      <c r="C1132" s="27"/>
      <c r="D1132" s="26"/>
    </row>
    <row r="1133" spans="1:4" x14ac:dyDescent="0.25">
      <c r="A1133" s="27"/>
      <c r="B1133" s="27"/>
      <c r="C1133" s="27"/>
      <c r="D1133" s="26"/>
    </row>
    <row r="1134" spans="1:4" x14ac:dyDescent="0.25">
      <c r="A1134" s="27"/>
      <c r="B1134" s="27"/>
      <c r="C1134" s="27"/>
      <c r="D1134" s="26"/>
    </row>
    <row r="1135" spans="1:4" x14ac:dyDescent="0.25">
      <c r="A1135" s="27"/>
      <c r="B1135" s="27"/>
      <c r="C1135" s="27"/>
      <c r="D1135" s="26"/>
    </row>
    <row r="1136" spans="1:4" x14ac:dyDescent="0.25">
      <c r="A1136" s="27"/>
      <c r="B1136" s="27"/>
      <c r="C1136" s="27"/>
      <c r="D1136" s="26"/>
    </row>
    <row r="1137" spans="1:4" x14ac:dyDescent="0.25">
      <c r="A1137" s="27"/>
      <c r="B1137" s="27"/>
      <c r="C1137" s="27"/>
      <c r="D1137" s="26"/>
    </row>
    <row r="1138" spans="1:4" x14ac:dyDescent="0.25">
      <c r="A1138" s="27"/>
      <c r="B1138" s="27"/>
      <c r="C1138" s="27"/>
      <c r="D1138" s="26"/>
    </row>
    <row r="1139" spans="1:4" x14ac:dyDescent="0.25">
      <c r="A1139" s="27"/>
      <c r="B1139" s="27"/>
      <c r="C1139" s="27"/>
      <c r="D1139" s="26"/>
    </row>
    <row r="1140" spans="1:4" x14ac:dyDescent="0.25">
      <c r="A1140" s="27"/>
      <c r="B1140" s="27"/>
      <c r="C1140" s="27"/>
      <c r="D1140" s="26"/>
    </row>
    <row r="1141" spans="1:4" x14ac:dyDescent="0.25">
      <c r="A1141" s="27"/>
      <c r="B1141" s="27"/>
      <c r="C1141" s="27"/>
      <c r="D1141" s="26"/>
    </row>
    <row r="1142" spans="1:4" x14ac:dyDescent="0.25">
      <c r="A1142" s="27"/>
      <c r="B1142" s="27"/>
      <c r="C1142" s="27"/>
      <c r="D1142" s="26"/>
    </row>
    <row r="1143" spans="1:4" x14ac:dyDescent="0.25">
      <c r="A1143" s="27"/>
      <c r="B1143" s="27"/>
      <c r="C1143" s="27"/>
      <c r="D1143" s="26"/>
    </row>
    <row r="1144" spans="1:4" x14ac:dyDescent="0.25">
      <c r="A1144" s="27"/>
      <c r="B1144" s="27"/>
      <c r="C1144" s="27"/>
      <c r="D1144" s="26"/>
    </row>
    <row r="1145" spans="1:4" x14ac:dyDescent="0.25">
      <c r="A1145" s="27"/>
      <c r="B1145" s="27"/>
      <c r="C1145" s="27"/>
      <c r="D1145" s="26"/>
    </row>
    <row r="1146" spans="1:4" x14ac:dyDescent="0.25">
      <c r="A1146" s="27"/>
      <c r="B1146" s="27"/>
      <c r="C1146" s="27"/>
      <c r="D1146" s="26"/>
    </row>
    <row r="1147" spans="1:4" x14ac:dyDescent="0.25">
      <c r="A1147" s="27"/>
      <c r="B1147" s="27"/>
      <c r="C1147" s="27"/>
      <c r="D1147" s="26"/>
    </row>
    <row r="1148" spans="1:4" x14ac:dyDescent="0.25">
      <c r="A1148" s="27"/>
      <c r="B1148" s="27"/>
      <c r="C1148" s="27"/>
      <c r="D1148" s="26"/>
    </row>
    <row r="1149" spans="1:4" x14ac:dyDescent="0.25">
      <c r="A1149" s="27"/>
      <c r="B1149" s="27"/>
      <c r="C1149" s="27"/>
      <c r="D1149" s="26"/>
    </row>
    <row r="1150" spans="1:4" x14ac:dyDescent="0.25">
      <c r="A1150" s="27"/>
      <c r="B1150" s="27"/>
      <c r="C1150" s="27"/>
      <c r="D1150" s="26"/>
    </row>
    <row r="1151" spans="1:4" x14ac:dyDescent="0.25">
      <c r="A1151" s="27"/>
      <c r="B1151" s="27"/>
      <c r="C1151" s="27"/>
      <c r="D1151" s="26"/>
    </row>
    <row r="1152" spans="1:4" x14ac:dyDescent="0.25">
      <c r="A1152" s="27"/>
      <c r="B1152" s="27"/>
      <c r="C1152" s="27"/>
      <c r="D1152" s="26"/>
    </row>
    <row r="1153" spans="1:4" x14ac:dyDescent="0.25">
      <c r="A1153" s="27"/>
      <c r="B1153" s="27"/>
      <c r="C1153" s="27"/>
      <c r="D1153" s="26"/>
    </row>
    <row r="1154" spans="1:4" x14ac:dyDescent="0.25">
      <c r="A1154" s="27"/>
      <c r="B1154" s="27"/>
      <c r="C1154" s="27"/>
      <c r="D1154" s="26"/>
    </row>
    <row r="1155" spans="1:4" x14ac:dyDescent="0.25">
      <c r="A1155" s="27"/>
      <c r="B1155" s="27"/>
      <c r="C1155" s="27"/>
      <c r="D1155" s="26"/>
    </row>
    <row r="1156" spans="1:4" x14ac:dyDescent="0.25">
      <c r="A1156" s="27"/>
      <c r="B1156" s="27"/>
      <c r="C1156" s="27"/>
      <c r="D1156" s="26"/>
    </row>
    <row r="1157" spans="1:4" x14ac:dyDescent="0.25">
      <c r="A1157" s="27"/>
      <c r="B1157" s="27"/>
      <c r="C1157" s="27"/>
      <c r="D1157" s="26"/>
    </row>
    <row r="1158" spans="1:4" x14ac:dyDescent="0.25">
      <c r="A1158" s="27"/>
      <c r="B1158" s="27"/>
      <c r="C1158" s="27"/>
      <c r="D1158" s="26"/>
    </row>
    <row r="1159" spans="1:4" x14ac:dyDescent="0.25">
      <c r="A1159" s="27"/>
      <c r="B1159" s="27"/>
      <c r="C1159" s="27"/>
      <c r="D1159" s="26"/>
    </row>
    <row r="1160" spans="1:4" x14ac:dyDescent="0.25">
      <c r="A1160" s="27"/>
      <c r="B1160" s="27"/>
      <c r="C1160" s="27"/>
      <c r="D1160" s="26"/>
    </row>
    <row r="1161" spans="1:4" x14ac:dyDescent="0.25">
      <c r="A1161" s="27"/>
      <c r="B1161" s="27"/>
      <c r="C1161" s="27"/>
      <c r="D1161" s="26"/>
    </row>
    <row r="1162" spans="1:4" x14ac:dyDescent="0.25">
      <c r="A1162" s="27"/>
      <c r="B1162" s="27"/>
      <c r="C1162" s="27"/>
      <c r="D1162" s="26"/>
    </row>
    <row r="1163" spans="1:4" x14ac:dyDescent="0.25">
      <c r="A1163" s="27"/>
      <c r="B1163" s="27"/>
      <c r="C1163" s="27"/>
      <c r="D1163" s="26"/>
    </row>
    <row r="1164" spans="1:4" x14ac:dyDescent="0.25">
      <c r="A1164" s="27"/>
      <c r="B1164" s="27"/>
      <c r="C1164" s="27"/>
      <c r="D1164" s="26"/>
    </row>
    <row r="1165" spans="1:4" x14ac:dyDescent="0.25">
      <c r="A1165" s="27"/>
      <c r="B1165" s="27"/>
      <c r="C1165" s="27"/>
      <c r="D1165" s="26"/>
    </row>
    <row r="1166" spans="1:4" x14ac:dyDescent="0.25">
      <c r="A1166" s="27"/>
      <c r="B1166" s="27"/>
      <c r="C1166" s="27"/>
      <c r="D1166" s="26"/>
    </row>
    <row r="1167" spans="1:4" x14ac:dyDescent="0.25">
      <c r="A1167" s="27"/>
      <c r="B1167" s="27"/>
      <c r="C1167" s="27"/>
      <c r="D1167" s="26"/>
    </row>
    <row r="1168" spans="1:4" x14ac:dyDescent="0.25">
      <c r="A1168" s="27"/>
      <c r="B1168" s="27"/>
      <c r="C1168" s="27"/>
      <c r="D1168" s="26"/>
    </row>
    <row r="1169" spans="1:4" x14ac:dyDescent="0.25">
      <c r="A1169" s="27"/>
      <c r="B1169" s="27"/>
      <c r="C1169" s="27"/>
      <c r="D1169" s="26"/>
    </row>
    <row r="1170" spans="1:4" x14ac:dyDescent="0.25">
      <c r="A1170" s="27"/>
      <c r="B1170" s="27"/>
      <c r="C1170" s="27"/>
      <c r="D1170" s="26"/>
    </row>
    <row r="1171" spans="1:4" x14ac:dyDescent="0.25">
      <c r="A1171" s="27"/>
      <c r="B1171" s="27"/>
      <c r="C1171" s="27"/>
      <c r="D1171" s="26"/>
    </row>
    <row r="1172" spans="1:4" x14ac:dyDescent="0.25">
      <c r="A1172" s="27"/>
      <c r="B1172" s="27"/>
      <c r="C1172" s="27"/>
      <c r="D1172" s="26"/>
    </row>
    <row r="1173" spans="1:4" x14ac:dyDescent="0.25">
      <c r="A1173" s="27"/>
      <c r="B1173" s="27"/>
      <c r="C1173" s="27"/>
      <c r="D1173" s="26"/>
    </row>
    <row r="1174" spans="1:4" x14ac:dyDescent="0.25">
      <c r="A1174" s="27"/>
      <c r="B1174" s="27"/>
      <c r="C1174" s="27"/>
      <c r="D1174" s="26"/>
    </row>
    <row r="1175" spans="1:4" x14ac:dyDescent="0.25">
      <c r="A1175" s="27"/>
      <c r="B1175" s="27"/>
      <c r="C1175" s="27"/>
      <c r="D1175" s="26"/>
    </row>
    <row r="1176" spans="1:4" x14ac:dyDescent="0.25">
      <c r="A1176" s="27"/>
      <c r="B1176" s="27"/>
      <c r="C1176" s="27"/>
      <c r="D1176" s="26"/>
    </row>
    <row r="1177" spans="1:4" x14ac:dyDescent="0.25">
      <c r="A1177" s="27"/>
      <c r="B1177" s="27"/>
      <c r="C1177" s="27"/>
      <c r="D1177" s="26"/>
    </row>
    <row r="1178" spans="1:4" x14ac:dyDescent="0.25">
      <c r="A1178" s="27"/>
      <c r="B1178" s="27"/>
      <c r="C1178" s="27"/>
      <c r="D1178" s="26"/>
    </row>
    <row r="1179" spans="1:4" x14ac:dyDescent="0.25">
      <c r="A1179" s="27"/>
      <c r="B1179" s="27"/>
      <c r="C1179" s="27"/>
      <c r="D1179" s="26"/>
    </row>
    <row r="1180" spans="1:4" x14ac:dyDescent="0.25">
      <c r="A1180" s="27"/>
      <c r="B1180" s="27"/>
      <c r="C1180" s="27"/>
      <c r="D1180" s="26"/>
    </row>
    <row r="1181" spans="1:4" x14ac:dyDescent="0.25">
      <c r="A1181" s="27"/>
      <c r="B1181" s="27"/>
      <c r="C1181" s="27"/>
      <c r="D1181" s="26"/>
    </row>
    <row r="1182" spans="1:4" x14ac:dyDescent="0.25">
      <c r="A1182" s="27"/>
      <c r="B1182" s="27"/>
      <c r="C1182" s="27"/>
      <c r="D1182" s="26"/>
    </row>
    <row r="1183" spans="1:4" x14ac:dyDescent="0.25">
      <c r="A1183" s="27"/>
      <c r="B1183" s="27"/>
      <c r="C1183" s="27"/>
      <c r="D1183" s="26"/>
    </row>
    <row r="1184" spans="1:4" x14ac:dyDescent="0.25">
      <c r="A1184" s="27"/>
      <c r="B1184" s="27"/>
      <c r="C1184" s="27"/>
      <c r="D1184" s="26"/>
    </row>
    <row r="1185" spans="1:4" x14ac:dyDescent="0.25">
      <c r="A1185" s="27"/>
      <c r="B1185" s="27"/>
      <c r="C1185" s="27"/>
      <c r="D1185" s="26"/>
    </row>
    <row r="1186" spans="1:4" x14ac:dyDescent="0.25">
      <c r="A1186" s="27"/>
      <c r="B1186" s="27"/>
      <c r="C1186" s="27"/>
      <c r="D1186" s="26"/>
    </row>
    <row r="1187" spans="1:4" x14ac:dyDescent="0.25">
      <c r="A1187" s="27"/>
      <c r="B1187" s="27"/>
      <c r="C1187" s="27"/>
      <c r="D1187" s="26"/>
    </row>
    <row r="1188" spans="1:4" x14ac:dyDescent="0.25">
      <c r="A1188" s="27"/>
      <c r="B1188" s="27"/>
      <c r="C1188" s="27"/>
      <c r="D1188" s="26"/>
    </row>
    <row r="1189" spans="1:4" x14ac:dyDescent="0.25">
      <c r="A1189" s="27"/>
      <c r="B1189" s="27"/>
      <c r="C1189" s="27"/>
      <c r="D1189" s="26"/>
    </row>
    <row r="1190" spans="1:4" x14ac:dyDescent="0.25">
      <c r="A1190" s="27"/>
      <c r="B1190" s="27"/>
      <c r="C1190" s="27"/>
      <c r="D1190" s="26"/>
    </row>
    <row r="1191" spans="1:4" x14ac:dyDescent="0.25">
      <c r="A1191" s="27"/>
      <c r="B1191" s="27"/>
      <c r="C1191" s="27"/>
      <c r="D1191" s="26"/>
    </row>
    <row r="1192" spans="1:4" x14ac:dyDescent="0.25">
      <c r="A1192" s="27"/>
      <c r="B1192" s="27"/>
      <c r="C1192" s="27"/>
      <c r="D1192" s="26"/>
    </row>
    <row r="1193" spans="1:4" x14ac:dyDescent="0.25">
      <c r="A1193" s="27"/>
      <c r="B1193" s="27"/>
      <c r="C1193" s="27"/>
      <c r="D1193" s="26"/>
    </row>
    <row r="1194" spans="1:4" x14ac:dyDescent="0.25">
      <c r="A1194" s="27"/>
      <c r="B1194" s="27"/>
      <c r="C1194" s="27"/>
      <c r="D1194" s="26"/>
    </row>
    <row r="1195" spans="1:4" x14ac:dyDescent="0.25">
      <c r="A1195" s="27"/>
      <c r="B1195" s="27"/>
      <c r="C1195" s="27"/>
      <c r="D1195" s="26"/>
    </row>
    <row r="1196" spans="1:4" x14ac:dyDescent="0.25">
      <c r="A1196" s="27"/>
      <c r="B1196" s="27"/>
      <c r="C1196" s="27"/>
      <c r="D1196" s="26"/>
    </row>
    <row r="1197" spans="1:4" x14ac:dyDescent="0.25">
      <c r="A1197" s="27"/>
      <c r="B1197" s="27"/>
      <c r="C1197" s="27"/>
      <c r="D1197" s="26"/>
    </row>
    <row r="1198" spans="1:4" x14ac:dyDescent="0.25">
      <c r="A1198" s="27"/>
      <c r="B1198" s="27"/>
      <c r="C1198" s="27"/>
      <c r="D1198" s="26"/>
    </row>
    <row r="1199" spans="1:4" x14ac:dyDescent="0.25">
      <c r="A1199" s="27"/>
      <c r="B1199" s="27"/>
      <c r="C1199" s="27"/>
      <c r="D1199" s="26"/>
    </row>
    <row r="1200" spans="1:4" x14ac:dyDescent="0.25">
      <c r="A1200" s="27"/>
      <c r="B1200" s="27"/>
      <c r="C1200" s="27"/>
      <c r="D1200" s="26"/>
    </row>
    <row r="1201" spans="1:4" x14ac:dyDescent="0.25">
      <c r="A1201" s="27"/>
      <c r="B1201" s="27"/>
      <c r="C1201" s="27"/>
      <c r="D1201" s="26"/>
    </row>
    <row r="1202" spans="1:4" x14ac:dyDescent="0.25">
      <c r="A1202" s="27"/>
      <c r="B1202" s="27"/>
      <c r="C1202" s="27"/>
      <c r="D1202" s="26"/>
    </row>
    <row r="1203" spans="1:4" x14ac:dyDescent="0.25">
      <c r="A1203" s="27"/>
      <c r="B1203" s="27"/>
      <c r="C1203" s="27"/>
      <c r="D1203" s="26"/>
    </row>
    <row r="1204" spans="1:4" x14ac:dyDescent="0.25">
      <c r="A1204" s="27"/>
      <c r="B1204" s="27"/>
      <c r="C1204" s="27"/>
      <c r="D1204" s="26"/>
    </row>
    <row r="1205" spans="1:4" x14ac:dyDescent="0.25">
      <c r="A1205" s="27"/>
      <c r="B1205" s="27"/>
      <c r="C1205" s="27"/>
      <c r="D1205" s="26"/>
    </row>
    <row r="1206" spans="1:4" x14ac:dyDescent="0.25">
      <c r="A1206" s="27"/>
      <c r="B1206" s="27"/>
      <c r="C1206" s="27"/>
      <c r="D1206" s="26"/>
    </row>
    <row r="1207" spans="1:4" x14ac:dyDescent="0.25">
      <c r="A1207" s="27"/>
      <c r="B1207" s="27"/>
      <c r="C1207" s="27"/>
      <c r="D1207" s="26"/>
    </row>
    <row r="1208" spans="1:4" x14ac:dyDescent="0.25">
      <c r="A1208" s="27"/>
      <c r="B1208" s="27"/>
      <c r="C1208" s="27"/>
      <c r="D1208" s="26"/>
    </row>
    <row r="1209" spans="1:4" x14ac:dyDescent="0.25">
      <c r="A1209" s="27"/>
      <c r="B1209" s="27"/>
      <c r="C1209" s="27"/>
      <c r="D1209" s="26"/>
    </row>
    <row r="1210" spans="1:4" x14ac:dyDescent="0.25">
      <c r="A1210" s="27"/>
      <c r="B1210" s="27"/>
      <c r="C1210" s="27"/>
      <c r="D1210" s="26"/>
    </row>
    <row r="1211" spans="1:4" x14ac:dyDescent="0.25">
      <c r="A1211" s="27"/>
      <c r="B1211" s="27"/>
      <c r="C1211" s="27"/>
      <c r="D1211" s="26"/>
    </row>
    <row r="1212" spans="1:4" x14ac:dyDescent="0.25">
      <c r="A1212" s="27"/>
      <c r="B1212" s="27"/>
      <c r="C1212" s="27"/>
      <c r="D1212" s="26"/>
    </row>
    <row r="1213" spans="1:4" x14ac:dyDescent="0.25">
      <c r="A1213" s="27"/>
      <c r="B1213" s="27"/>
      <c r="C1213" s="27"/>
      <c r="D1213" s="26"/>
    </row>
    <row r="1214" spans="1:4" x14ac:dyDescent="0.25">
      <c r="A1214" s="27"/>
      <c r="B1214" s="27"/>
      <c r="C1214" s="27"/>
      <c r="D1214" s="26"/>
    </row>
    <row r="1215" spans="1:4" x14ac:dyDescent="0.25">
      <c r="A1215" s="27"/>
      <c r="B1215" s="27"/>
      <c r="C1215" s="27"/>
      <c r="D1215" s="26"/>
    </row>
    <row r="1216" spans="1:4" x14ac:dyDescent="0.25">
      <c r="A1216" s="27"/>
      <c r="B1216" s="27"/>
      <c r="C1216" s="27"/>
      <c r="D1216" s="26"/>
    </row>
    <row r="1217" spans="1:4" x14ac:dyDescent="0.25">
      <c r="A1217" s="27"/>
      <c r="B1217" s="27"/>
      <c r="C1217" s="27"/>
      <c r="D1217" s="26"/>
    </row>
    <row r="1218" spans="1:4" x14ac:dyDescent="0.25">
      <c r="A1218" s="27"/>
      <c r="B1218" s="27"/>
      <c r="C1218" s="27"/>
      <c r="D1218" s="26"/>
    </row>
    <row r="1219" spans="1:4" x14ac:dyDescent="0.25">
      <c r="A1219" s="27"/>
      <c r="B1219" s="27"/>
      <c r="C1219" s="27"/>
      <c r="D1219" s="26"/>
    </row>
    <row r="1220" spans="1:4" x14ac:dyDescent="0.25">
      <c r="A1220" s="27"/>
      <c r="B1220" s="27"/>
      <c r="C1220" s="27"/>
      <c r="D1220" s="26"/>
    </row>
    <row r="1221" spans="1:4" x14ac:dyDescent="0.25">
      <c r="A1221" s="27"/>
      <c r="B1221" s="27"/>
      <c r="C1221" s="27"/>
      <c r="D1221" s="26"/>
    </row>
    <row r="1222" spans="1:4" x14ac:dyDescent="0.25">
      <c r="A1222" s="27"/>
      <c r="B1222" s="27"/>
      <c r="C1222" s="27"/>
      <c r="D1222" s="26"/>
    </row>
    <row r="1223" spans="1:4" x14ac:dyDescent="0.25">
      <c r="A1223" s="27"/>
      <c r="B1223" s="27"/>
      <c r="C1223" s="27"/>
      <c r="D1223" s="26"/>
    </row>
    <row r="1224" spans="1:4" x14ac:dyDescent="0.25">
      <c r="A1224" s="27"/>
      <c r="B1224" s="27"/>
      <c r="C1224" s="27"/>
      <c r="D1224" s="26"/>
    </row>
    <row r="1225" spans="1:4" x14ac:dyDescent="0.25">
      <c r="A1225" s="27"/>
      <c r="B1225" s="27"/>
      <c r="C1225" s="27"/>
      <c r="D1225" s="26"/>
    </row>
    <row r="1226" spans="1:4" x14ac:dyDescent="0.25">
      <c r="A1226" s="27"/>
      <c r="B1226" s="27"/>
      <c r="C1226" s="27"/>
      <c r="D1226" s="26"/>
    </row>
    <row r="1227" spans="1:4" x14ac:dyDescent="0.25">
      <c r="A1227" s="27"/>
      <c r="B1227" s="27"/>
      <c r="C1227" s="27"/>
      <c r="D1227" s="26"/>
    </row>
    <row r="1228" spans="1:4" x14ac:dyDescent="0.25">
      <c r="A1228" s="27"/>
      <c r="B1228" s="27"/>
      <c r="C1228" s="27"/>
      <c r="D1228" s="26"/>
    </row>
    <row r="1229" spans="1:4" x14ac:dyDescent="0.25">
      <c r="A1229" s="27"/>
      <c r="B1229" s="27"/>
      <c r="C1229" s="27"/>
      <c r="D1229" s="26"/>
    </row>
    <row r="1230" spans="1:4" x14ac:dyDescent="0.25">
      <c r="A1230" s="27"/>
      <c r="B1230" s="27"/>
      <c r="C1230" s="27"/>
      <c r="D1230" s="26"/>
    </row>
    <row r="1231" spans="1:4" x14ac:dyDescent="0.25">
      <c r="A1231" s="27"/>
      <c r="B1231" s="27"/>
      <c r="C1231" s="27"/>
      <c r="D1231" s="26"/>
    </row>
    <row r="1232" spans="1:4" x14ac:dyDescent="0.25">
      <c r="A1232" s="27"/>
      <c r="B1232" s="27"/>
      <c r="C1232" s="27"/>
      <c r="D1232" s="26"/>
    </row>
    <row r="1233" spans="1:4" x14ac:dyDescent="0.25">
      <c r="A1233" s="27"/>
      <c r="B1233" s="27"/>
      <c r="C1233" s="27"/>
      <c r="D1233" s="26"/>
    </row>
    <row r="1234" spans="1:4" x14ac:dyDescent="0.25">
      <c r="A1234" s="27"/>
      <c r="B1234" s="27"/>
      <c r="C1234" s="27"/>
      <c r="D1234" s="26"/>
    </row>
    <row r="1235" spans="1:4" x14ac:dyDescent="0.25">
      <c r="A1235" s="27"/>
      <c r="B1235" s="27"/>
      <c r="C1235" s="27"/>
      <c r="D1235" s="26"/>
    </row>
    <row r="1236" spans="1:4" x14ac:dyDescent="0.25">
      <c r="A1236" s="27"/>
      <c r="B1236" s="27"/>
      <c r="C1236" s="27"/>
      <c r="D1236" s="26"/>
    </row>
    <row r="1237" spans="1:4" x14ac:dyDescent="0.25">
      <c r="A1237" s="27"/>
      <c r="B1237" s="27"/>
      <c r="C1237" s="27"/>
      <c r="D1237" s="26"/>
    </row>
    <row r="1238" spans="1:4" x14ac:dyDescent="0.25">
      <c r="A1238" s="27"/>
      <c r="B1238" s="27"/>
      <c r="C1238" s="27"/>
      <c r="D1238" s="26"/>
    </row>
    <row r="1239" spans="1:4" x14ac:dyDescent="0.25">
      <c r="A1239" s="27"/>
      <c r="B1239" s="27"/>
      <c r="C1239" s="27"/>
      <c r="D1239" s="26"/>
    </row>
    <row r="1240" spans="1:4" x14ac:dyDescent="0.25">
      <c r="A1240" s="27"/>
      <c r="B1240" s="27"/>
      <c r="C1240" s="27"/>
      <c r="D1240" s="26"/>
    </row>
    <row r="1241" spans="1:4" x14ac:dyDescent="0.25">
      <c r="A1241" s="27"/>
      <c r="B1241" s="27"/>
      <c r="C1241" s="27"/>
      <c r="D1241" s="26"/>
    </row>
    <row r="1242" spans="1:4" x14ac:dyDescent="0.25">
      <c r="A1242" s="27"/>
      <c r="B1242" s="27"/>
      <c r="C1242" s="27"/>
      <c r="D1242" s="26"/>
    </row>
    <row r="1243" spans="1:4" x14ac:dyDescent="0.25">
      <c r="A1243" s="27"/>
      <c r="B1243" s="27"/>
      <c r="C1243" s="27"/>
      <c r="D1243" s="26"/>
    </row>
    <row r="1244" spans="1:4" x14ac:dyDescent="0.25">
      <c r="A1244" s="27"/>
      <c r="B1244" s="27"/>
      <c r="C1244" s="27"/>
      <c r="D1244" s="26"/>
    </row>
    <row r="1245" spans="1:4" x14ac:dyDescent="0.25">
      <c r="A1245" s="27"/>
      <c r="B1245" s="27"/>
      <c r="C1245" s="27"/>
      <c r="D1245" s="26"/>
    </row>
    <row r="1246" spans="1:4" x14ac:dyDescent="0.25">
      <c r="A1246" s="27"/>
      <c r="B1246" s="27"/>
      <c r="C1246" s="27"/>
      <c r="D1246" s="26"/>
    </row>
    <row r="1247" spans="1:4" x14ac:dyDescent="0.25">
      <c r="A1247" s="27"/>
      <c r="B1247" s="27"/>
      <c r="C1247" s="27"/>
      <c r="D1247" s="26"/>
    </row>
    <row r="1248" spans="1:4" x14ac:dyDescent="0.25">
      <c r="A1248" s="27"/>
      <c r="B1248" s="27"/>
      <c r="C1248" s="27"/>
      <c r="D1248" s="26"/>
    </row>
    <row r="1249" spans="1:4" x14ac:dyDescent="0.25">
      <c r="A1249" s="27"/>
      <c r="B1249" s="27"/>
      <c r="C1249" s="27"/>
      <c r="D1249" s="26"/>
    </row>
    <row r="1250" spans="1:4" x14ac:dyDescent="0.25">
      <c r="A1250" s="27"/>
      <c r="B1250" s="27"/>
      <c r="C1250" s="27"/>
      <c r="D1250" s="26"/>
    </row>
    <row r="1251" spans="1:4" x14ac:dyDescent="0.25">
      <c r="A1251" s="27"/>
      <c r="B1251" s="27"/>
      <c r="C1251" s="27"/>
      <c r="D1251" s="26"/>
    </row>
    <row r="1252" spans="1:4" x14ac:dyDescent="0.25">
      <c r="A1252" s="27"/>
      <c r="B1252" s="27"/>
      <c r="C1252" s="27"/>
      <c r="D1252" s="26"/>
    </row>
    <row r="1253" spans="1:4" x14ac:dyDescent="0.25">
      <c r="A1253" s="27"/>
      <c r="B1253" s="27"/>
      <c r="C1253" s="27"/>
      <c r="D1253" s="26"/>
    </row>
    <row r="1254" spans="1:4" x14ac:dyDescent="0.25">
      <c r="A1254" s="27"/>
      <c r="B1254" s="27"/>
      <c r="C1254" s="27"/>
      <c r="D1254" s="26"/>
    </row>
    <row r="1255" spans="1:4" x14ac:dyDescent="0.25">
      <c r="A1255" s="27"/>
      <c r="B1255" s="27"/>
      <c r="C1255" s="27"/>
      <c r="D1255" s="26"/>
    </row>
    <row r="1256" spans="1:4" x14ac:dyDescent="0.25">
      <c r="A1256" s="27"/>
      <c r="B1256" s="27"/>
      <c r="C1256" s="27"/>
      <c r="D1256" s="26"/>
    </row>
    <row r="1257" spans="1:4" x14ac:dyDescent="0.25">
      <c r="A1257" s="27"/>
      <c r="B1257" s="27"/>
      <c r="C1257" s="27"/>
      <c r="D1257" s="26"/>
    </row>
    <row r="1258" spans="1:4" x14ac:dyDescent="0.25">
      <c r="A1258" s="27"/>
      <c r="B1258" s="27"/>
      <c r="C1258" s="27"/>
      <c r="D1258" s="26"/>
    </row>
    <row r="1259" spans="1:4" x14ac:dyDescent="0.25">
      <c r="A1259" s="27"/>
      <c r="B1259" s="27"/>
      <c r="C1259" s="27"/>
      <c r="D1259" s="26"/>
    </row>
    <row r="1260" spans="1:4" x14ac:dyDescent="0.25">
      <c r="A1260" s="27"/>
      <c r="B1260" s="27"/>
      <c r="C1260" s="27"/>
      <c r="D1260" s="26"/>
    </row>
    <row r="1261" spans="1:4" x14ac:dyDescent="0.25">
      <c r="A1261" s="27"/>
      <c r="B1261" s="27"/>
      <c r="C1261" s="27"/>
      <c r="D1261" s="26"/>
    </row>
    <row r="1262" spans="1:4" x14ac:dyDescent="0.25">
      <c r="A1262" s="27"/>
      <c r="B1262" s="27"/>
      <c r="C1262" s="27"/>
      <c r="D1262" s="26"/>
    </row>
    <row r="1263" spans="1:4" x14ac:dyDescent="0.25">
      <c r="A1263" s="27"/>
      <c r="B1263" s="27"/>
      <c r="C1263" s="27"/>
      <c r="D1263" s="26"/>
    </row>
    <row r="1264" spans="1:4" x14ac:dyDescent="0.25">
      <c r="A1264" s="27"/>
      <c r="B1264" s="27"/>
      <c r="C1264" s="27"/>
      <c r="D1264" s="26"/>
    </row>
    <row r="1265" spans="1:4" x14ac:dyDescent="0.25">
      <c r="A1265" s="27"/>
      <c r="B1265" s="27"/>
      <c r="C1265" s="27"/>
      <c r="D1265" s="26"/>
    </row>
    <row r="1266" spans="1:4" x14ac:dyDescent="0.25">
      <c r="A1266" s="27"/>
      <c r="B1266" s="27"/>
      <c r="C1266" s="27"/>
      <c r="D1266" s="26"/>
    </row>
    <row r="1267" spans="1:4" x14ac:dyDescent="0.25">
      <c r="A1267" s="27"/>
      <c r="B1267" s="27"/>
      <c r="C1267" s="27"/>
      <c r="D1267" s="26"/>
    </row>
    <row r="1268" spans="1:4" x14ac:dyDescent="0.25">
      <c r="A1268" s="27"/>
      <c r="B1268" s="27"/>
      <c r="C1268" s="27"/>
      <c r="D1268" s="26"/>
    </row>
    <row r="1269" spans="1:4" x14ac:dyDescent="0.25">
      <c r="A1269" s="27"/>
      <c r="B1269" s="27"/>
      <c r="C1269" s="27"/>
      <c r="D1269" s="26"/>
    </row>
    <row r="1270" spans="1:4" x14ac:dyDescent="0.25">
      <c r="A1270" s="27"/>
      <c r="B1270" s="27"/>
      <c r="C1270" s="27"/>
      <c r="D1270" s="26"/>
    </row>
    <row r="1271" spans="1:4" x14ac:dyDescent="0.25">
      <c r="A1271" s="27"/>
      <c r="B1271" s="27"/>
      <c r="C1271" s="27"/>
      <c r="D1271" s="26"/>
    </row>
    <row r="1272" spans="1:4" x14ac:dyDescent="0.25">
      <c r="A1272" s="27"/>
      <c r="B1272" s="27"/>
      <c r="C1272" s="27"/>
      <c r="D1272" s="26"/>
    </row>
    <row r="1273" spans="1:4" x14ac:dyDescent="0.25">
      <c r="A1273" s="27"/>
      <c r="B1273" s="27"/>
      <c r="C1273" s="27"/>
      <c r="D1273" s="26"/>
    </row>
    <row r="1274" spans="1:4" x14ac:dyDescent="0.25">
      <c r="A1274" s="27"/>
      <c r="B1274" s="27"/>
      <c r="C1274" s="27"/>
      <c r="D1274" s="26"/>
    </row>
    <row r="1275" spans="1:4" x14ac:dyDescent="0.25">
      <c r="A1275" s="27"/>
      <c r="B1275" s="27"/>
      <c r="C1275" s="27"/>
      <c r="D1275" s="26"/>
    </row>
    <row r="1276" spans="1:4" x14ac:dyDescent="0.25">
      <c r="A1276" s="27"/>
      <c r="B1276" s="27"/>
      <c r="C1276" s="27"/>
      <c r="D1276" s="26"/>
    </row>
    <row r="1277" spans="1:4" x14ac:dyDescent="0.25">
      <c r="A1277" s="27"/>
      <c r="B1277" s="27"/>
      <c r="C1277" s="27"/>
      <c r="D1277" s="26"/>
    </row>
    <row r="1278" spans="1:4" x14ac:dyDescent="0.25">
      <c r="A1278" s="27"/>
      <c r="B1278" s="27"/>
      <c r="C1278" s="27"/>
      <c r="D1278" s="26"/>
    </row>
    <row r="1279" spans="1:4" x14ac:dyDescent="0.25">
      <c r="A1279" s="27"/>
      <c r="B1279" s="27"/>
      <c r="C1279" s="27"/>
      <c r="D1279" s="26"/>
    </row>
    <row r="1280" spans="1:4" x14ac:dyDescent="0.25">
      <c r="A1280" s="27"/>
      <c r="B1280" s="27"/>
      <c r="C1280" s="27"/>
      <c r="D1280" s="26"/>
    </row>
    <row r="1281" spans="1:4" x14ac:dyDescent="0.25">
      <c r="A1281" s="27"/>
      <c r="B1281" s="27"/>
      <c r="C1281" s="27"/>
      <c r="D1281" s="26"/>
    </row>
    <row r="1282" spans="1:4" x14ac:dyDescent="0.25">
      <c r="A1282" s="27"/>
      <c r="B1282" s="27"/>
      <c r="C1282" s="27"/>
      <c r="D1282" s="26"/>
    </row>
    <row r="1283" spans="1:4" x14ac:dyDescent="0.25">
      <c r="A1283" s="27"/>
      <c r="B1283" s="27"/>
      <c r="C1283" s="27"/>
      <c r="D1283" s="26"/>
    </row>
    <row r="1284" spans="1:4" x14ac:dyDescent="0.25">
      <c r="A1284" s="27"/>
      <c r="B1284" s="27"/>
      <c r="C1284" s="27"/>
      <c r="D1284" s="26"/>
    </row>
    <row r="1285" spans="1:4" x14ac:dyDescent="0.25">
      <c r="A1285" s="27"/>
      <c r="B1285" s="27"/>
      <c r="C1285" s="27"/>
      <c r="D1285" s="26"/>
    </row>
    <row r="1286" spans="1:4" x14ac:dyDescent="0.25">
      <c r="A1286" s="27"/>
      <c r="B1286" s="27"/>
      <c r="C1286" s="27"/>
      <c r="D1286" s="26"/>
    </row>
    <row r="1287" spans="1:4" x14ac:dyDescent="0.25">
      <c r="A1287" s="27"/>
      <c r="B1287" s="27"/>
      <c r="C1287" s="27"/>
      <c r="D1287" s="26"/>
    </row>
    <row r="1288" spans="1:4" x14ac:dyDescent="0.25">
      <c r="A1288" s="27"/>
      <c r="B1288" s="27"/>
      <c r="C1288" s="27"/>
      <c r="D1288" s="26"/>
    </row>
    <row r="1289" spans="1:4" x14ac:dyDescent="0.25">
      <c r="A1289" s="27"/>
      <c r="B1289" s="27"/>
      <c r="C1289" s="27"/>
      <c r="D1289" s="26"/>
    </row>
    <row r="1290" spans="1:4" x14ac:dyDescent="0.25">
      <c r="A1290" s="27"/>
      <c r="B1290" s="27"/>
      <c r="C1290" s="27"/>
      <c r="D1290" s="26"/>
    </row>
    <row r="1291" spans="1:4" x14ac:dyDescent="0.25">
      <c r="A1291" s="27"/>
      <c r="B1291" s="27"/>
      <c r="C1291" s="27"/>
      <c r="D1291" s="26"/>
    </row>
    <row r="1292" spans="1:4" x14ac:dyDescent="0.25">
      <c r="A1292" s="27"/>
      <c r="B1292" s="27"/>
      <c r="C1292" s="27"/>
      <c r="D1292" s="26"/>
    </row>
    <row r="1293" spans="1:4" x14ac:dyDescent="0.25">
      <c r="A1293" s="27"/>
      <c r="B1293" s="27"/>
      <c r="C1293" s="27"/>
      <c r="D1293" s="26"/>
    </row>
    <row r="1294" spans="1:4" x14ac:dyDescent="0.25">
      <c r="A1294" s="27"/>
      <c r="B1294" s="27"/>
      <c r="C1294" s="27"/>
      <c r="D1294" s="26"/>
    </row>
    <row r="1295" spans="1:4" x14ac:dyDescent="0.25">
      <c r="A1295" s="27"/>
      <c r="B1295" s="27"/>
      <c r="C1295" s="27"/>
      <c r="D1295" s="26"/>
    </row>
    <row r="1296" spans="1:4" x14ac:dyDescent="0.25">
      <c r="A1296" s="27"/>
      <c r="B1296" s="27"/>
      <c r="C1296" s="27"/>
      <c r="D1296" s="26"/>
    </row>
    <row r="1297" spans="1:4" x14ac:dyDescent="0.25">
      <c r="A1297" s="27"/>
      <c r="B1297" s="27"/>
      <c r="C1297" s="27"/>
      <c r="D1297" s="26"/>
    </row>
    <row r="1298" spans="1:4" x14ac:dyDescent="0.25">
      <c r="A1298" s="27"/>
      <c r="B1298" s="27"/>
      <c r="C1298" s="27"/>
      <c r="D1298" s="26"/>
    </row>
    <row r="1299" spans="1:4" x14ac:dyDescent="0.25">
      <c r="A1299" s="27"/>
      <c r="B1299" s="27"/>
      <c r="C1299" s="27"/>
      <c r="D1299" s="26"/>
    </row>
    <row r="1300" spans="1:4" x14ac:dyDescent="0.25">
      <c r="A1300" s="27"/>
      <c r="B1300" s="27"/>
      <c r="C1300" s="27"/>
      <c r="D1300" s="26"/>
    </row>
    <row r="1301" spans="1:4" x14ac:dyDescent="0.25">
      <c r="A1301" s="27"/>
      <c r="B1301" s="27"/>
      <c r="C1301" s="27"/>
      <c r="D1301" s="26"/>
    </row>
    <row r="1302" spans="1:4" x14ac:dyDescent="0.25">
      <c r="A1302" s="27"/>
      <c r="B1302" s="27"/>
      <c r="C1302" s="27"/>
      <c r="D1302" s="26"/>
    </row>
    <row r="1303" spans="1:4" x14ac:dyDescent="0.25">
      <c r="A1303" s="27"/>
      <c r="B1303" s="27"/>
      <c r="C1303" s="27"/>
      <c r="D1303" s="26"/>
    </row>
    <row r="1304" spans="1:4" x14ac:dyDescent="0.25">
      <c r="A1304" s="27"/>
      <c r="B1304" s="27"/>
      <c r="C1304" s="27"/>
      <c r="D1304" s="26"/>
    </row>
    <row r="1305" spans="1:4" x14ac:dyDescent="0.25">
      <c r="A1305" s="27"/>
      <c r="B1305" s="27"/>
      <c r="C1305" s="27"/>
      <c r="D1305" s="26"/>
    </row>
    <row r="1306" spans="1:4" x14ac:dyDescent="0.25">
      <c r="A1306" s="27"/>
      <c r="B1306" s="27"/>
      <c r="C1306" s="27"/>
      <c r="D1306" s="26"/>
    </row>
    <row r="1307" spans="1:4" x14ac:dyDescent="0.25">
      <c r="A1307" s="27"/>
      <c r="B1307" s="27"/>
      <c r="C1307" s="27"/>
      <c r="D1307" s="26"/>
    </row>
    <row r="1308" spans="1:4" x14ac:dyDescent="0.25">
      <c r="A1308" s="27"/>
      <c r="B1308" s="27"/>
      <c r="C1308" s="27"/>
      <c r="D1308" s="26"/>
    </row>
    <row r="1309" spans="1:4" x14ac:dyDescent="0.25">
      <c r="A1309" s="27"/>
      <c r="B1309" s="27"/>
      <c r="C1309" s="27"/>
      <c r="D1309" s="26"/>
    </row>
    <row r="1310" spans="1:4" x14ac:dyDescent="0.25">
      <c r="A1310" s="27"/>
      <c r="B1310" s="27"/>
      <c r="C1310" s="27"/>
      <c r="D1310" s="26"/>
    </row>
    <row r="1311" spans="1:4" x14ac:dyDescent="0.25">
      <c r="A1311" s="27"/>
      <c r="B1311" s="27"/>
      <c r="C1311" s="27"/>
      <c r="D1311" s="26"/>
    </row>
    <row r="1312" spans="1:4" x14ac:dyDescent="0.25">
      <c r="A1312" s="27"/>
      <c r="B1312" s="27"/>
      <c r="C1312" s="27"/>
      <c r="D1312" s="26"/>
    </row>
    <row r="1313" spans="1:4" x14ac:dyDescent="0.25">
      <c r="A1313" s="27"/>
      <c r="B1313" s="27"/>
      <c r="C1313" s="27"/>
      <c r="D1313" s="26"/>
    </row>
    <row r="1314" spans="1:4" x14ac:dyDescent="0.25">
      <c r="A1314" s="27"/>
      <c r="B1314" s="27"/>
      <c r="C1314" s="27"/>
      <c r="D1314" s="26"/>
    </row>
    <row r="1315" spans="1:4" x14ac:dyDescent="0.25">
      <c r="A1315" s="27"/>
      <c r="B1315" s="27"/>
      <c r="C1315" s="27"/>
      <c r="D1315" s="26"/>
    </row>
    <row r="1316" spans="1:4" x14ac:dyDescent="0.25">
      <c r="A1316" s="27"/>
      <c r="B1316" s="27"/>
      <c r="C1316" s="27"/>
      <c r="D1316" s="26"/>
    </row>
    <row r="1317" spans="1:4" x14ac:dyDescent="0.25">
      <c r="A1317" s="27"/>
      <c r="B1317" s="27"/>
      <c r="C1317" s="27"/>
      <c r="D1317" s="26"/>
    </row>
    <row r="1318" spans="1:4" x14ac:dyDescent="0.25">
      <c r="A1318" s="27"/>
      <c r="B1318" s="27"/>
      <c r="C1318" s="27"/>
      <c r="D1318" s="26"/>
    </row>
    <row r="1319" spans="1:4" x14ac:dyDescent="0.25">
      <c r="A1319" s="27"/>
      <c r="B1319" s="27"/>
      <c r="C1319" s="27"/>
      <c r="D1319" s="26"/>
    </row>
    <row r="1320" spans="1:4" x14ac:dyDescent="0.25">
      <c r="A1320" s="27"/>
      <c r="B1320" s="27"/>
      <c r="C1320" s="27"/>
      <c r="D1320" s="26"/>
    </row>
    <row r="1321" spans="1:4" x14ac:dyDescent="0.25">
      <c r="A1321" s="27"/>
      <c r="B1321" s="27"/>
      <c r="C1321" s="27"/>
      <c r="D1321" s="26"/>
    </row>
    <row r="1322" spans="1:4" x14ac:dyDescent="0.25">
      <c r="A1322" s="27"/>
      <c r="B1322" s="27"/>
      <c r="C1322" s="27"/>
      <c r="D1322" s="26"/>
    </row>
    <row r="1323" spans="1:4" x14ac:dyDescent="0.25">
      <c r="A1323" s="27"/>
      <c r="B1323" s="27"/>
      <c r="C1323" s="27"/>
      <c r="D1323" s="26"/>
    </row>
    <row r="1324" spans="1:4" x14ac:dyDescent="0.25">
      <c r="A1324" s="27"/>
      <c r="B1324" s="27"/>
      <c r="C1324" s="27"/>
      <c r="D1324" s="26"/>
    </row>
    <row r="1325" spans="1:4" x14ac:dyDescent="0.25">
      <c r="A1325" s="27"/>
      <c r="B1325" s="27"/>
      <c r="C1325" s="27"/>
      <c r="D1325" s="26"/>
    </row>
    <row r="1326" spans="1:4" x14ac:dyDescent="0.25">
      <c r="A1326" s="27"/>
      <c r="B1326" s="27"/>
      <c r="C1326" s="27"/>
      <c r="D1326" s="26"/>
    </row>
    <row r="1327" spans="1:4" x14ac:dyDescent="0.25">
      <c r="A1327" s="27"/>
      <c r="B1327" s="27"/>
      <c r="C1327" s="27"/>
      <c r="D1327" s="26"/>
    </row>
    <row r="1328" spans="1:4" x14ac:dyDescent="0.25">
      <c r="A1328" s="27"/>
      <c r="B1328" s="27"/>
      <c r="C1328" s="27"/>
      <c r="D1328" s="26"/>
    </row>
    <row r="1329" spans="1:4" x14ac:dyDescent="0.25">
      <c r="A1329" s="27"/>
      <c r="B1329" s="27"/>
      <c r="C1329" s="27"/>
      <c r="D1329" s="26"/>
    </row>
    <row r="1330" spans="1:4" x14ac:dyDescent="0.25">
      <c r="A1330" s="27"/>
      <c r="B1330" s="27"/>
      <c r="C1330" s="27"/>
      <c r="D1330" s="26"/>
    </row>
    <row r="1331" spans="1:4" x14ac:dyDescent="0.25">
      <c r="A1331" s="27"/>
      <c r="B1331" s="27"/>
      <c r="C1331" s="27"/>
      <c r="D1331" s="26"/>
    </row>
    <row r="1332" spans="1:4" x14ac:dyDescent="0.25">
      <c r="A1332" s="27"/>
      <c r="B1332" s="27"/>
      <c r="C1332" s="27"/>
      <c r="D1332" s="26"/>
    </row>
    <row r="1333" spans="1:4" x14ac:dyDescent="0.25">
      <c r="A1333" s="27"/>
      <c r="B1333" s="27"/>
      <c r="C1333" s="27"/>
      <c r="D1333" s="26"/>
    </row>
    <row r="1334" spans="1:4" x14ac:dyDescent="0.25">
      <c r="A1334" s="27"/>
      <c r="B1334" s="27"/>
      <c r="C1334" s="27"/>
      <c r="D1334" s="26"/>
    </row>
    <row r="1335" spans="1:4" x14ac:dyDescent="0.25">
      <c r="A1335" s="27"/>
      <c r="B1335" s="27"/>
      <c r="C1335" s="27"/>
      <c r="D1335" s="26"/>
    </row>
    <row r="1336" spans="1:4" x14ac:dyDescent="0.25">
      <c r="A1336" s="27"/>
      <c r="B1336" s="27"/>
      <c r="C1336" s="27"/>
      <c r="D1336" s="26"/>
    </row>
    <row r="1337" spans="1:4" x14ac:dyDescent="0.25">
      <c r="A1337" s="27"/>
      <c r="B1337" s="27"/>
      <c r="C1337" s="27"/>
      <c r="D1337" s="26"/>
    </row>
    <row r="1338" spans="1:4" x14ac:dyDescent="0.25">
      <c r="A1338" s="27"/>
      <c r="B1338" s="27"/>
      <c r="C1338" s="27"/>
      <c r="D1338" s="26"/>
    </row>
    <row r="1339" spans="1:4" x14ac:dyDescent="0.25">
      <c r="A1339" s="27"/>
      <c r="B1339" s="27"/>
      <c r="C1339" s="27"/>
      <c r="D1339" s="26"/>
    </row>
    <row r="1340" spans="1:4" x14ac:dyDescent="0.25">
      <c r="A1340" s="27"/>
      <c r="B1340" s="27"/>
      <c r="C1340" s="27"/>
      <c r="D1340" s="26"/>
    </row>
    <row r="1341" spans="1:4" x14ac:dyDescent="0.25">
      <c r="A1341" s="27"/>
      <c r="B1341" s="27"/>
      <c r="C1341" s="27"/>
      <c r="D1341" s="26"/>
    </row>
    <row r="1342" spans="1:4" x14ac:dyDescent="0.25">
      <c r="A1342" s="27"/>
      <c r="B1342" s="27"/>
      <c r="C1342" s="27"/>
      <c r="D1342" s="26"/>
    </row>
    <row r="1343" spans="1:4" x14ac:dyDescent="0.25">
      <c r="A1343" s="27"/>
      <c r="B1343" s="27"/>
      <c r="C1343" s="27"/>
      <c r="D1343" s="26"/>
    </row>
    <row r="1344" spans="1:4" x14ac:dyDescent="0.25">
      <c r="A1344" s="27"/>
      <c r="B1344" s="27"/>
      <c r="C1344" s="27"/>
      <c r="D1344" s="26"/>
    </row>
    <row r="1345" spans="1:4" x14ac:dyDescent="0.25">
      <c r="A1345" s="27"/>
      <c r="B1345" s="27"/>
      <c r="C1345" s="27"/>
      <c r="D1345" s="26"/>
    </row>
    <row r="1346" spans="1:4" x14ac:dyDescent="0.25">
      <c r="A1346" s="27"/>
      <c r="B1346" s="27"/>
      <c r="C1346" s="27"/>
      <c r="D1346" s="26"/>
    </row>
    <row r="1347" spans="1:4" x14ac:dyDescent="0.25">
      <c r="A1347" s="27"/>
      <c r="B1347" s="27"/>
      <c r="C1347" s="27"/>
      <c r="D1347" s="26"/>
    </row>
    <row r="1348" spans="1:4" x14ac:dyDescent="0.25">
      <c r="A1348" s="27"/>
      <c r="B1348" s="27"/>
      <c r="C1348" s="27"/>
      <c r="D1348" s="26"/>
    </row>
    <row r="1349" spans="1:4" x14ac:dyDescent="0.25">
      <c r="A1349" s="27"/>
      <c r="B1349" s="27"/>
      <c r="C1349" s="27"/>
      <c r="D1349" s="26"/>
    </row>
    <row r="1350" spans="1:4" x14ac:dyDescent="0.25">
      <c r="A1350" s="27"/>
      <c r="B1350" s="27"/>
      <c r="C1350" s="27"/>
      <c r="D1350" s="26"/>
    </row>
    <row r="1351" spans="1:4" x14ac:dyDescent="0.25">
      <c r="A1351" s="27"/>
      <c r="B1351" s="27"/>
      <c r="C1351" s="27"/>
      <c r="D1351" s="26"/>
    </row>
    <row r="1352" spans="1:4" x14ac:dyDescent="0.25">
      <c r="A1352" s="27"/>
      <c r="B1352" s="27"/>
      <c r="C1352" s="27"/>
      <c r="D1352" s="26"/>
    </row>
    <row r="1353" spans="1:4" x14ac:dyDescent="0.25">
      <c r="A1353" s="27"/>
      <c r="B1353" s="27"/>
      <c r="C1353" s="27"/>
      <c r="D1353" s="26"/>
    </row>
    <row r="1354" spans="1:4" x14ac:dyDescent="0.25">
      <c r="A1354" s="27"/>
      <c r="B1354" s="27"/>
      <c r="C1354" s="27"/>
      <c r="D1354" s="26"/>
    </row>
    <row r="1355" spans="1:4" x14ac:dyDescent="0.25">
      <c r="A1355" s="27"/>
      <c r="B1355" s="27"/>
      <c r="C1355" s="27"/>
      <c r="D1355" s="26"/>
    </row>
    <row r="1356" spans="1:4" x14ac:dyDescent="0.25">
      <c r="A1356" s="27"/>
      <c r="B1356" s="27"/>
      <c r="C1356" s="27"/>
      <c r="D1356" s="26"/>
    </row>
    <row r="1357" spans="1:4" x14ac:dyDescent="0.25">
      <c r="A1357" s="27"/>
      <c r="B1357" s="27"/>
      <c r="C1357" s="27"/>
      <c r="D1357" s="26"/>
    </row>
    <row r="1358" spans="1:4" x14ac:dyDescent="0.25">
      <c r="A1358" s="27"/>
      <c r="B1358" s="27"/>
      <c r="C1358" s="27"/>
      <c r="D1358" s="26"/>
    </row>
    <row r="1359" spans="1:4" x14ac:dyDescent="0.25">
      <c r="A1359" s="27"/>
      <c r="B1359" s="27"/>
      <c r="C1359" s="27"/>
      <c r="D1359" s="26"/>
    </row>
    <row r="1360" spans="1:4" x14ac:dyDescent="0.25">
      <c r="A1360" s="27"/>
      <c r="B1360" s="27"/>
      <c r="C1360" s="27"/>
      <c r="D1360" s="26"/>
    </row>
    <row r="1361" spans="1:4" x14ac:dyDescent="0.25">
      <c r="A1361" s="27"/>
      <c r="B1361" s="27"/>
      <c r="C1361" s="27"/>
      <c r="D1361" s="26"/>
    </row>
    <row r="1362" spans="1:4" x14ac:dyDescent="0.25">
      <c r="A1362" s="27"/>
      <c r="B1362" s="27"/>
      <c r="C1362" s="27"/>
      <c r="D1362" s="26"/>
    </row>
    <row r="1363" spans="1:4" x14ac:dyDescent="0.25">
      <c r="A1363" s="27"/>
      <c r="B1363" s="27"/>
      <c r="C1363" s="27"/>
      <c r="D1363" s="26"/>
    </row>
    <row r="1364" spans="1:4" x14ac:dyDescent="0.25">
      <c r="A1364" s="27"/>
      <c r="B1364" s="27"/>
      <c r="C1364" s="27"/>
      <c r="D1364" s="26"/>
    </row>
    <row r="1365" spans="1:4" x14ac:dyDescent="0.25">
      <c r="A1365" s="27"/>
      <c r="B1365" s="27"/>
      <c r="C1365" s="27"/>
      <c r="D1365" s="26"/>
    </row>
    <row r="1366" spans="1:4" x14ac:dyDescent="0.25">
      <c r="A1366" s="27"/>
      <c r="B1366" s="27"/>
      <c r="C1366" s="27"/>
      <c r="D1366" s="26"/>
    </row>
    <row r="1367" spans="1:4" x14ac:dyDescent="0.25">
      <c r="A1367" s="27"/>
      <c r="B1367" s="27"/>
      <c r="C1367" s="27"/>
      <c r="D1367" s="26"/>
    </row>
    <row r="1368" spans="1:4" x14ac:dyDescent="0.25">
      <c r="A1368" s="27"/>
      <c r="B1368" s="27"/>
      <c r="C1368" s="27"/>
      <c r="D1368" s="26"/>
    </row>
    <row r="1369" spans="1:4" x14ac:dyDescent="0.25">
      <c r="A1369" s="27"/>
      <c r="B1369" s="27"/>
      <c r="C1369" s="27"/>
      <c r="D1369" s="26"/>
    </row>
    <row r="1370" spans="1:4" x14ac:dyDescent="0.25">
      <c r="A1370" s="27"/>
      <c r="B1370" s="27"/>
      <c r="C1370" s="27"/>
      <c r="D1370" s="26"/>
    </row>
    <row r="1371" spans="1:4" x14ac:dyDescent="0.25">
      <c r="A1371" s="27"/>
      <c r="B1371" s="27"/>
      <c r="C1371" s="27"/>
      <c r="D1371" s="26"/>
    </row>
    <row r="1372" spans="1:4" x14ac:dyDescent="0.25">
      <c r="A1372" s="27"/>
      <c r="B1372" s="27"/>
      <c r="C1372" s="27"/>
      <c r="D1372" s="26"/>
    </row>
    <row r="1373" spans="1:4" x14ac:dyDescent="0.25">
      <c r="A1373" s="27"/>
      <c r="B1373" s="27"/>
      <c r="C1373" s="27"/>
      <c r="D1373" s="26"/>
    </row>
    <row r="1374" spans="1:4" x14ac:dyDescent="0.25">
      <c r="A1374" s="27"/>
      <c r="B1374" s="27"/>
      <c r="C1374" s="27"/>
      <c r="D1374" s="26"/>
    </row>
    <row r="1375" spans="1:4" x14ac:dyDescent="0.25">
      <c r="A1375" s="27"/>
      <c r="B1375" s="27"/>
      <c r="C1375" s="27"/>
      <c r="D1375" s="26"/>
    </row>
    <row r="1376" spans="1:4" x14ac:dyDescent="0.25">
      <c r="A1376" s="27"/>
      <c r="B1376" s="27"/>
      <c r="C1376" s="27"/>
      <c r="D1376" s="26"/>
    </row>
    <row r="1377" spans="1:4" x14ac:dyDescent="0.25">
      <c r="A1377" s="27"/>
      <c r="B1377" s="27"/>
      <c r="C1377" s="27"/>
      <c r="D1377" s="26"/>
    </row>
    <row r="1378" spans="1:4" x14ac:dyDescent="0.25">
      <c r="A1378" s="27"/>
      <c r="B1378" s="27"/>
      <c r="C1378" s="27"/>
      <c r="D1378" s="26"/>
    </row>
    <row r="1379" spans="1:4" x14ac:dyDescent="0.25">
      <c r="A1379" s="27"/>
      <c r="B1379" s="27"/>
      <c r="C1379" s="27"/>
      <c r="D1379" s="26"/>
    </row>
    <row r="1380" spans="1:4" x14ac:dyDescent="0.25">
      <c r="A1380" s="27"/>
      <c r="B1380" s="27"/>
      <c r="C1380" s="27"/>
      <c r="D1380" s="26"/>
    </row>
    <row r="1381" spans="1:4" x14ac:dyDescent="0.25">
      <c r="A1381" s="27"/>
      <c r="B1381" s="27"/>
      <c r="C1381" s="27"/>
      <c r="D1381" s="26"/>
    </row>
    <row r="1382" spans="1:4" x14ac:dyDescent="0.25">
      <c r="A1382" s="27"/>
      <c r="B1382" s="27"/>
      <c r="C1382" s="27"/>
      <c r="D1382" s="26"/>
    </row>
    <row r="1383" spans="1:4" x14ac:dyDescent="0.25">
      <c r="A1383" s="27"/>
      <c r="B1383" s="27"/>
      <c r="C1383" s="27"/>
      <c r="D1383" s="26"/>
    </row>
    <row r="1384" spans="1:4" x14ac:dyDescent="0.25">
      <c r="A1384" s="27"/>
      <c r="B1384" s="27"/>
      <c r="C1384" s="27"/>
      <c r="D1384" s="26"/>
    </row>
    <row r="1385" spans="1:4" x14ac:dyDescent="0.25">
      <c r="A1385" s="27"/>
      <c r="B1385" s="27"/>
      <c r="C1385" s="27"/>
      <c r="D1385" s="26"/>
    </row>
    <row r="1386" spans="1:4" x14ac:dyDescent="0.25">
      <c r="A1386" s="27"/>
      <c r="B1386" s="27"/>
      <c r="C1386" s="27"/>
      <c r="D1386" s="26"/>
    </row>
    <row r="1387" spans="1:4" x14ac:dyDescent="0.25">
      <c r="A1387" s="27"/>
      <c r="B1387" s="27"/>
      <c r="C1387" s="27"/>
      <c r="D1387" s="26"/>
    </row>
    <row r="1388" spans="1:4" x14ac:dyDescent="0.25">
      <c r="A1388" s="27"/>
      <c r="B1388" s="27"/>
      <c r="C1388" s="27"/>
      <c r="D1388" s="26"/>
    </row>
    <row r="1389" spans="1:4" x14ac:dyDescent="0.25">
      <c r="A1389" s="27"/>
      <c r="B1389" s="27"/>
      <c r="C1389" s="27"/>
      <c r="D1389" s="26"/>
    </row>
    <row r="1390" spans="1:4" x14ac:dyDescent="0.25">
      <c r="A1390" s="25"/>
      <c r="B1390" s="25"/>
      <c r="C1390" s="25"/>
      <c r="D1390" s="26"/>
    </row>
    <row r="1391" spans="1:4" x14ac:dyDescent="0.25">
      <c r="A1391" s="25"/>
      <c r="B1391" s="25"/>
      <c r="C1391" s="25"/>
      <c r="D1391" s="26"/>
    </row>
    <row r="1392" spans="1:4" x14ac:dyDescent="0.25">
      <c r="A1392" s="25"/>
      <c r="B1392" s="25"/>
      <c r="C1392" s="25"/>
      <c r="D1392" s="26"/>
    </row>
    <row r="1393" spans="1:4" x14ac:dyDescent="0.25">
      <c r="A1393" s="25"/>
      <c r="B1393" s="25"/>
      <c r="C1393" s="25"/>
      <c r="D1393" s="26"/>
    </row>
    <row r="1394" spans="1:4" x14ac:dyDescent="0.25">
      <c r="A1394" s="25"/>
      <c r="B1394" s="25"/>
      <c r="C1394" s="25"/>
      <c r="D1394" s="26"/>
    </row>
    <row r="1395" spans="1:4" x14ac:dyDescent="0.25">
      <c r="A1395" s="25"/>
      <c r="B1395" s="25"/>
      <c r="C1395" s="25"/>
      <c r="D1395" s="26"/>
    </row>
    <row r="1396" spans="1:4" x14ac:dyDescent="0.25">
      <c r="A1396" s="25"/>
      <c r="B1396" s="25"/>
      <c r="C1396" s="25"/>
      <c r="D1396" s="26"/>
    </row>
    <row r="1397" spans="1:4" x14ac:dyDescent="0.25">
      <c r="A1397" s="25"/>
      <c r="B1397" s="25"/>
      <c r="C1397" s="25"/>
      <c r="D1397" s="26"/>
    </row>
    <row r="1398" spans="1:4" x14ac:dyDescent="0.25">
      <c r="A1398" s="25"/>
      <c r="B1398" s="25"/>
      <c r="C1398" s="25"/>
      <c r="D1398" s="26"/>
    </row>
    <row r="1399" spans="1:4" x14ac:dyDescent="0.25">
      <c r="A1399" s="25"/>
      <c r="B1399" s="25"/>
      <c r="C1399" s="25"/>
      <c r="D1399" s="26"/>
    </row>
    <row r="1400" spans="1:4" x14ac:dyDescent="0.25">
      <c r="A1400" s="25"/>
      <c r="B1400" s="25"/>
      <c r="C1400" s="25"/>
      <c r="D1400" s="26"/>
    </row>
    <row r="1401" spans="1:4" x14ac:dyDescent="0.25">
      <c r="A1401" s="25"/>
      <c r="B1401" s="25"/>
      <c r="C1401" s="25"/>
      <c r="D1401" s="26"/>
    </row>
    <row r="1402" spans="1:4" x14ac:dyDescent="0.25">
      <c r="A1402" s="25"/>
      <c r="B1402" s="25"/>
      <c r="C1402" s="25"/>
      <c r="D1402" s="26"/>
    </row>
    <row r="1403" spans="1:4" x14ac:dyDescent="0.25">
      <c r="A1403" s="25"/>
      <c r="B1403" s="25"/>
      <c r="C1403" s="25"/>
      <c r="D1403" s="26"/>
    </row>
    <row r="1404" spans="1:4" x14ac:dyDescent="0.25">
      <c r="A1404" s="25"/>
      <c r="B1404" s="25"/>
      <c r="C1404" s="25"/>
      <c r="D1404" s="26"/>
    </row>
    <row r="1405" spans="1:4" x14ac:dyDescent="0.25">
      <c r="A1405" s="25"/>
      <c r="B1405" s="25"/>
      <c r="C1405" s="25"/>
      <c r="D1405" s="26"/>
    </row>
    <row r="1406" spans="1:4" x14ac:dyDescent="0.25">
      <c r="A1406" s="25"/>
      <c r="B1406" s="25"/>
      <c r="C1406" s="25"/>
      <c r="D1406" s="26"/>
    </row>
    <row r="1407" spans="1:4" x14ac:dyDescent="0.25">
      <c r="A1407" s="25"/>
      <c r="B1407" s="25"/>
      <c r="C1407" s="25"/>
      <c r="D1407" s="26"/>
    </row>
    <row r="1408" spans="1:4" x14ac:dyDescent="0.25">
      <c r="A1408" s="25"/>
      <c r="B1408" s="25"/>
      <c r="C1408" s="25"/>
      <c r="D1408" s="26"/>
    </row>
    <row r="1409" spans="1:4" x14ac:dyDescent="0.25">
      <c r="A1409" s="25"/>
      <c r="B1409" s="25"/>
      <c r="C1409" s="25"/>
      <c r="D1409" s="26"/>
    </row>
    <row r="1410" spans="1:4" x14ac:dyDescent="0.25">
      <c r="A1410" s="25"/>
      <c r="B1410" s="25"/>
      <c r="C1410" s="25"/>
      <c r="D1410" s="26"/>
    </row>
    <row r="1411" spans="1:4" x14ac:dyDescent="0.25">
      <c r="A1411" s="25"/>
      <c r="B1411" s="25"/>
      <c r="C1411" s="25"/>
      <c r="D1411" s="26"/>
    </row>
    <row r="1412" spans="1:4" x14ac:dyDescent="0.25">
      <c r="A1412" s="25"/>
      <c r="B1412" s="25"/>
      <c r="C1412" s="25"/>
      <c r="D1412" s="26"/>
    </row>
    <row r="1413" spans="1:4" x14ac:dyDescent="0.25">
      <c r="A1413" s="25"/>
      <c r="B1413" s="25"/>
      <c r="C1413" s="25"/>
      <c r="D1413" s="26"/>
    </row>
    <row r="1414" spans="1:4" x14ac:dyDescent="0.25">
      <c r="A1414" s="25"/>
      <c r="B1414" s="25"/>
      <c r="C1414" s="25"/>
      <c r="D1414" s="26"/>
    </row>
    <row r="1415" spans="1:4" x14ac:dyDescent="0.25">
      <c r="A1415" s="25"/>
      <c r="B1415" s="25"/>
      <c r="C1415" s="25"/>
      <c r="D1415" s="26"/>
    </row>
    <row r="1416" spans="1:4" x14ac:dyDescent="0.25">
      <c r="A1416" s="25"/>
      <c r="B1416" s="25"/>
      <c r="C1416" s="25"/>
      <c r="D1416" s="26"/>
    </row>
    <row r="1417" spans="1:4" x14ac:dyDescent="0.25">
      <c r="A1417" s="25"/>
      <c r="B1417" s="25"/>
      <c r="C1417" s="25"/>
      <c r="D1417" s="26"/>
    </row>
    <row r="1418" spans="1:4" x14ac:dyDescent="0.25">
      <c r="A1418" s="25"/>
      <c r="B1418" s="25"/>
      <c r="C1418" s="25"/>
      <c r="D1418" s="26"/>
    </row>
    <row r="1419" spans="1:4" x14ac:dyDescent="0.25">
      <c r="A1419" s="25"/>
      <c r="B1419" s="25"/>
      <c r="C1419" s="25"/>
      <c r="D1419" s="26"/>
    </row>
    <row r="1420" spans="1:4" x14ac:dyDescent="0.25">
      <c r="A1420" s="25"/>
      <c r="B1420" s="25"/>
      <c r="C1420" s="25"/>
      <c r="D1420" s="26"/>
    </row>
    <row r="1421" spans="1:4" x14ac:dyDescent="0.25">
      <c r="A1421" s="25"/>
      <c r="B1421" s="25"/>
      <c r="C1421" s="25"/>
      <c r="D1421" s="26"/>
    </row>
    <row r="1422" spans="1:4" x14ac:dyDescent="0.25">
      <c r="A1422" s="25"/>
      <c r="B1422" s="25"/>
      <c r="C1422" s="25"/>
      <c r="D1422" s="26"/>
    </row>
    <row r="1423" spans="1:4" x14ac:dyDescent="0.25">
      <c r="A1423" s="25"/>
      <c r="B1423" s="25"/>
      <c r="C1423" s="25"/>
      <c r="D1423" s="26"/>
    </row>
    <row r="1424" spans="1:4" x14ac:dyDescent="0.25">
      <c r="A1424" s="25"/>
      <c r="B1424" s="25"/>
      <c r="C1424" s="25"/>
      <c r="D1424" s="26"/>
    </row>
    <row r="1425" spans="1:4" x14ac:dyDescent="0.25">
      <c r="A1425" s="25"/>
      <c r="B1425" s="25"/>
      <c r="C1425" s="25"/>
      <c r="D1425" s="26"/>
    </row>
    <row r="1426" spans="1:4" x14ac:dyDescent="0.25">
      <c r="A1426" s="25"/>
      <c r="B1426" s="25"/>
      <c r="C1426" s="25"/>
      <c r="D1426" s="26"/>
    </row>
    <row r="1427" spans="1:4" x14ac:dyDescent="0.25">
      <c r="A1427" s="25"/>
      <c r="B1427" s="25"/>
      <c r="C1427" s="25"/>
      <c r="D1427" s="26"/>
    </row>
    <row r="1428" spans="1:4" x14ac:dyDescent="0.25">
      <c r="A1428" s="25"/>
      <c r="B1428" s="25"/>
      <c r="C1428" s="25"/>
      <c r="D1428" s="26"/>
    </row>
    <row r="1429" spans="1:4" x14ac:dyDescent="0.25">
      <c r="A1429" s="25"/>
      <c r="B1429" s="25"/>
      <c r="C1429" s="25"/>
      <c r="D1429" s="26"/>
    </row>
    <row r="1430" spans="1:4" x14ac:dyDescent="0.25">
      <c r="A1430" s="25"/>
      <c r="B1430" s="25"/>
      <c r="C1430" s="25"/>
      <c r="D1430" s="26"/>
    </row>
    <row r="1431" spans="1:4" x14ac:dyDescent="0.25">
      <c r="A1431" s="25"/>
      <c r="B1431" s="25"/>
      <c r="C1431" s="25"/>
      <c r="D1431" s="26"/>
    </row>
    <row r="1432" spans="1:4" x14ac:dyDescent="0.25">
      <c r="A1432" s="25"/>
      <c r="B1432" s="25"/>
      <c r="C1432" s="25"/>
      <c r="D1432" s="26"/>
    </row>
    <row r="1433" spans="1:4" x14ac:dyDescent="0.25">
      <c r="A1433" s="25"/>
      <c r="B1433" s="25"/>
      <c r="C1433" s="25"/>
      <c r="D1433" s="26"/>
    </row>
    <row r="1434" spans="1:4" x14ac:dyDescent="0.25">
      <c r="A1434" s="25"/>
      <c r="B1434" s="25"/>
      <c r="C1434" s="25"/>
      <c r="D1434" s="26"/>
    </row>
    <row r="1435" spans="1:4" x14ac:dyDescent="0.25">
      <c r="A1435" s="25"/>
      <c r="B1435" s="25"/>
      <c r="C1435" s="25"/>
      <c r="D1435" s="26"/>
    </row>
    <row r="1436" spans="1:4" x14ac:dyDescent="0.25">
      <c r="A1436" s="25"/>
      <c r="B1436" s="25"/>
      <c r="C1436" s="25"/>
      <c r="D1436" s="26"/>
    </row>
    <row r="1437" spans="1:4" x14ac:dyDescent="0.25">
      <c r="A1437" s="25"/>
      <c r="B1437" s="25"/>
      <c r="C1437" s="25"/>
      <c r="D1437" s="26"/>
    </row>
    <row r="1438" spans="1:4" x14ac:dyDescent="0.25">
      <c r="A1438" s="25"/>
      <c r="B1438" s="25"/>
      <c r="C1438" s="25"/>
      <c r="D1438" s="26"/>
    </row>
    <row r="1439" spans="1:4" x14ac:dyDescent="0.25">
      <c r="A1439" s="25"/>
      <c r="B1439" s="25"/>
      <c r="C1439" s="25"/>
      <c r="D1439" s="26"/>
    </row>
    <row r="1440" spans="1:4" x14ac:dyDescent="0.25">
      <c r="A1440" s="25"/>
      <c r="B1440" s="25"/>
      <c r="C1440" s="25"/>
      <c r="D1440" s="26"/>
    </row>
    <row r="1441" spans="1:4" x14ac:dyDescent="0.25">
      <c r="A1441" s="25"/>
      <c r="B1441" s="25"/>
      <c r="C1441" s="25"/>
      <c r="D1441" s="26"/>
    </row>
    <row r="1442" spans="1:4" x14ac:dyDescent="0.25">
      <c r="A1442" s="25"/>
      <c r="B1442" s="25"/>
      <c r="C1442" s="25"/>
      <c r="D1442" s="26"/>
    </row>
    <row r="1443" spans="1:4" x14ac:dyDescent="0.25">
      <c r="A1443" s="25"/>
      <c r="B1443" s="25"/>
      <c r="C1443" s="25"/>
      <c r="D1443" s="26"/>
    </row>
    <row r="1444" spans="1:4" x14ac:dyDescent="0.25">
      <c r="A1444" s="25"/>
      <c r="B1444" s="25"/>
      <c r="C1444" s="25"/>
      <c r="D1444" s="26"/>
    </row>
    <row r="1445" spans="1:4" x14ac:dyDescent="0.25">
      <c r="A1445" s="25"/>
      <c r="B1445" s="25"/>
      <c r="C1445" s="25"/>
      <c r="D1445" s="26"/>
    </row>
    <row r="1446" spans="1:4" x14ac:dyDescent="0.25">
      <c r="A1446" s="25"/>
      <c r="B1446" s="25"/>
      <c r="C1446" s="25"/>
      <c r="D1446" s="26"/>
    </row>
    <row r="1447" spans="1:4" x14ac:dyDescent="0.25">
      <c r="A1447" s="25"/>
      <c r="B1447" s="25"/>
      <c r="C1447" s="25"/>
      <c r="D1447" s="26"/>
    </row>
    <row r="1448" spans="1:4" x14ac:dyDescent="0.25">
      <c r="A1448" s="25"/>
      <c r="B1448" s="25"/>
      <c r="C1448" s="25"/>
      <c r="D1448" s="26"/>
    </row>
    <row r="1449" spans="1:4" x14ac:dyDescent="0.25">
      <c r="A1449" s="25"/>
      <c r="B1449" s="25"/>
      <c r="C1449" s="25"/>
      <c r="D1449" s="26"/>
    </row>
    <row r="1450" spans="1:4" x14ac:dyDescent="0.25">
      <c r="A1450" s="25"/>
      <c r="B1450" s="25"/>
      <c r="C1450" s="25"/>
      <c r="D1450" s="26"/>
    </row>
    <row r="1451" spans="1:4" x14ac:dyDescent="0.25">
      <c r="A1451" s="25"/>
      <c r="B1451" s="25"/>
      <c r="C1451" s="25"/>
      <c r="D1451" s="26"/>
    </row>
    <row r="1452" spans="1:4" x14ac:dyDescent="0.25">
      <c r="A1452" s="25"/>
      <c r="B1452" s="25"/>
      <c r="C1452" s="25"/>
      <c r="D1452" s="26"/>
    </row>
    <row r="1453" spans="1:4" x14ac:dyDescent="0.25">
      <c r="A1453" s="25"/>
      <c r="B1453" s="25"/>
      <c r="C1453" s="25"/>
      <c r="D1453" s="26"/>
    </row>
    <row r="1454" spans="1:4" x14ac:dyDescent="0.25">
      <c r="A1454" s="25"/>
      <c r="B1454" s="25"/>
      <c r="C1454" s="25"/>
      <c r="D1454" s="26"/>
    </row>
    <row r="1455" spans="1:4" x14ac:dyDescent="0.25">
      <c r="A1455" s="25"/>
      <c r="B1455" s="25"/>
      <c r="C1455" s="25"/>
      <c r="D1455" s="26"/>
    </row>
    <row r="1456" spans="1:4" x14ac:dyDescent="0.25">
      <c r="A1456" s="25"/>
      <c r="B1456" s="25"/>
      <c r="C1456" s="25"/>
      <c r="D1456" s="26"/>
    </row>
    <row r="1457" spans="1:4" x14ac:dyDescent="0.25">
      <c r="A1457" s="25"/>
      <c r="B1457" s="25"/>
      <c r="C1457" s="25"/>
      <c r="D1457" s="26"/>
    </row>
    <row r="1458" spans="1:4" x14ac:dyDescent="0.25">
      <c r="A1458" s="25"/>
      <c r="B1458" s="25"/>
      <c r="C1458" s="25"/>
      <c r="D1458" s="26"/>
    </row>
    <row r="1459" spans="1:4" x14ac:dyDescent="0.25">
      <c r="A1459" s="25"/>
      <c r="B1459" s="25"/>
      <c r="C1459" s="25"/>
      <c r="D1459" s="26"/>
    </row>
    <row r="1460" spans="1:4" x14ac:dyDescent="0.25">
      <c r="A1460" s="25"/>
      <c r="B1460" s="25"/>
      <c r="C1460" s="25"/>
      <c r="D1460" s="26"/>
    </row>
    <row r="1461" spans="1:4" x14ac:dyDescent="0.25">
      <c r="A1461" s="25"/>
      <c r="B1461" s="25"/>
      <c r="C1461" s="25"/>
      <c r="D1461" s="26"/>
    </row>
    <row r="1462" spans="1:4" x14ac:dyDescent="0.25">
      <c r="A1462" s="25"/>
      <c r="B1462" s="25"/>
      <c r="C1462" s="25"/>
      <c r="D1462" s="26"/>
    </row>
    <row r="1463" spans="1:4" x14ac:dyDescent="0.25">
      <c r="A1463" s="25"/>
      <c r="B1463" s="25"/>
      <c r="C1463" s="25"/>
      <c r="D1463" s="26"/>
    </row>
    <row r="1464" spans="1:4" x14ac:dyDescent="0.25">
      <c r="A1464" s="25"/>
      <c r="B1464" s="25"/>
      <c r="C1464" s="25"/>
      <c r="D1464" s="26"/>
    </row>
    <row r="1465" spans="1:4" x14ac:dyDescent="0.25">
      <c r="A1465" s="25"/>
      <c r="B1465" s="25"/>
      <c r="C1465" s="25"/>
      <c r="D1465" s="26"/>
    </row>
    <row r="1466" spans="1:4" x14ac:dyDescent="0.25">
      <c r="A1466" s="25"/>
      <c r="B1466" s="25"/>
      <c r="C1466" s="25"/>
      <c r="D1466" s="26"/>
    </row>
    <row r="1467" spans="1:4" x14ac:dyDescent="0.25">
      <c r="A1467" s="25"/>
      <c r="B1467" s="25"/>
      <c r="C1467" s="25"/>
      <c r="D1467" s="26"/>
    </row>
    <row r="1468" spans="1:4" x14ac:dyDescent="0.25">
      <c r="A1468" s="25"/>
      <c r="B1468" s="25"/>
      <c r="C1468" s="25"/>
      <c r="D1468" s="26"/>
    </row>
    <row r="1469" spans="1:4" x14ac:dyDescent="0.25">
      <c r="A1469" s="25"/>
      <c r="B1469" s="25"/>
      <c r="C1469" s="25"/>
      <c r="D1469" s="26"/>
    </row>
    <row r="1470" spans="1:4" x14ac:dyDescent="0.25">
      <c r="A1470" s="25"/>
      <c r="B1470" s="25"/>
      <c r="C1470" s="25"/>
      <c r="D1470" s="26"/>
    </row>
    <row r="1471" spans="1:4" x14ac:dyDescent="0.25">
      <c r="A1471" s="25"/>
      <c r="B1471" s="25"/>
      <c r="C1471" s="25"/>
      <c r="D1471" s="26"/>
    </row>
    <row r="1472" spans="1:4" x14ac:dyDescent="0.25">
      <c r="A1472" s="25"/>
      <c r="B1472" s="25"/>
      <c r="C1472" s="25"/>
      <c r="D1472" s="26"/>
    </row>
    <row r="1473" spans="1:4" x14ac:dyDescent="0.25">
      <c r="A1473" s="25"/>
      <c r="B1473" s="25"/>
      <c r="C1473" s="25"/>
      <c r="D1473" s="26"/>
    </row>
    <row r="1474" spans="1:4" x14ac:dyDescent="0.25">
      <c r="A1474" s="25"/>
      <c r="B1474" s="25"/>
      <c r="C1474" s="25"/>
      <c r="D1474" s="26"/>
    </row>
    <row r="1475" spans="1:4" x14ac:dyDescent="0.25">
      <c r="A1475" s="25"/>
      <c r="B1475" s="25"/>
      <c r="C1475" s="25"/>
      <c r="D1475" s="26"/>
    </row>
    <row r="1476" spans="1:4" x14ac:dyDescent="0.25">
      <c r="A1476" s="25"/>
      <c r="B1476" s="25"/>
      <c r="C1476" s="25"/>
      <c r="D1476" s="26"/>
    </row>
    <row r="1477" spans="1:4" x14ac:dyDescent="0.25">
      <c r="A1477" s="25"/>
      <c r="B1477" s="25"/>
      <c r="C1477" s="25"/>
      <c r="D1477" s="26"/>
    </row>
    <row r="1478" spans="1:4" x14ac:dyDescent="0.25">
      <c r="A1478" s="25"/>
      <c r="B1478" s="25"/>
      <c r="C1478" s="25"/>
      <c r="D1478" s="26"/>
    </row>
    <row r="1479" spans="1:4" x14ac:dyDescent="0.25">
      <c r="A1479" s="25"/>
      <c r="B1479" s="25"/>
      <c r="C1479" s="25"/>
      <c r="D1479" s="26"/>
    </row>
    <row r="1480" spans="1:4" x14ac:dyDescent="0.25">
      <c r="A1480" s="25"/>
      <c r="B1480" s="25"/>
      <c r="C1480" s="25"/>
      <c r="D1480" s="26"/>
    </row>
    <row r="1481" spans="1:4" x14ac:dyDescent="0.25">
      <c r="A1481" s="25"/>
      <c r="B1481" s="25"/>
      <c r="C1481" s="25"/>
      <c r="D1481" s="26"/>
    </row>
    <row r="1482" spans="1:4" x14ac:dyDescent="0.25">
      <c r="A1482" s="25"/>
      <c r="B1482" s="25"/>
      <c r="C1482" s="25"/>
      <c r="D1482" s="26"/>
    </row>
    <row r="1483" spans="1:4" x14ac:dyDescent="0.25">
      <c r="A1483" s="25"/>
      <c r="B1483" s="25"/>
      <c r="C1483" s="25"/>
      <c r="D1483" s="26"/>
    </row>
    <row r="1484" spans="1:4" x14ac:dyDescent="0.25">
      <c r="A1484" s="25"/>
      <c r="B1484" s="25"/>
      <c r="C1484" s="25"/>
      <c r="D1484" s="26"/>
    </row>
    <row r="1485" spans="1:4" x14ac:dyDescent="0.25">
      <c r="A1485" s="25"/>
      <c r="B1485" s="25"/>
      <c r="C1485" s="25"/>
      <c r="D1485" s="26"/>
    </row>
    <row r="1486" spans="1:4" x14ac:dyDescent="0.25">
      <c r="A1486" s="25"/>
      <c r="B1486" s="25"/>
      <c r="C1486" s="25"/>
      <c r="D1486" s="26"/>
    </row>
    <row r="1487" spans="1:4" x14ac:dyDescent="0.25">
      <c r="A1487" s="25"/>
      <c r="B1487" s="25"/>
      <c r="C1487" s="25"/>
      <c r="D1487" s="26"/>
    </row>
    <row r="1488" spans="1:4" x14ac:dyDescent="0.25">
      <c r="A1488" s="25"/>
      <c r="B1488" s="25"/>
      <c r="C1488" s="25"/>
      <c r="D1488" s="26"/>
    </row>
    <row r="1489" spans="1:4" x14ac:dyDescent="0.25">
      <c r="A1489" s="25"/>
      <c r="B1489" s="25"/>
      <c r="C1489" s="25"/>
      <c r="D1489" s="26"/>
    </row>
    <row r="1490" spans="1:4" x14ac:dyDescent="0.25">
      <c r="A1490" s="25"/>
      <c r="B1490" s="25"/>
      <c r="C1490" s="25"/>
      <c r="D1490" s="26"/>
    </row>
    <row r="1491" spans="1:4" x14ac:dyDescent="0.25">
      <c r="A1491" s="25"/>
      <c r="B1491" s="25"/>
      <c r="C1491" s="25"/>
      <c r="D1491" s="26"/>
    </row>
    <row r="1492" spans="1:4" x14ac:dyDescent="0.25">
      <c r="A1492" s="25"/>
      <c r="B1492" s="25"/>
      <c r="C1492" s="25"/>
      <c r="D1492" s="26"/>
    </row>
    <row r="1493" spans="1:4" x14ac:dyDescent="0.25">
      <c r="A1493" s="25"/>
      <c r="B1493" s="25"/>
      <c r="C1493" s="25"/>
      <c r="D1493" s="26"/>
    </row>
    <row r="1494" spans="1:4" x14ac:dyDescent="0.25">
      <c r="A1494" s="25"/>
      <c r="B1494" s="25"/>
      <c r="C1494" s="25"/>
      <c r="D1494" s="26"/>
    </row>
    <row r="1495" spans="1:4" x14ac:dyDescent="0.25">
      <c r="A1495" s="25"/>
      <c r="B1495" s="25"/>
      <c r="C1495" s="25"/>
      <c r="D1495" s="26"/>
    </row>
    <row r="1496" spans="1:4" x14ac:dyDescent="0.25">
      <c r="A1496" s="25"/>
      <c r="B1496" s="25"/>
      <c r="C1496" s="25"/>
      <c r="D1496" s="26"/>
    </row>
    <row r="1497" spans="1:4" x14ac:dyDescent="0.25">
      <c r="A1497" s="25"/>
      <c r="B1497" s="25"/>
      <c r="C1497" s="25"/>
      <c r="D1497" s="26"/>
    </row>
    <row r="1498" spans="1:4" x14ac:dyDescent="0.25">
      <c r="A1498" s="25"/>
      <c r="B1498" s="25"/>
      <c r="C1498" s="25"/>
      <c r="D1498" s="26"/>
    </row>
    <row r="1499" spans="1:4" x14ac:dyDescent="0.25">
      <c r="A1499" s="25"/>
      <c r="B1499" s="25"/>
      <c r="C1499" s="25"/>
      <c r="D1499" s="26"/>
    </row>
    <row r="1500" spans="1:4" x14ac:dyDescent="0.25">
      <c r="A1500" s="25"/>
      <c r="B1500" s="25"/>
      <c r="C1500" s="25"/>
      <c r="D1500" s="26"/>
    </row>
    <row r="1501" spans="1:4" x14ac:dyDescent="0.25">
      <c r="A1501" s="25"/>
      <c r="B1501" s="25"/>
      <c r="C1501" s="25"/>
      <c r="D1501" s="26"/>
    </row>
    <row r="1502" spans="1:4" x14ac:dyDescent="0.25">
      <c r="A1502" s="25"/>
      <c r="B1502" s="25"/>
      <c r="C1502" s="25"/>
      <c r="D1502" s="26"/>
    </row>
    <row r="1503" spans="1:4" x14ac:dyDescent="0.25">
      <c r="A1503" s="25"/>
      <c r="B1503" s="25"/>
      <c r="C1503" s="25"/>
      <c r="D1503" s="26"/>
    </row>
    <row r="1504" spans="1:4" x14ac:dyDescent="0.25">
      <c r="A1504" s="25"/>
      <c r="B1504" s="25"/>
      <c r="C1504" s="25"/>
      <c r="D1504" s="26"/>
    </row>
    <row r="1505" spans="1:4" x14ac:dyDescent="0.25">
      <c r="A1505" s="25"/>
      <c r="B1505" s="25"/>
      <c r="C1505" s="25"/>
      <c r="D1505" s="26"/>
    </row>
    <row r="1506" spans="1:4" x14ac:dyDescent="0.25">
      <c r="A1506" s="25"/>
      <c r="B1506" s="25"/>
      <c r="C1506" s="25"/>
      <c r="D1506" s="26"/>
    </row>
    <row r="1507" spans="1:4" x14ac:dyDescent="0.25">
      <c r="A1507" s="25"/>
      <c r="B1507" s="25"/>
      <c r="C1507" s="25"/>
      <c r="D1507" s="26"/>
    </row>
    <row r="1508" spans="1:4" x14ac:dyDescent="0.25">
      <c r="A1508" s="25"/>
      <c r="B1508" s="25"/>
      <c r="C1508" s="25"/>
      <c r="D1508" s="26"/>
    </row>
    <row r="1509" spans="1:4" x14ac:dyDescent="0.25">
      <c r="A1509" s="25"/>
      <c r="B1509" s="25"/>
      <c r="C1509" s="25"/>
      <c r="D1509" s="26"/>
    </row>
    <row r="1510" spans="1:4" x14ac:dyDescent="0.25">
      <c r="A1510" s="25"/>
      <c r="B1510" s="25"/>
      <c r="C1510" s="25"/>
      <c r="D1510" s="26"/>
    </row>
    <row r="1511" spans="1:4" x14ac:dyDescent="0.25">
      <c r="A1511" s="25"/>
      <c r="B1511" s="25"/>
      <c r="C1511" s="25"/>
      <c r="D1511" s="26"/>
    </row>
    <row r="1512" spans="1:4" x14ac:dyDescent="0.25">
      <c r="A1512" s="25"/>
      <c r="B1512" s="25"/>
      <c r="C1512" s="25"/>
      <c r="D1512" s="26"/>
    </row>
    <row r="1513" spans="1:4" x14ac:dyDescent="0.25">
      <c r="A1513" s="25"/>
      <c r="B1513" s="25"/>
      <c r="C1513" s="25"/>
      <c r="D1513" s="26"/>
    </row>
    <row r="1514" spans="1:4" x14ac:dyDescent="0.25">
      <c r="A1514" s="25"/>
      <c r="B1514" s="25"/>
      <c r="C1514" s="25"/>
      <c r="D1514" s="26"/>
    </row>
    <row r="1515" spans="1:4" x14ac:dyDescent="0.25">
      <c r="A1515" s="25"/>
      <c r="B1515" s="25"/>
      <c r="C1515" s="25"/>
      <c r="D1515" s="26"/>
    </row>
    <row r="1516" spans="1:4" x14ac:dyDescent="0.25">
      <c r="A1516" s="25"/>
      <c r="B1516" s="25"/>
      <c r="C1516" s="25"/>
      <c r="D1516" s="26"/>
    </row>
    <row r="1517" spans="1:4" x14ac:dyDescent="0.25">
      <c r="A1517" s="25"/>
      <c r="B1517" s="25"/>
      <c r="C1517" s="25"/>
      <c r="D1517" s="26"/>
    </row>
    <row r="1518" spans="1:4" x14ac:dyDescent="0.25">
      <c r="A1518" s="25"/>
      <c r="B1518" s="25"/>
      <c r="C1518" s="25"/>
      <c r="D1518" s="26"/>
    </row>
    <row r="1519" spans="1:4" x14ac:dyDescent="0.25">
      <c r="A1519" s="25"/>
      <c r="B1519" s="25"/>
      <c r="C1519" s="25"/>
      <c r="D1519" s="26"/>
    </row>
    <row r="1520" spans="1:4" x14ac:dyDescent="0.25">
      <c r="A1520" s="25"/>
      <c r="B1520" s="25"/>
      <c r="C1520" s="25"/>
      <c r="D1520" s="26"/>
    </row>
    <row r="1521" spans="1:4" x14ac:dyDescent="0.25">
      <c r="A1521" s="25"/>
      <c r="B1521" s="25"/>
      <c r="C1521" s="25"/>
      <c r="D1521" s="26"/>
    </row>
    <row r="1522" spans="1:4" x14ac:dyDescent="0.25">
      <c r="A1522" s="25"/>
      <c r="B1522" s="25"/>
      <c r="C1522" s="25"/>
      <c r="D1522" s="26"/>
    </row>
    <row r="1523" spans="1:4" x14ac:dyDescent="0.25">
      <c r="A1523" s="25"/>
      <c r="B1523" s="25"/>
      <c r="C1523" s="25"/>
      <c r="D1523" s="26"/>
    </row>
    <row r="1524" spans="1:4" x14ac:dyDescent="0.25">
      <c r="A1524" s="25"/>
      <c r="B1524" s="25"/>
      <c r="C1524" s="25"/>
      <c r="D1524" s="26"/>
    </row>
    <row r="1525" spans="1:4" x14ac:dyDescent="0.25">
      <c r="A1525" s="25"/>
      <c r="B1525" s="25"/>
      <c r="C1525" s="25"/>
      <c r="D1525" s="26"/>
    </row>
    <row r="1526" spans="1:4" x14ac:dyDescent="0.25">
      <c r="A1526" s="25"/>
      <c r="B1526" s="25"/>
      <c r="C1526" s="25"/>
      <c r="D1526" s="26"/>
    </row>
    <row r="1527" spans="1:4" x14ac:dyDescent="0.25">
      <c r="A1527" s="25"/>
      <c r="B1527" s="25"/>
      <c r="C1527" s="25"/>
      <c r="D1527" s="26"/>
    </row>
    <row r="1528" spans="1:4" x14ac:dyDescent="0.25">
      <c r="A1528" s="25"/>
      <c r="B1528" s="25"/>
      <c r="C1528" s="25"/>
      <c r="D1528" s="26"/>
    </row>
    <row r="1529" spans="1:4" x14ac:dyDescent="0.25">
      <c r="A1529" s="25"/>
      <c r="B1529" s="25"/>
      <c r="C1529" s="25"/>
      <c r="D1529" s="26"/>
    </row>
    <row r="1530" spans="1:4" x14ac:dyDescent="0.25">
      <c r="A1530" s="25"/>
      <c r="B1530" s="25"/>
      <c r="C1530" s="25"/>
      <c r="D1530" s="26"/>
    </row>
    <row r="1531" spans="1:4" x14ac:dyDescent="0.25">
      <c r="A1531" s="25"/>
      <c r="B1531" s="25"/>
      <c r="C1531" s="25"/>
      <c r="D1531" s="26"/>
    </row>
    <row r="1532" spans="1:4" x14ac:dyDescent="0.25">
      <c r="A1532" s="25"/>
      <c r="B1532" s="25"/>
      <c r="C1532" s="25"/>
      <c r="D1532" s="26"/>
    </row>
    <row r="1533" spans="1:4" x14ac:dyDescent="0.25">
      <c r="A1533" s="25"/>
      <c r="B1533" s="25"/>
      <c r="C1533" s="25"/>
      <c r="D1533" s="26"/>
    </row>
    <row r="1534" spans="1:4" x14ac:dyDescent="0.25">
      <c r="A1534" s="25"/>
      <c r="B1534" s="25"/>
      <c r="C1534" s="25"/>
      <c r="D1534" s="26"/>
    </row>
    <row r="1535" spans="1:4" x14ac:dyDescent="0.25">
      <c r="A1535" s="25"/>
      <c r="B1535" s="25"/>
      <c r="C1535" s="25"/>
      <c r="D1535" s="26"/>
    </row>
    <row r="1536" spans="1:4" x14ac:dyDescent="0.25">
      <c r="A1536" s="25"/>
      <c r="B1536" s="25"/>
      <c r="C1536" s="25"/>
      <c r="D1536" s="26"/>
    </row>
    <row r="1537" spans="1:4" x14ac:dyDescent="0.25">
      <c r="A1537" s="25"/>
      <c r="B1537" s="25"/>
      <c r="C1537" s="25"/>
      <c r="D1537" s="26"/>
    </row>
    <row r="1538" spans="1:4" x14ac:dyDescent="0.25">
      <c r="A1538" s="25"/>
      <c r="B1538" s="25"/>
      <c r="C1538" s="25"/>
      <c r="D1538" s="26"/>
    </row>
    <row r="1539" spans="1:4" x14ac:dyDescent="0.25">
      <c r="A1539" s="25"/>
      <c r="B1539" s="25"/>
      <c r="C1539" s="25"/>
      <c r="D1539" s="26"/>
    </row>
    <row r="1540" spans="1:4" x14ac:dyDescent="0.25">
      <c r="A1540" s="25"/>
      <c r="B1540" s="25"/>
      <c r="C1540" s="25"/>
      <c r="D1540" s="26"/>
    </row>
    <row r="1541" spans="1:4" x14ac:dyDescent="0.25">
      <c r="A1541" s="25"/>
      <c r="B1541" s="25"/>
      <c r="C1541" s="25"/>
      <c r="D1541" s="26"/>
    </row>
    <row r="1542" spans="1:4" x14ac:dyDescent="0.25">
      <c r="A1542" s="25"/>
      <c r="B1542" s="25"/>
      <c r="C1542" s="25"/>
      <c r="D1542" s="26"/>
    </row>
    <row r="1543" spans="1:4" x14ac:dyDescent="0.25">
      <c r="A1543" s="25"/>
      <c r="B1543" s="25"/>
      <c r="C1543" s="25"/>
      <c r="D1543" s="26"/>
    </row>
    <row r="1544" spans="1:4" x14ac:dyDescent="0.25">
      <c r="A1544" s="25"/>
      <c r="B1544" s="25"/>
      <c r="C1544" s="25"/>
      <c r="D1544" s="26"/>
    </row>
    <row r="1545" spans="1:4" x14ac:dyDescent="0.25">
      <c r="A1545" s="25"/>
      <c r="B1545" s="25"/>
      <c r="C1545" s="25"/>
      <c r="D1545" s="26"/>
    </row>
    <row r="1546" spans="1:4" x14ac:dyDescent="0.25">
      <c r="A1546" s="25"/>
      <c r="B1546" s="25"/>
      <c r="C1546" s="25"/>
      <c r="D1546" s="26"/>
    </row>
    <row r="1547" spans="1:4" x14ac:dyDescent="0.25">
      <c r="A1547" s="25"/>
      <c r="B1547" s="25"/>
      <c r="C1547" s="25"/>
      <c r="D1547" s="26"/>
    </row>
    <row r="1548" spans="1:4" x14ac:dyDescent="0.25">
      <c r="A1548" s="25"/>
      <c r="B1548" s="25"/>
      <c r="C1548" s="25"/>
      <c r="D1548" s="26"/>
    </row>
    <row r="1549" spans="1:4" x14ac:dyDescent="0.25">
      <c r="A1549" s="25"/>
      <c r="B1549" s="25"/>
      <c r="C1549" s="25"/>
      <c r="D1549" s="26"/>
    </row>
    <row r="1550" spans="1:4" x14ac:dyDescent="0.25">
      <c r="A1550" s="25"/>
      <c r="B1550" s="25"/>
      <c r="C1550" s="25"/>
      <c r="D1550" s="26"/>
    </row>
    <row r="1551" spans="1:4" x14ac:dyDescent="0.25">
      <c r="A1551" s="25"/>
      <c r="B1551" s="25"/>
      <c r="C1551" s="25"/>
      <c r="D1551" s="26"/>
    </row>
    <row r="1552" spans="1:4" x14ac:dyDescent="0.25">
      <c r="A1552" s="25"/>
      <c r="B1552" s="25"/>
      <c r="C1552" s="25"/>
      <c r="D1552" s="26"/>
    </row>
    <row r="1553" spans="1:4" x14ac:dyDescent="0.25">
      <c r="A1553" s="25"/>
      <c r="B1553" s="25"/>
      <c r="C1553" s="25"/>
      <c r="D1553" s="26"/>
    </row>
    <row r="1554" spans="1:4" x14ac:dyDescent="0.25">
      <c r="A1554" s="25"/>
      <c r="B1554" s="25"/>
      <c r="C1554" s="25"/>
      <c r="D1554" s="26"/>
    </row>
    <row r="1555" spans="1:4" x14ac:dyDescent="0.25">
      <c r="A1555" s="25"/>
      <c r="B1555" s="25"/>
      <c r="C1555" s="25"/>
      <c r="D1555" s="26"/>
    </row>
    <row r="1556" spans="1:4" x14ac:dyDescent="0.25">
      <c r="A1556" s="25"/>
      <c r="B1556" s="25"/>
      <c r="C1556" s="25"/>
      <c r="D1556" s="26"/>
    </row>
    <row r="1557" spans="1:4" x14ac:dyDescent="0.25">
      <c r="A1557" s="25"/>
      <c r="B1557" s="25"/>
      <c r="C1557" s="25"/>
      <c r="D1557" s="26"/>
    </row>
    <row r="1558" spans="1:4" x14ac:dyDescent="0.25">
      <c r="A1558" s="25"/>
      <c r="B1558" s="25"/>
      <c r="C1558" s="25"/>
      <c r="D1558" s="26"/>
    </row>
    <row r="1559" spans="1:4" x14ac:dyDescent="0.25">
      <c r="A1559" s="25"/>
      <c r="B1559" s="25"/>
      <c r="C1559" s="25"/>
      <c r="D1559" s="26"/>
    </row>
    <row r="1560" spans="1:4" x14ac:dyDescent="0.25">
      <c r="A1560" s="25"/>
      <c r="B1560" s="25"/>
      <c r="C1560" s="25"/>
      <c r="D1560" s="26"/>
    </row>
    <row r="1561" spans="1:4" x14ac:dyDescent="0.25">
      <c r="A1561" s="25"/>
      <c r="B1561" s="25"/>
      <c r="C1561" s="25"/>
      <c r="D1561" s="26"/>
    </row>
    <row r="1562" spans="1:4" x14ac:dyDescent="0.25">
      <c r="A1562" s="25"/>
      <c r="B1562" s="25"/>
      <c r="C1562" s="25"/>
      <c r="D1562" s="26"/>
    </row>
    <row r="1563" spans="1:4" x14ac:dyDescent="0.25">
      <c r="A1563" s="25"/>
      <c r="B1563" s="25"/>
      <c r="C1563" s="25"/>
      <c r="D1563" s="26"/>
    </row>
    <row r="1564" spans="1:4" x14ac:dyDescent="0.25">
      <c r="A1564" s="25"/>
      <c r="B1564" s="25"/>
      <c r="C1564" s="25"/>
      <c r="D1564" s="26"/>
    </row>
    <row r="1565" spans="1:4" x14ac:dyDescent="0.25">
      <c r="A1565" s="25"/>
      <c r="B1565" s="25"/>
      <c r="C1565" s="25"/>
      <c r="D1565" s="26"/>
    </row>
    <row r="1566" spans="1:4" x14ac:dyDescent="0.25">
      <c r="A1566" s="25"/>
      <c r="B1566" s="25"/>
      <c r="C1566" s="25"/>
      <c r="D1566" s="26"/>
    </row>
    <row r="1567" spans="1:4" x14ac:dyDescent="0.25">
      <c r="A1567" s="25"/>
      <c r="B1567" s="25"/>
      <c r="C1567" s="25"/>
      <c r="D1567" s="26"/>
    </row>
    <row r="1568" spans="1:4" x14ac:dyDescent="0.25">
      <c r="A1568" s="25"/>
      <c r="B1568" s="25"/>
      <c r="C1568" s="25"/>
      <c r="D1568" s="26"/>
    </row>
    <row r="1569" spans="1:4" x14ac:dyDescent="0.25">
      <c r="A1569" s="25"/>
      <c r="B1569" s="25"/>
      <c r="C1569" s="25"/>
      <c r="D1569" s="26"/>
    </row>
    <row r="1570" spans="1:4" x14ac:dyDescent="0.25">
      <c r="A1570" s="25"/>
      <c r="B1570" s="25"/>
      <c r="C1570" s="25"/>
      <c r="D1570" s="26"/>
    </row>
    <row r="1571" spans="1:4" x14ac:dyDescent="0.25">
      <c r="A1571" s="25"/>
      <c r="B1571" s="25"/>
      <c r="C1571" s="25"/>
      <c r="D1571" s="26"/>
    </row>
    <row r="1572" spans="1:4" x14ac:dyDescent="0.25">
      <c r="A1572" s="25"/>
      <c r="B1572" s="25"/>
      <c r="C1572" s="25"/>
      <c r="D1572" s="26"/>
    </row>
    <row r="1573" spans="1:4" x14ac:dyDescent="0.25">
      <c r="A1573" s="25"/>
      <c r="B1573" s="25"/>
      <c r="C1573" s="25"/>
      <c r="D1573" s="26"/>
    </row>
    <row r="1574" spans="1:4" x14ac:dyDescent="0.25">
      <c r="A1574" s="25"/>
      <c r="B1574" s="25"/>
      <c r="C1574" s="25"/>
      <c r="D1574" s="26"/>
    </row>
    <row r="1575" spans="1:4" x14ac:dyDescent="0.25">
      <c r="A1575" s="25"/>
      <c r="B1575" s="25"/>
      <c r="C1575" s="25"/>
      <c r="D1575" s="26"/>
    </row>
    <row r="1576" spans="1:4" x14ac:dyDescent="0.25">
      <c r="A1576" s="25"/>
      <c r="B1576" s="25"/>
      <c r="C1576" s="25"/>
      <c r="D1576" s="26"/>
    </row>
    <row r="1577" spans="1:4" x14ac:dyDescent="0.25">
      <c r="A1577" s="25"/>
      <c r="B1577" s="25"/>
      <c r="C1577" s="25"/>
      <c r="D1577" s="26"/>
    </row>
    <row r="1578" spans="1:4" x14ac:dyDescent="0.25">
      <c r="A1578" s="25"/>
      <c r="B1578" s="25"/>
      <c r="C1578" s="25"/>
      <c r="D1578" s="26"/>
    </row>
    <row r="1579" spans="1:4" x14ac:dyDescent="0.25">
      <c r="A1579" s="25"/>
      <c r="B1579" s="25"/>
      <c r="C1579" s="25"/>
      <c r="D1579" s="26"/>
    </row>
    <row r="1580" spans="1:4" x14ac:dyDescent="0.25">
      <c r="A1580" s="25"/>
      <c r="B1580" s="25"/>
      <c r="C1580" s="25"/>
      <c r="D1580" s="26"/>
    </row>
    <row r="1581" spans="1:4" x14ac:dyDescent="0.25">
      <c r="A1581" s="25"/>
      <c r="B1581" s="25"/>
      <c r="C1581" s="25"/>
      <c r="D1581" s="26"/>
    </row>
    <row r="1582" spans="1:4" x14ac:dyDescent="0.25">
      <c r="A1582" s="25"/>
      <c r="B1582" s="25"/>
      <c r="C1582" s="25"/>
      <c r="D1582" s="26"/>
    </row>
    <row r="1583" spans="1:4" x14ac:dyDescent="0.25">
      <c r="A1583" s="25"/>
      <c r="B1583" s="25"/>
      <c r="C1583" s="25"/>
      <c r="D1583" s="26"/>
    </row>
    <row r="1584" spans="1:4" x14ac:dyDescent="0.25">
      <c r="A1584" s="25"/>
      <c r="B1584" s="25"/>
      <c r="C1584" s="25"/>
      <c r="D1584" s="26"/>
    </row>
    <row r="1585" spans="1:4" x14ac:dyDescent="0.25">
      <c r="A1585" s="25"/>
      <c r="B1585" s="25"/>
      <c r="C1585" s="25"/>
      <c r="D1585" s="26"/>
    </row>
    <row r="1586" spans="1:4" x14ac:dyDescent="0.25">
      <c r="A1586" s="25"/>
      <c r="B1586" s="25"/>
      <c r="C1586" s="25"/>
      <c r="D1586" s="26"/>
    </row>
    <row r="1587" spans="1:4" x14ac:dyDescent="0.25">
      <c r="A1587" s="25"/>
      <c r="B1587" s="25"/>
      <c r="C1587" s="25"/>
      <c r="D1587" s="26"/>
    </row>
    <row r="1588" spans="1:4" x14ac:dyDescent="0.25">
      <c r="A1588" s="25"/>
      <c r="B1588" s="25"/>
      <c r="C1588" s="25"/>
      <c r="D1588" s="26"/>
    </row>
    <row r="1589" spans="1:4" x14ac:dyDescent="0.25">
      <c r="A1589" s="25"/>
      <c r="B1589" s="25"/>
      <c r="C1589" s="25"/>
      <c r="D1589" s="26"/>
    </row>
    <row r="1590" spans="1:4" x14ac:dyDescent="0.25">
      <c r="A1590" s="25"/>
      <c r="B1590" s="25"/>
      <c r="C1590" s="25"/>
      <c r="D1590" s="26"/>
    </row>
    <row r="1591" spans="1:4" x14ac:dyDescent="0.25">
      <c r="A1591" s="25"/>
      <c r="B1591" s="25"/>
      <c r="C1591" s="25"/>
      <c r="D1591" s="26"/>
    </row>
    <row r="1592" spans="1:4" x14ac:dyDescent="0.25">
      <c r="A1592" s="25"/>
      <c r="B1592" s="25"/>
      <c r="C1592" s="25"/>
      <c r="D1592" s="26"/>
    </row>
    <row r="1593" spans="1:4" x14ac:dyDescent="0.25">
      <c r="A1593" s="25"/>
      <c r="B1593" s="25"/>
      <c r="C1593" s="25"/>
      <c r="D1593" s="26"/>
    </row>
    <row r="1594" spans="1:4" x14ac:dyDescent="0.25">
      <c r="A1594" s="25"/>
      <c r="B1594" s="25"/>
      <c r="C1594" s="25"/>
      <c r="D1594" s="26"/>
    </row>
    <row r="1595" spans="1:4" x14ac:dyDescent="0.25">
      <c r="A1595" s="25"/>
      <c r="B1595" s="25"/>
      <c r="C1595" s="25"/>
      <c r="D1595" s="26"/>
    </row>
    <row r="1596" spans="1:4" x14ac:dyDescent="0.25">
      <c r="A1596" s="25"/>
      <c r="B1596" s="25"/>
      <c r="C1596" s="25"/>
      <c r="D1596" s="26"/>
    </row>
    <row r="1597" spans="1:4" x14ac:dyDescent="0.25">
      <c r="A1597" s="25"/>
      <c r="B1597" s="25"/>
      <c r="C1597" s="25"/>
      <c r="D1597" s="26"/>
    </row>
    <row r="1598" spans="1:4" x14ac:dyDescent="0.25">
      <c r="A1598" s="25"/>
      <c r="B1598" s="25"/>
      <c r="C1598" s="25"/>
      <c r="D1598" s="26"/>
    </row>
    <row r="1599" spans="1:4" x14ac:dyDescent="0.25">
      <c r="A1599" s="25"/>
      <c r="B1599" s="25"/>
      <c r="C1599" s="25"/>
      <c r="D1599" s="26"/>
    </row>
    <row r="1600" spans="1:4" x14ac:dyDescent="0.25">
      <c r="A1600" s="25"/>
      <c r="B1600" s="25"/>
      <c r="C1600" s="25"/>
      <c r="D1600" s="26"/>
    </row>
    <row r="1601" spans="1:4" x14ac:dyDescent="0.25">
      <c r="A1601" s="25"/>
      <c r="B1601" s="25"/>
      <c r="C1601" s="25"/>
      <c r="D1601" s="26"/>
    </row>
    <row r="1602" spans="1:4" x14ac:dyDescent="0.25">
      <c r="A1602" s="25"/>
      <c r="B1602" s="25"/>
      <c r="C1602" s="25"/>
      <c r="D1602" s="26"/>
    </row>
    <row r="1603" spans="1:4" x14ac:dyDescent="0.25">
      <c r="A1603" s="25"/>
      <c r="B1603" s="25"/>
      <c r="C1603" s="25"/>
      <c r="D1603" s="26"/>
    </row>
    <row r="1604" spans="1:4" x14ac:dyDescent="0.25">
      <c r="A1604" s="25"/>
      <c r="B1604" s="25"/>
      <c r="C1604" s="25"/>
      <c r="D1604" s="26"/>
    </row>
    <row r="1605" spans="1:4" x14ac:dyDescent="0.25">
      <c r="A1605" s="25"/>
      <c r="B1605" s="25"/>
      <c r="C1605" s="25"/>
      <c r="D1605" s="26"/>
    </row>
    <row r="1606" spans="1:4" x14ac:dyDescent="0.25">
      <c r="A1606" s="25"/>
      <c r="B1606" s="25"/>
      <c r="C1606" s="25"/>
      <c r="D1606" s="26"/>
    </row>
    <row r="1607" spans="1:4" x14ac:dyDescent="0.25">
      <c r="A1607" s="25"/>
      <c r="B1607" s="25"/>
      <c r="C1607" s="25"/>
      <c r="D1607" s="26"/>
    </row>
    <row r="1608" spans="1:4" x14ac:dyDescent="0.25">
      <c r="A1608" s="25"/>
      <c r="B1608" s="25"/>
      <c r="C1608" s="25"/>
      <c r="D1608" s="26"/>
    </row>
    <row r="1609" spans="1:4" x14ac:dyDescent="0.25">
      <c r="A1609" s="25"/>
      <c r="B1609" s="25"/>
      <c r="C1609" s="25"/>
      <c r="D1609" s="26"/>
    </row>
    <row r="1610" spans="1:4" x14ac:dyDescent="0.25">
      <c r="A1610" s="25"/>
      <c r="B1610" s="25"/>
      <c r="C1610" s="25"/>
      <c r="D1610" s="26"/>
    </row>
    <row r="1611" spans="1:4" x14ac:dyDescent="0.25">
      <c r="A1611" s="25"/>
      <c r="B1611" s="25"/>
      <c r="C1611" s="25"/>
      <c r="D1611" s="26"/>
    </row>
    <row r="1612" spans="1:4" x14ac:dyDescent="0.25">
      <c r="A1612" s="25"/>
      <c r="B1612" s="25"/>
      <c r="C1612" s="25"/>
      <c r="D1612" s="26"/>
    </row>
    <row r="1613" spans="1:4" x14ac:dyDescent="0.25">
      <c r="A1613" s="25"/>
      <c r="B1613" s="25"/>
      <c r="C1613" s="25"/>
      <c r="D1613" s="26"/>
    </row>
    <row r="1614" spans="1:4" x14ac:dyDescent="0.25">
      <c r="A1614" s="25"/>
      <c r="B1614" s="25"/>
      <c r="C1614" s="25"/>
      <c r="D1614" s="26"/>
    </row>
    <row r="1615" spans="1:4" x14ac:dyDescent="0.25">
      <c r="A1615" s="25"/>
      <c r="B1615" s="25"/>
      <c r="C1615" s="25"/>
      <c r="D1615" s="26"/>
    </row>
    <row r="1616" spans="1:4" x14ac:dyDescent="0.25">
      <c r="A1616" s="25"/>
      <c r="B1616" s="25"/>
      <c r="C1616" s="25"/>
      <c r="D1616" s="26"/>
    </row>
    <row r="1617" spans="1:4" x14ac:dyDescent="0.25">
      <c r="A1617" s="25"/>
      <c r="B1617" s="25"/>
      <c r="C1617" s="25"/>
      <c r="D1617" s="26"/>
    </row>
    <row r="1618" spans="1:4" x14ac:dyDescent="0.25">
      <c r="A1618" s="25"/>
      <c r="B1618" s="25"/>
      <c r="C1618" s="25"/>
      <c r="D1618" s="26"/>
    </row>
    <row r="1619" spans="1:4" x14ac:dyDescent="0.25">
      <c r="A1619" s="25"/>
      <c r="B1619" s="25"/>
      <c r="C1619" s="25"/>
      <c r="D1619" s="26"/>
    </row>
    <row r="1620" spans="1:4" x14ac:dyDescent="0.25">
      <c r="A1620" s="25"/>
      <c r="B1620" s="25"/>
      <c r="C1620" s="25"/>
      <c r="D1620" s="26"/>
    </row>
    <row r="1621" spans="1:4" x14ac:dyDescent="0.25">
      <c r="A1621" s="25"/>
      <c r="B1621" s="25"/>
      <c r="C1621" s="25"/>
      <c r="D1621" s="26"/>
    </row>
    <row r="1622" spans="1:4" x14ac:dyDescent="0.25">
      <c r="A1622" s="25"/>
      <c r="B1622" s="25"/>
      <c r="C1622" s="25"/>
      <c r="D1622" s="26"/>
    </row>
    <row r="1623" spans="1:4" x14ac:dyDescent="0.25">
      <c r="A1623" s="25"/>
      <c r="B1623" s="25"/>
      <c r="C1623" s="25"/>
      <c r="D1623" s="26"/>
    </row>
    <row r="1624" spans="1:4" x14ac:dyDescent="0.25">
      <c r="A1624" s="25"/>
      <c r="B1624" s="25"/>
      <c r="C1624" s="25"/>
      <c r="D1624" s="26"/>
    </row>
    <row r="1625" spans="1:4" x14ac:dyDescent="0.25">
      <c r="A1625" s="25"/>
      <c r="B1625" s="25"/>
      <c r="C1625" s="25"/>
      <c r="D1625" s="26"/>
    </row>
    <row r="1626" spans="1:4" x14ac:dyDescent="0.25">
      <c r="A1626" s="25"/>
      <c r="B1626" s="25"/>
      <c r="C1626" s="25"/>
      <c r="D1626" s="26"/>
    </row>
    <row r="1627" spans="1:4" x14ac:dyDescent="0.25">
      <c r="A1627" s="25"/>
      <c r="B1627" s="25"/>
      <c r="C1627" s="25"/>
      <c r="D1627" s="26"/>
    </row>
    <row r="1628" spans="1:4" x14ac:dyDescent="0.25">
      <c r="A1628" s="25"/>
      <c r="B1628" s="25"/>
      <c r="C1628" s="25"/>
      <c r="D1628" s="26"/>
    </row>
    <row r="1629" spans="1:4" x14ac:dyDescent="0.25">
      <c r="A1629" s="25"/>
      <c r="B1629" s="25"/>
      <c r="C1629" s="25"/>
      <c r="D1629" s="26"/>
    </row>
    <row r="1630" spans="1:4" x14ac:dyDescent="0.25">
      <c r="A1630" s="25"/>
      <c r="B1630" s="25"/>
      <c r="C1630" s="25"/>
      <c r="D1630" s="26"/>
    </row>
    <row r="1631" spans="1:4" x14ac:dyDescent="0.25">
      <c r="A1631" s="25"/>
      <c r="B1631" s="25"/>
      <c r="C1631" s="25"/>
      <c r="D1631" s="26"/>
    </row>
    <row r="1632" spans="1:4" x14ac:dyDescent="0.25">
      <c r="A1632" s="25"/>
      <c r="B1632" s="25"/>
      <c r="C1632" s="25"/>
      <c r="D1632" s="26"/>
    </row>
    <row r="1633" spans="1:4" x14ac:dyDescent="0.25">
      <c r="A1633" s="25"/>
      <c r="B1633" s="25"/>
      <c r="C1633" s="25"/>
      <c r="D1633" s="26"/>
    </row>
    <row r="1634" spans="1:4" x14ac:dyDescent="0.25">
      <c r="A1634" s="25"/>
      <c r="B1634" s="25"/>
      <c r="C1634" s="25"/>
      <c r="D1634" s="26"/>
    </row>
    <row r="1635" spans="1:4" x14ac:dyDescent="0.25">
      <c r="A1635" s="25"/>
      <c r="B1635" s="25"/>
      <c r="C1635" s="25"/>
      <c r="D1635" s="26"/>
    </row>
    <row r="1636" spans="1:4" x14ac:dyDescent="0.25">
      <c r="A1636" s="25"/>
      <c r="B1636" s="25"/>
      <c r="C1636" s="25"/>
      <c r="D1636" s="26"/>
    </row>
    <row r="1637" spans="1:4" x14ac:dyDescent="0.25">
      <c r="A1637" s="25"/>
      <c r="B1637" s="25"/>
      <c r="C1637" s="25"/>
      <c r="D1637" s="26"/>
    </row>
    <row r="1638" spans="1:4" x14ac:dyDescent="0.25">
      <c r="A1638" s="25"/>
      <c r="B1638" s="25"/>
      <c r="C1638" s="25"/>
      <c r="D1638" s="26"/>
    </row>
    <row r="1639" spans="1:4" x14ac:dyDescent="0.25">
      <c r="A1639" s="25"/>
      <c r="B1639" s="25"/>
      <c r="C1639" s="25"/>
      <c r="D1639" s="26"/>
    </row>
    <row r="1640" spans="1:4" x14ac:dyDescent="0.25">
      <c r="A1640" s="25"/>
      <c r="B1640" s="25"/>
      <c r="C1640" s="25"/>
      <c r="D1640" s="26"/>
    </row>
    <row r="1641" spans="1:4" x14ac:dyDescent="0.25">
      <c r="A1641" s="25"/>
      <c r="B1641" s="25"/>
      <c r="C1641" s="25"/>
      <c r="D1641" s="26"/>
    </row>
    <row r="1642" spans="1:4" x14ac:dyDescent="0.25">
      <c r="A1642" s="25"/>
      <c r="B1642" s="25"/>
      <c r="C1642" s="25"/>
      <c r="D1642" s="26"/>
    </row>
    <row r="1643" spans="1:4" x14ac:dyDescent="0.25">
      <c r="A1643" s="25"/>
      <c r="B1643" s="25"/>
      <c r="C1643" s="25"/>
      <c r="D1643" s="26"/>
    </row>
    <row r="1644" spans="1:4" x14ac:dyDescent="0.25">
      <c r="A1644" s="25"/>
      <c r="B1644" s="25"/>
      <c r="C1644" s="25"/>
      <c r="D1644" s="26"/>
    </row>
    <row r="1645" spans="1:4" x14ac:dyDescent="0.25">
      <c r="A1645" s="25"/>
      <c r="B1645" s="25"/>
      <c r="C1645" s="25"/>
      <c r="D1645" s="26"/>
    </row>
    <row r="1646" spans="1:4" x14ac:dyDescent="0.25">
      <c r="A1646" s="25"/>
      <c r="B1646" s="25"/>
      <c r="C1646" s="25"/>
      <c r="D1646" s="26"/>
    </row>
    <row r="1647" spans="1:4" x14ac:dyDescent="0.25">
      <c r="A1647" s="25"/>
      <c r="B1647" s="25"/>
      <c r="C1647" s="25"/>
      <c r="D1647" s="26"/>
    </row>
    <row r="1648" spans="1:4" x14ac:dyDescent="0.25">
      <c r="A1648" s="25"/>
      <c r="B1648" s="25"/>
      <c r="C1648" s="25"/>
      <c r="D1648" s="26"/>
    </row>
    <row r="1649" spans="1:4" x14ac:dyDescent="0.25">
      <c r="A1649" s="25"/>
      <c r="B1649" s="25"/>
      <c r="C1649" s="25"/>
      <c r="D1649" s="26"/>
    </row>
    <row r="1650" spans="1:4" x14ac:dyDescent="0.25">
      <c r="A1650" s="25"/>
      <c r="B1650" s="25"/>
      <c r="C1650" s="25"/>
      <c r="D1650" s="26"/>
    </row>
    <row r="1651" spans="1:4" x14ac:dyDescent="0.25">
      <c r="A1651" s="25"/>
      <c r="B1651" s="25"/>
      <c r="C1651" s="25"/>
      <c r="D1651" s="26"/>
    </row>
    <row r="1652" spans="1:4" x14ac:dyDescent="0.25">
      <c r="A1652" s="25"/>
      <c r="B1652" s="25"/>
      <c r="C1652" s="25"/>
      <c r="D1652" s="26"/>
    </row>
    <row r="1653" spans="1:4" x14ac:dyDescent="0.25">
      <c r="A1653" s="25"/>
      <c r="B1653" s="25"/>
      <c r="C1653" s="25"/>
      <c r="D1653" s="26"/>
    </row>
    <row r="1654" spans="1:4" x14ac:dyDescent="0.25">
      <c r="A1654" s="25"/>
      <c r="B1654" s="25"/>
      <c r="C1654" s="25"/>
      <c r="D1654" s="26"/>
    </row>
    <row r="1655" spans="1:4" x14ac:dyDescent="0.25">
      <c r="A1655" s="25"/>
      <c r="B1655" s="25"/>
      <c r="C1655" s="25"/>
      <c r="D1655" s="26"/>
    </row>
    <row r="1656" spans="1:4" x14ac:dyDescent="0.25">
      <c r="A1656" s="25"/>
      <c r="B1656" s="25"/>
      <c r="C1656" s="25"/>
      <c r="D1656" s="26"/>
    </row>
    <row r="1657" spans="1:4" x14ac:dyDescent="0.25">
      <c r="A1657" s="25"/>
      <c r="B1657" s="25"/>
      <c r="C1657" s="25"/>
      <c r="D1657" s="26"/>
    </row>
    <row r="1658" spans="1:4" x14ac:dyDescent="0.25">
      <c r="A1658" s="25"/>
      <c r="B1658" s="25"/>
      <c r="C1658" s="25"/>
      <c r="D1658" s="26"/>
    </row>
    <row r="1659" spans="1:4" x14ac:dyDescent="0.25">
      <c r="A1659" s="25"/>
      <c r="B1659" s="25"/>
      <c r="C1659" s="25"/>
      <c r="D1659" s="26"/>
    </row>
    <row r="1660" spans="1:4" x14ac:dyDescent="0.25">
      <c r="A1660" s="25"/>
      <c r="B1660" s="25"/>
      <c r="C1660" s="25"/>
      <c r="D1660" s="26"/>
    </row>
    <row r="1661" spans="1:4" x14ac:dyDescent="0.25">
      <c r="A1661" s="25"/>
      <c r="B1661" s="25"/>
      <c r="C1661" s="25"/>
      <c r="D1661" s="26"/>
    </row>
    <row r="1662" spans="1:4" x14ac:dyDescent="0.25">
      <c r="A1662" s="25"/>
      <c r="B1662" s="25"/>
      <c r="C1662" s="25"/>
      <c r="D1662" s="26"/>
    </row>
    <row r="1663" spans="1:4" x14ac:dyDescent="0.25">
      <c r="A1663" s="25"/>
      <c r="B1663" s="25"/>
      <c r="C1663" s="25"/>
      <c r="D1663" s="26"/>
    </row>
    <row r="1664" spans="1:4" x14ac:dyDescent="0.25">
      <c r="A1664" s="25"/>
      <c r="B1664" s="25"/>
      <c r="C1664" s="25"/>
      <c r="D1664" s="26"/>
    </row>
    <row r="1665" spans="1:4" x14ac:dyDescent="0.25">
      <c r="A1665" s="25"/>
      <c r="B1665" s="25"/>
      <c r="C1665" s="25"/>
      <c r="D1665" s="26"/>
    </row>
    <row r="1666" spans="1:4" x14ac:dyDescent="0.25">
      <c r="A1666" s="25"/>
      <c r="B1666" s="25"/>
      <c r="C1666" s="25"/>
      <c r="D1666" s="26"/>
    </row>
    <row r="1667" spans="1:4" x14ac:dyDescent="0.25">
      <c r="A1667" s="25"/>
      <c r="B1667" s="25"/>
      <c r="C1667" s="25"/>
      <c r="D1667" s="26"/>
    </row>
    <row r="1668" spans="1:4" x14ac:dyDescent="0.25">
      <c r="A1668" s="25"/>
      <c r="B1668" s="25"/>
      <c r="C1668" s="25"/>
      <c r="D1668" s="26"/>
    </row>
    <row r="1669" spans="1:4" x14ac:dyDescent="0.25">
      <c r="A1669" s="25"/>
      <c r="B1669" s="25"/>
      <c r="C1669" s="25"/>
      <c r="D1669" s="26"/>
    </row>
    <row r="1670" spans="1:4" x14ac:dyDescent="0.25">
      <c r="A1670" s="25"/>
      <c r="B1670" s="25"/>
      <c r="C1670" s="25"/>
      <c r="D1670" s="26"/>
    </row>
    <row r="1671" spans="1:4" x14ac:dyDescent="0.25">
      <c r="A1671" s="25"/>
      <c r="B1671" s="25"/>
      <c r="C1671" s="25"/>
      <c r="D1671" s="26"/>
    </row>
    <row r="1672" spans="1:4" x14ac:dyDescent="0.25">
      <c r="A1672" s="25"/>
      <c r="B1672" s="25"/>
      <c r="C1672" s="25"/>
      <c r="D1672" s="26"/>
    </row>
    <row r="1673" spans="1:4" x14ac:dyDescent="0.25">
      <c r="A1673" s="25"/>
      <c r="B1673" s="25"/>
      <c r="C1673" s="25"/>
      <c r="D1673" s="26"/>
    </row>
    <row r="1674" spans="1:4" x14ac:dyDescent="0.25">
      <c r="A1674" s="25"/>
      <c r="B1674" s="25"/>
      <c r="C1674" s="25"/>
      <c r="D1674" s="26"/>
    </row>
    <row r="1675" spans="1:4" x14ac:dyDescent="0.25">
      <c r="A1675" s="25"/>
      <c r="B1675" s="25"/>
      <c r="C1675" s="25"/>
      <c r="D1675" s="26"/>
    </row>
    <row r="1676" spans="1:4" x14ac:dyDescent="0.25">
      <c r="A1676" s="25"/>
      <c r="B1676" s="25"/>
      <c r="C1676" s="25"/>
      <c r="D1676" s="26"/>
    </row>
    <row r="1677" spans="1:4" x14ac:dyDescent="0.25">
      <c r="A1677" s="25"/>
      <c r="B1677" s="25"/>
      <c r="C1677" s="25"/>
      <c r="D1677" s="26"/>
    </row>
    <row r="1678" spans="1:4" x14ac:dyDescent="0.25">
      <c r="A1678" s="25"/>
      <c r="B1678" s="25"/>
      <c r="C1678" s="25"/>
      <c r="D1678" s="26"/>
    </row>
    <row r="1679" spans="1:4" x14ac:dyDescent="0.25">
      <c r="A1679" s="25"/>
      <c r="B1679" s="25"/>
      <c r="C1679" s="25"/>
      <c r="D1679" s="26"/>
    </row>
    <row r="1680" spans="1:4" x14ac:dyDescent="0.25">
      <c r="A1680" s="25"/>
      <c r="B1680" s="25"/>
      <c r="C1680" s="25"/>
      <c r="D1680" s="26"/>
    </row>
    <row r="1681" spans="1:4" x14ac:dyDescent="0.25">
      <c r="A1681" s="25"/>
      <c r="B1681" s="25"/>
      <c r="C1681" s="25"/>
      <c r="D1681" s="26"/>
    </row>
    <row r="1682" spans="1:4" x14ac:dyDescent="0.25">
      <c r="A1682" s="25"/>
      <c r="B1682" s="25"/>
      <c r="C1682" s="25"/>
      <c r="D1682" s="26"/>
    </row>
    <row r="1683" spans="1:4" x14ac:dyDescent="0.25">
      <c r="A1683" s="25"/>
      <c r="B1683" s="25"/>
      <c r="C1683" s="25"/>
      <c r="D1683" s="26"/>
    </row>
    <row r="1684" spans="1:4" x14ac:dyDescent="0.25">
      <c r="A1684" s="25"/>
      <c r="B1684" s="25"/>
      <c r="C1684" s="25"/>
      <c r="D1684" s="26"/>
    </row>
    <row r="1685" spans="1:4" x14ac:dyDescent="0.25">
      <c r="A1685" s="25"/>
      <c r="B1685" s="25"/>
      <c r="C1685" s="25"/>
      <c r="D1685" s="26"/>
    </row>
    <row r="1686" spans="1:4" x14ac:dyDescent="0.25">
      <c r="A1686" s="25"/>
      <c r="B1686" s="25"/>
      <c r="C1686" s="25"/>
      <c r="D1686" s="26"/>
    </row>
    <row r="1687" spans="1:4" x14ac:dyDescent="0.25">
      <c r="A1687" s="25"/>
      <c r="B1687" s="25"/>
      <c r="C1687" s="25"/>
      <c r="D1687" s="26"/>
    </row>
    <row r="1688" spans="1:4" x14ac:dyDescent="0.25">
      <c r="A1688" s="25"/>
      <c r="B1688" s="25"/>
      <c r="C1688" s="25"/>
      <c r="D1688" s="26"/>
    </row>
    <row r="1689" spans="1:4" x14ac:dyDescent="0.25">
      <c r="A1689" s="25"/>
      <c r="B1689" s="25"/>
      <c r="C1689" s="25"/>
      <c r="D1689" s="26"/>
    </row>
    <row r="1690" spans="1:4" x14ac:dyDescent="0.25">
      <c r="A1690" s="25"/>
      <c r="B1690" s="25"/>
      <c r="C1690" s="25"/>
      <c r="D1690" s="26"/>
    </row>
    <row r="1691" spans="1:4" x14ac:dyDescent="0.25">
      <c r="A1691" s="25"/>
      <c r="B1691" s="25"/>
      <c r="C1691" s="25"/>
      <c r="D1691" s="26"/>
    </row>
    <row r="1692" spans="1:4" x14ac:dyDescent="0.25">
      <c r="A1692" s="25"/>
      <c r="B1692" s="25"/>
      <c r="C1692" s="25"/>
      <c r="D1692" s="26"/>
    </row>
    <row r="1693" spans="1:4" x14ac:dyDescent="0.25">
      <c r="A1693" s="25"/>
      <c r="B1693" s="25"/>
      <c r="C1693" s="25"/>
      <c r="D1693" s="26"/>
    </row>
    <row r="1694" spans="1:4" x14ac:dyDescent="0.25">
      <c r="A1694" s="25"/>
      <c r="B1694" s="25"/>
      <c r="C1694" s="25"/>
      <c r="D1694" s="26"/>
    </row>
    <row r="1695" spans="1:4" x14ac:dyDescent="0.25">
      <c r="A1695" s="25"/>
      <c r="B1695" s="25"/>
      <c r="C1695" s="25"/>
      <c r="D1695" s="26"/>
    </row>
    <row r="1696" spans="1:4" x14ac:dyDescent="0.25">
      <c r="A1696" s="25"/>
      <c r="B1696" s="25"/>
      <c r="C1696" s="25"/>
      <c r="D1696" s="26"/>
    </row>
    <row r="1697" spans="1:4" x14ac:dyDescent="0.25">
      <c r="A1697" s="25"/>
      <c r="B1697" s="25"/>
      <c r="C1697" s="25"/>
      <c r="D1697" s="26"/>
    </row>
    <row r="1698" spans="1:4" x14ac:dyDescent="0.25">
      <c r="A1698" s="25"/>
      <c r="B1698" s="25"/>
      <c r="C1698" s="25"/>
      <c r="D1698" s="26"/>
    </row>
    <row r="1699" spans="1:4" x14ac:dyDescent="0.25">
      <c r="A1699" s="25"/>
      <c r="B1699" s="25"/>
      <c r="C1699" s="25"/>
      <c r="D1699" s="26"/>
    </row>
    <row r="1700" spans="1:4" x14ac:dyDescent="0.25">
      <c r="A1700" s="25"/>
      <c r="B1700" s="25"/>
      <c r="C1700" s="25"/>
      <c r="D1700" s="26"/>
    </row>
    <row r="1701" spans="1:4" x14ac:dyDescent="0.25">
      <c r="A1701" s="25"/>
      <c r="B1701" s="25"/>
      <c r="C1701" s="25"/>
      <c r="D1701" s="26"/>
    </row>
    <row r="1702" spans="1:4" x14ac:dyDescent="0.25">
      <c r="A1702" s="25"/>
      <c r="B1702" s="25"/>
      <c r="C1702" s="25"/>
      <c r="D1702" s="26"/>
    </row>
    <row r="1703" spans="1:4" x14ac:dyDescent="0.25">
      <c r="A1703" s="25"/>
      <c r="B1703" s="25"/>
      <c r="C1703" s="25"/>
      <c r="D1703" s="26"/>
    </row>
    <row r="1704" spans="1:4" x14ac:dyDescent="0.25">
      <c r="A1704" s="25"/>
      <c r="B1704" s="25"/>
      <c r="C1704" s="25"/>
      <c r="D1704" s="26"/>
    </row>
    <row r="1705" spans="1:4" x14ac:dyDescent="0.25">
      <c r="A1705" s="25"/>
      <c r="B1705" s="25"/>
      <c r="C1705" s="25"/>
      <c r="D1705" s="26"/>
    </row>
    <row r="1706" spans="1:4" x14ac:dyDescent="0.25">
      <c r="A1706" s="25"/>
      <c r="B1706" s="25"/>
      <c r="C1706" s="25"/>
      <c r="D1706" s="26"/>
    </row>
    <row r="1707" spans="1:4" x14ac:dyDescent="0.25">
      <c r="A1707" s="25"/>
      <c r="B1707" s="25"/>
      <c r="C1707" s="25"/>
      <c r="D1707" s="26"/>
    </row>
    <row r="1708" spans="1:4" x14ac:dyDescent="0.25">
      <c r="A1708" s="25"/>
      <c r="B1708" s="25"/>
      <c r="C1708" s="25"/>
      <c r="D1708" s="26"/>
    </row>
    <row r="1709" spans="1:4" x14ac:dyDescent="0.25">
      <c r="A1709" s="25"/>
      <c r="B1709" s="25"/>
      <c r="C1709" s="25"/>
      <c r="D1709" s="26"/>
    </row>
    <row r="1710" spans="1:4" x14ac:dyDescent="0.25">
      <c r="A1710" s="25"/>
      <c r="B1710" s="25"/>
      <c r="C1710" s="25"/>
      <c r="D1710" s="26"/>
    </row>
    <row r="1711" spans="1:4" x14ac:dyDescent="0.25">
      <c r="A1711" s="25"/>
      <c r="B1711" s="25"/>
      <c r="C1711" s="25"/>
      <c r="D1711" s="26"/>
    </row>
    <row r="1712" spans="1:4" x14ac:dyDescent="0.25">
      <c r="A1712" s="25"/>
      <c r="B1712" s="25"/>
      <c r="C1712" s="25"/>
      <c r="D1712" s="26"/>
    </row>
    <row r="1713" spans="1:4" x14ac:dyDescent="0.25">
      <c r="A1713" s="25"/>
      <c r="B1713" s="25"/>
      <c r="C1713" s="25"/>
      <c r="D1713" s="26"/>
    </row>
    <row r="1714" spans="1:4" x14ac:dyDescent="0.25">
      <c r="A1714" s="25"/>
      <c r="B1714" s="25"/>
      <c r="C1714" s="25"/>
      <c r="D1714" s="26"/>
    </row>
    <row r="1715" spans="1:4" x14ac:dyDescent="0.25">
      <c r="A1715" s="25"/>
      <c r="B1715" s="25"/>
      <c r="C1715" s="25"/>
      <c r="D1715" s="26"/>
    </row>
    <row r="1716" spans="1:4" x14ac:dyDescent="0.25">
      <c r="A1716" s="25"/>
      <c r="B1716" s="25"/>
      <c r="C1716" s="25"/>
      <c r="D1716" s="26"/>
    </row>
    <row r="1717" spans="1:4" x14ac:dyDescent="0.25">
      <c r="A1717" s="25"/>
      <c r="B1717" s="25"/>
      <c r="C1717" s="25"/>
      <c r="D1717" s="26"/>
    </row>
    <row r="1718" spans="1:4" x14ac:dyDescent="0.25">
      <c r="A1718" s="25"/>
      <c r="B1718" s="25"/>
      <c r="C1718" s="25"/>
      <c r="D1718" s="26"/>
    </row>
    <row r="1719" spans="1:4" x14ac:dyDescent="0.25">
      <c r="A1719" s="25"/>
      <c r="B1719" s="25"/>
      <c r="C1719" s="25"/>
      <c r="D1719" s="26"/>
    </row>
    <row r="1720" spans="1:4" x14ac:dyDescent="0.25">
      <c r="A1720" s="25"/>
      <c r="B1720" s="25"/>
      <c r="C1720" s="25"/>
      <c r="D1720" s="26"/>
    </row>
    <row r="1721" spans="1:4" x14ac:dyDescent="0.25">
      <c r="A1721" s="25"/>
      <c r="B1721" s="25"/>
      <c r="C1721" s="25"/>
      <c r="D1721" s="26"/>
    </row>
    <row r="1722" spans="1:4" x14ac:dyDescent="0.25">
      <c r="A1722" s="25"/>
      <c r="B1722" s="25"/>
      <c r="C1722" s="25"/>
      <c r="D1722" s="26"/>
    </row>
    <row r="1723" spans="1:4" x14ac:dyDescent="0.25">
      <c r="A1723" s="25"/>
      <c r="B1723" s="25"/>
      <c r="C1723" s="25"/>
      <c r="D1723" s="26"/>
    </row>
    <row r="1724" spans="1:4" x14ac:dyDescent="0.25">
      <c r="A1724" s="25"/>
      <c r="B1724" s="25"/>
      <c r="C1724" s="25"/>
      <c r="D1724" s="26"/>
    </row>
    <row r="1725" spans="1:4" x14ac:dyDescent="0.25">
      <c r="A1725" s="25"/>
      <c r="B1725" s="25"/>
      <c r="C1725" s="25"/>
      <c r="D1725" s="26"/>
    </row>
    <row r="1726" spans="1:4" x14ac:dyDescent="0.25">
      <c r="A1726" s="25"/>
      <c r="B1726" s="25"/>
      <c r="C1726" s="25"/>
      <c r="D1726" s="26"/>
    </row>
    <row r="1727" spans="1:4" x14ac:dyDescent="0.25">
      <c r="A1727" s="25"/>
      <c r="B1727" s="25"/>
      <c r="C1727" s="25"/>
      <c r="D1727" s="26"/>
    </row>
    <row r="1728" spans="1:4" x14ac:dyDescent="0.25">
      <c r="A1728" s="25"/>
      <c r="B1728" s="25"/>
      <c r="C1728" s="25"/>
      <c r="D1728" s="26"/>
    </row>
    <row r="1729" spans="1:4" x14ac:dyDescent="0.25">
      <c r="A1729" s="25"/>
      <c r="B1729" s="25"/>
      <c r="C1729" s="25"/>
      <c r="D1729" s="26"/>
    </row>
    <row r="1730" spans="1:4" x14ac:dyDescent="0.25">
      <c r="A1730" s="25"/>
      <c r="B1730" s="25"/>
      <c r="C1730" s="25"/>
      <c r="D1730" s="26"/>
    </row>
    <row r="1731" spans="1:4" x14ac:dyDescent="0.25">
      <c r="A1731" s="25"/>
      <c r="B1731" s="25"/>
      <c r="C1731" s="25"/>
      <c r="D1731" s="26"/>
    </row>
    <row r="1732" spans="1:4" x14ac:dyDescent="0.25">
      <c r="A1732" s="25"/>
      <c r="B1732" s="25"/>
      <c r="C1732" s="25"/>
      <c r="D1732" s="26"/>
    </row>
    <row r="1733" spans="1:4" x14ac:dyDescent="0.25">
      <c r="A1733" s="25"/>
      <c r="B1733" s="25"/>
      <c r="C1733" s="25"/>
      <c r="D1733" s="26"/>
    </row>
    <row r="1734" spans="1:4" x14ac:dyDescent="0.25">
      <c r="A1734" s="25"/>
      <c r="B1734" s="25"/>
      <c r="C1734" s="25"/>
      <c r="D1734" s="26"/>
    </row>
    <row r="1735" spans="1:4" x14ac:dyDescent="0.25">
      <c r="A1735" s="25"/>
      <c r="B1735" s="25"/>
      <c r="C1735" s="25"/>
      <c r="D1735" s="26"/>
    </row>
    <row r="1736" spans="1:4" x14ac:dyDescent="0.25">
      <c r="A1736" s="25"/>
      <c r="B1736" s="25"/>
      <c r="C1736" s="25"/>
      <c r="D1736" s="26"/>
    </row>
    <row r="1737" spans="1:4" x14ac:dyDescent="0.25">
      <c r="A1737" s="25"/>
      <c r="B1737" s="25"/>
      <c r="C1737" s="25"/>
      <c r="D1737" s="26"/>
    </row>
    <row r="1738" spans="1:4" x14ac:dyDescent="0.25">
      <c r="A1738" s="25"/>
      <c r="B1738" s="25"/>
      <c r="C1738" s="25"/>
      <c r="D1738" s="26"/>
    </row>
    <row r="1739" spans="1:4" x14ac:dyDescent="0.25">
      <c r="A1739" s="25"/>
      <c r="B1739" s="25"/>
      <c r="C1739" s="25"/>
      <c r="D1739" s="26"/>
    </row>
    <row r="1740" spans="1:4" x14ac:dyDescent="0.25">
      <c r="A1740" s="25"/>
      <c r="B1740" s="25"/>
      <c r="C1740" s="25"/>
      <c r="D1740" s="26"/>
    </row>
    <row r="1741" spans="1:4" x14ac:dyDescent="0.25">
      <c r="A1741" s="25"/>
      <c r="B1741" s="25"/>
      <c r="C1741" s="25"/>
      <c r="D1741" s="26"/>
    </row>
    <row r="1742" spans="1:4" x14ac:dyDescent="0.25">
      <c r="A1742" s="25"/>
      <c r="B1742" s="25"/>
      <c r="C1742" s="25"/>
      <c r="D1742" s="26"/>
    </row>
    <row r="1743" spans="1:4" x14ac:dyDescent="0.25">
      <c r="A1743" s="25"/>
      <c r="B1743" s="25"/>
      <c r="C1743" s="25"/>
      <c r="D1743" s="26"/>
    </row>
    <row r="1744" spans="1:4" x14ac:dyDescent="0.25">
      <c r="A1744" s="25"/>
      <c r="B1744" s="25"/>
      <c r="C1744" s="25"/>
      <c r="D1744" s="26"/>
    </row>
    <row r="1745" spans="1:4" x14ac:dyDescent="0.25">
      <c r="A1745" s="25"/>
      <c r="B1745" s="25"/>
      <c r="C1745" s="25"/>
      <c r="D1745" s="26"/>
    </row>
    <row r="1746" spans="1:4" x14ac:dyDescent="0.25">
      <c r="A1746" s="25"/>
      <c r="B1746" s="25"/>
      <c r="C1746" s="25"/>
      <c r="D1746" s="26"/>
    </row>
    <row r="1747" spans="1:4" x14ac:dyDescent="0.25">
      <c r="A1747" s="25"/>
      <c r="B1747" s="25"/>
      <c r="C1747" s="25"/>
      <c r="D1747" s="26"/>
    </row>
    <row r="1748" spans="1:4" x14ac:dyDescent="0.25">
      <c r="A1748" s="25"/>
      <c r="B1748" s="25"/>
      <c r="C1748" s="25"/>
      <c r="D1748" s="26"/>
    </row>
    <row r="1749" spans="1:4" x14ac:dyDescent="0.25">
      <c r="A1749" s="25"/>
      <c r="B1749" s="25"/>
      <c r="C1749" s="25"/>
      <c r="D1749" s="26"/>
    </row>
    <row r="1750" spans="1:4" x14ac:dyDescent="0.25">
      <c r="A1750" s="25"/>
      <c r="B1750" s="25"/>
      <c r="C1750" s="25"/>
      <c r="D1750" s="26"/>
    </row>
    <row r="1751" spans="1:4" x14ac:dyDescent="0.25">
      <c r="A1751" s="25"/>
      <c r="B1751" s="25"/>
      <c r="C1751" s="25"/>
      <c r="D1751" s="26"/>
    </row>
    <row r="1752" spans="1:4" x14ac:dyDescent="0.25">
      <c r="A1752" s="25"/>
      <c r="B1752" s="25"/>
      <c r="C1752" s="25"/>
      <c r="D1752" s="26"/>
    </row>
    <row r="1753" spans="1:4" x14ac:dyDescent="0.25">
      <c r="A1753" s="25"/>
      <c r="B1753" s="25"/>
      <c r="C1753" s="25"/>
      <c r="D1753" s="26"/>
    </row>
    <row r="1754" spans="1:4" x14ac:dyDescent="0.25">
      <c r="A1754" s="25"/>
      <c r="B1754" s="25"/>
      <c r="C1754" s="25"/>
      <c r="D1754" s="26"/>
    </row>
    <row r="1755" spans="1:4" x14ac:dyDescent="0.25">
      <c r="A1755" s="25"/>
      <c r="B1755" s="25"/>
      <c r="C1755" s="25"/>
      <c r="D1755" s="26"/>
    </row>
    <row r="1756" spans="1:4" x14ac:dyDescent="0.25">
      <c r="A1756" s="25"/>
      <c r="B1756" s="25"/>
      <c r="C1756" s="25"/>
      <c r="D1756" s="26"/>
    </row>
    <row r="1757" spans="1:4" x14ac:dyDescent="0.25">
      <c r="A1757" s="25"/>
      <c r="B1757" s="25"/>
      <c r="C1757" s="25"/>
      <c r="D1757" s="26"/>
    </row>
    <row r="1758" spans="1:4" x14ac:dyDescent="0.25">
      <c r="A1758" s="25"/>
      <c r="B1758" s="25"/>
      <c r="C1758" s="25"/>
      <c r="D1758" s="26"/>
    </row>
    <row r="1759" spans="1:4" x14ac:dyDescent="0.25">
      <c r="A1759" s="25"/>
      <c r="B1759" s="25"/>
      <c r="C1759" s="25"/>
      <c r="D1759" s="26"/>
    </row>
    <row r="1760" spans="1:4" x14ac:dyDescent="0.25">
      <c r="A1760" s="25"/>
      <c r="B1760" s="25"/>
      <c r="C1760" s="25"/>
      <c r="D1760" s="26"/>
    </row>
    <row r="1761" spans="1:4" x14ac:dyDescent="0.25">
      <c r="A1761" s="25"/>
      <c r="B1761" s="25"/>
      <c r="C1761" s="25"/>
      <c r="D1761" s="26"/>
    </row>
    <row r="1762" spans="1:4" x14ac:dyDescent="0.25">
      <c r="A1762" s="25"/>
      <c r="B1762" s="25"/>
      <c r="C1762" s="25"/>
      <c r="D1762" s="26"/>
    </row>
    <row r="1763" spans="1:4" x14ac:dyDescent="0.25">
      <c r="A1763" s="25"/>
      <c r="B1763" s="25"/>
      <c r="C1763" s="25"/>
      <c r="D1763" s="26"/>
    </row>
    <row r="1764" spans="1:4" x14ac:dyDescent="0.25">
      <c r="A1764" s="25"/>
      <c r="B1764" s="25"/>
      <c r="C1764" s="25"/>
      <c r="D1764" s="26"/>
    </row>
    <row r="1765" spans="1:4" x14ac:dyDescent="0.25">
      <c r="A1765" s="25"/>
      <c r="B1765" s="25"/>
      <c r="C1765" s="25"/>
      <c r="D1765" s="26"/>
    </row>
    <row r="1766" spans="1:4" x14ac:dyDescent="0.25">
      <c r="A1766" s="25"/>
      <c r="B1766" s="25"/>
      <c r="C1766" s="25"/>
      <c r="D1766" s="26"/>
    </row>
    <row r="1767" spans="1:4" x14ac:dyDescent="0.25">
      <c r="A1767" s="25"/>
      <c r="B1767" s="25"/>
      <c r="C1767" s="25"/>
      <c r="D1767" s="26"/>
    </row>
    <row r="1768" spans="1:4" x14ac:dyDescent="0.25">
      <c r="A1768" s="25"/>
      <c r="B1768" s="25"/>
      <c r="C1768" s="25"/>
      <c r="D1768" s="26"/>
    </row>
    <row r="1769" spans="1:4" x14ac:dyDescent="0.25">
      <c r="A1769" s="25"/>
      <c r="B1769" s="25"/>
      <c r="C1769" s="25"/>
      <c r="D1769" s="26"/>
    </row>
    <row r="1770" spans="1:4" x14ac:dyDescent="0.25">
      <c r="A1770" s="25"/>
      <c r="B1770" s="25"/>
      <c r="C1770" s="25"/>
      <c r="D1770" s="26"/>
    </row>
    <row r="1771" spans="1:4" x14ac:dyDescent="0.25">
      <c r="A1771" s="25"/>
      <c r="B1771" s="25"/>
      <c r="C1771" s="25"/>
      <c r="D1771" s="26"/>
    </row>
    <row r="1772" spans="1:4" x14ac:dyDescent="0.25">
      <c r="A1772" s="25"/>
      <c r="B1772" s="25"/>
      <c r="C1772" s="25"/>
      <c r="D1772" s="26"/>
    </row>
    <row r="1773" spans="1:4" x14ac:dyDescent="0.25">
      <c r="A1773" s="25"/>
      <c r="B1773" s="25"/>
      <c r="C1773" s="25"/>
      <c r="D1773" s="26"/>
    </row>
    <row r="1774" spans="1:4" x14ac:dyDescent="0.25">
      <c r="A1774" s="25"/>
      <c r="B1774" s="25"/>
      <c r="C1774" s="25"/>
      <c r="D1774" s="26"/>
    </row>
    <row r="1775" spans="1:4" x14ac:dyDescent="0.25">
      <c r="A1775" s="25"/>
      <c r="B1775" s="25"/>
      <c r="C1775" s="25"/>
      <c r="D1775" s="26"/>
    </row>
    <row r="1776" spans="1:4" x14ac:dyDescent="0.25">
      <c r="A1776" s="25"/>
      <c r="B1776" s="25"/>
      <c r="C1776" s="25"/>
      <c r="D1776" s="26"/>
    </row>
    <row r="1777" spans="1:4" x14ac:dyDescent="0.25">
      <c r="A1777" s="25"/>
      <c r="B1777" s="25"/>
      <c r="C1777" s="25"/>
      <c r="D1777" s="26"/>
    </row>
    <row r="1778" spans="1:4" x14ac:dyDescent="0.25">
      <c r="A1778" s="25"/>
      <c r="B1778" s="25"/>
      <c r="C1778" s="25"/>
      <c r="D1778" s="26"/>
    </row>
    <row r="1779" spans="1:4" x14ac:dyDescent="0.25">
      <c r="A1779" s="25"/>
      <c r="B1779" s="25"/>
      <c r="C1779" s="25"/>
      <c r="D1779" s="26"/>
    </row>
    <row r="1780" spans="1:4" x14ac:dyDescent="0.25">
      <c r="A1780" s="25"/>
      <c r="B1780" s="25"/>
      <c r="C1780" s="25"/>
      <c r="D1780" s="26"/>
    </row>
    <row r="1781" spans="1:4" x14ac:dyDescent="0.25">
      <c r="A1781" s="25"/>
      <c r="B1781" s="25"/>
      <c r="C1781" s="25"/>
      <c r="D1781" s="26"/>
    </row>
    <row r="1782" spans="1:4" x14ac:dyDescent="0.25">
      <c r="A1782" s="25"/>
      <c r="B1782" s="25"/>
      <c r="C1782" s="25"/>
      <c r="D1782" s="26"/>
    </row>
    <row r="1783" spans="1:4" x14ac:dyDescent="0.25">
      <c r="A1783" s="25"/>
      <c r="B1783" s="25"/>
      <c r="C1783" s="25"/>
      <c r="D1783" s="26"/>
    </row>
    <row r="1784" spans="1:4" x14ac:dyDescent="0.25">
      <c r="A1784" s="25"/>
      <c r="B1784" s="25"/>
      <c r="C1784" s="25"/>
      <c r="D1784" s="26"/>
    </row>
    <row r="1785" spans="1:4" x14ac:dyDescent="0.25">
      <c r="A1785" s="25"/>
      <c r="B1785" s="25"/>
      <c r="C1785" s="25"/>
      <c r="D1785" s="26"/>
    </row>
    <row r="1786" spans="1:4" x14ac:dyDescent="0.25">
      <c r="A1786" s="25"/>
      <c r="B1786" s="25"/>
      <c r="C1786" s="25"/>
      <c r="D1786" s="26"/>
    </row>
    <row r="1787" spans="1:4" x14ac:dyDescent="0.25">
      <c r="A1787" s="25"/>
      <c r="B1787" s="25"/>
      <c r="C1787" s="25"/>
      <c r="D1787" s="26"/>
    </row>
    <row r="1788" spans="1:4" x14ac:dyDescent="0.25">
      <c r="A1788" s="25"/>
      <c r="B1788" s="25"/>
      <c r="C1788" s="25"/>
      <c r="D1788" s="26"/>
    </row>
    <row r="1789" spans="1:4" x14ac:dyDescent="0.25">
      <c r="A1789" s="25"/>
      <c r="B1789" s="25"/>
      <c r="C1789" s="25"/>
      <c r="D1789" s="26"/>
    </row>
    <row r="1790" spans="1:4" x14ac:dyDescent="0.25">
      <c r="A1790" s="25"/>
      <c r="B1790" s="25"/>
      <c r="C1790" s="25"/>
      <c r="D1790" s="26"/>
    </row>
    <row r="1791" spans="1:4" x14ac:dyDescent="0.25">
      <c r="A1791" s="25"/>
      <c r="B1791" s="25"/>
      <c r="C1791" s="25"/>
      <c r="D1791" s="26"/>
    </row>
    <row r="1792" spans="1:4" x14ac:dyDescent="0.25">
      <c r="A1792" s="25"/>
      <c r="B1792" s="25"/>
      <c r="C1792" s="25"/>
      <c r="D1792" s="26"/>
    </row>
    <row r="1793" spans="1:4" x14ac:dyDescent="0.25">
      <c r="A1793" s="25"/>
      <c r="B1793" s="25"/>
      <c r="C1793" s="25"/>
      <c r="D1793" s="26"/>
    </row>
    <row r="1794" spans="1:4" x14ac:dyDescent="0.25">
      <c r="A1794" s="25"/>
      <c r="B1794" s="25"/>
      <c r="C1794" s="25"/>
      <c r="D1794" s="26"/>
    </row>
    <row r="1795" spans="1:4" x14ac:dyDescent="0.25">
      <c r="A1795" s="25"/>
      <c r="B1795" s="25"/>
      <c r="C1795" s="25"/>
      <c r="D1795" s="26"/>
    </row>
    <row r="1796" spans="1:4" x14ac:dyDescent="0.25">
      <c r="A1796" s="25"/>
      <c r="B1796" s="25"/>
      <c r="C1796" s="25"/>
      <c r="D1796" s="26"/>
    </row>
    <row r="1797" spans="1:4" x14ac:dyDescent="0.25">
      <c r="A1797" s="25"/>
      <c r="B1797" s="25"/>
      <c r="C1797" s="25"/>
      <c r="D1797" s="26"/>
    </row>
    <row r="1798" spans="1:4" x14ac:dyDescent="0.25">
      <c r="A1798" s="25"/>
      <c r="B1798" s="25"/>
      <c r="C1798" s="25"/>
      <c r="D1798" s="26"/>
    </row>
    <row r="1799" spans="1:4" x14ac:dyDescent="0.25">
      <c r="A1799" s="25"/>
      <c r="B1799" s="25"/>
      <c r="C1799" s="25"/>
      <c r="D1799" s="26"/>
    </row>
    <row r="1800" spans="1:4" x14ac:dyDescent="0.25">
      <c r="A1800" s="25"/>
      <c r="B1800" s="25"/>
      <c r="C1800" s="25"/>
      <c r="D1800" s="26"/>
    </row>
    <row r="1801" spans="1:4" x14ac:dyDescent="0.25">
      <c r="A1801" s="25"/>
      <c r="B1801" s="25"/>
      <c r="C1801" s="25"/>
      <c r="D1801" s="26"/>
    </row>
    <row r="1802" spans="1:4" x14ac:dyDescent="0.25">
      <c r="A1802" s="25"/>
      <c r="B1802" s="25"/>
      <c r="C1802" s="25"/>
      <c r="D1802" s="26"/>
    </row>
    <row r="1803" spans="1:4" x14ac:dyDescent="0.25">
      <c r="A1803" s="25"/>
      <c r="B1803" s="25"/>
      <c r="C1803" s="25"/>
      <c r="D1803" s="26"/>
    </row>
    <row r="1804" spans="1:4" x14ac:dyDescent="0.25">
      <c r="A1804" s="25"/>
      <c r="B1804" s="25"/>
      <c r="C1804" s="25"/>
      <c r="D1804" s="26"/>
    </row>
    <row r="1805" spans="1:4" x14ac:dyDescent="0.25">
      <c r="A1805" s="25"/>
      <c r="B1805" s="25"/>
      <c r="C1805" s="25"/>
      <c r="D1805" s="26"/>
    </row>
    <row r="1806" spans="1:4" x14ac:dyDescent="0.25">
      <c r="A1806" s="25"/>
      <c r="B1806" s="25"/>
      <c r="C1806" s="25"/>
      <c r="D1806" s="26"/>
    </row>
    <row r="1807" spans="1:4" x14ac:dyDescent="0.25">
      <c r="A1807" s="25"/>
      <c r="B1807" s="25"/>
      <c r="C1807" s="25"/>
      <c r="D1807" s="26"/>
    </row>
    <row r="1808" spans="1:4" x14ac:dyDescent="0.25">
      <c r="A1808" s="25"/>
      <c r="B1808" s="25"/>
      <c r="C1808" s="25"/>
      <c r="D1808" s="26"/>
    </row>
    <row r="1809" spans="1:4" x14ac:dyDescent="0.25">
      <c r="A1809" s="25"/>
      <c r="B1809" s="25"/>
      <c r="C1809" s="25"/>
      <c r="D1809" s="26"/>
    </row>
    <row r="1810" spans="1:4" x14ac:dyDescent="0.25">
      <c r="A1810" s="25"/>
      <c r="B1810" s="25"/>
      <c r="C1810" s="25"/>
      <c r="D1810" s="26"/>
    </row>
    <row r="1811" spans="1:4" x14ac:dyDescent="0.25">
      <c r="A1811" s="25"/>
      <c r="B1811" s="25"/>
      <c r="C1811" s="25"/>
      <c r="D1811" s="26"/>
    </row>
    <row r="1812" spans="1:4" x14ac:dyDescent="0.25">
      <c r="A1812" s="25"/>
      <c r="B1812" s="25"/>
      <c r="C1812" s="25"/>
      <c r="D1812" s="26"/>
    </row>
    <row r="1813" spans="1:4" x14ac:dyDescent="0.25">
      <c r="A1813" s="25"/>
      <c r="B1813" s="25"/>
      <c r="C1813" s="25"/>
      <c r="D1813" s="26"/>
    </row>
    <row r="1814" spans="1:4" x14ac:dyDescent="0.25">
      <c r="A1814" s="25"/>
      <c r="B1814" s="25"/>
      <c r="C1814" s="25"/>
      <c r="D1814" s="26"/>
    </row>
    <row r="1815" spans="1:4" x14ac:dyDescent="0.25">
      <c r="A1815" s="25"/>
      <c r="B1815" s="25"/>
      <c r="C1815" s="25"/>
      <c r="D1815" s="26"/>
    </row>
    <row r="1816" spans="1:4" x14ac:dyDescent="0.25">
      <c r="A1816" s="25"/>
      <c r="B1816" s="25"/>
      <c r="C1816" s="25"/>
      <c r="D1816" s="26"/>
    </row>
    <row r="1817" spans="1:4" x14ac:dyDescent="0.25">
      <c r="A1817" s="25"/>
      <c r="B1817" s="25"/>
      <c r="C1817" s="25"/>
      <c r="D1817" s="26"/>
    </row>
    <row r="1818" spans="1:4" x14ac:dyDescent="0.25">
      <c r="A1818" s="25"/>
      <c r="B1818" s="25"/>
      <c r="C1818" s="25"/>
      <c r="D1818" s="26"/>
    </row>
    <row r="1819" spans="1:4" x14ac:dyDescent="0.25">
      <c r="A1819" s="25"/>
      <c r="B1819" s="25"/>
      <c r="C1819" s="25"/>
      <c r="D1819" s="26"/>
    </row>
    <row r="1820" spans="1:4" x14ac:dyDescent="0.25">
      <c r="A1820" s="25"/>
      <c r="B1820" s="25"/>
      <c r="C1820" s="25"/>
      <c r="D1820" s="26"/>
    </row>
    <row r="1821" spans="1:4" x14ac:dyDescent="0.25">
      <c r="A1821" s="25"/>
      <c r="B1821" s="25"/>
      <c r="C1821" s="25"/>
      <c r="D1821" s="26"/>
    </row>
    <row r="1822" spans="1:4" x14ac:dyDescent="0.25">
      <c r="A1822" s="25"/>
      <c r="B1822" s="25"/>
      <c r="C1822" s="25"/>
      <c r="D1822" s="26"/>
    </row>
    <row r="1823" spans="1:4" x14ac:dyDescent="0.25">
      <c r="A1823" s="25"/>
      <c r="B1823" s="25"/>
      <c r="C1823" s="25"/>
      <c r="D1823" s="26"/>
    </row>
    <row r="1824" spans="1:4" x14ac:dyDescent="0.25">
      <c r="A1824" s="25"/>
      <c r="B1824" s="25"/>
      <c r="C1824" s="25"/>
      <c r="D1824" s="26"/>
    </row>
    <row r="1825" spans="1:4" x14ac:dyDescent="0.25">
      <c r="A1825" s="25"/>
      <c r="B1825" s="25"/>
      <c r="C1825" s="25"/>
      <c r="D1825" s="26"/>
    </row>
    <row r="1826" spans="1:4" x14ac:dyDescent="0.25">
      <c r="A1826" s="25"/>
      <c r="B1826" s="25"/>
      <c r="C1826" s="25"/>
      <c r="D1826" s="26"/>
    </row>
    <row r="1827" spans="1:4" x14ac:dyDescent="0.25">
      <c r="A1827" s="25"/>
      <c r="B1827" s="25"/>
      <c r="C1827" s="25"/>
      <c r="D1827" s="26"/>
    </row>
    <row r="1828" spans="1:4" x14ac:dyDescent="0.25">
      <c r="A1828" s="25"/>
      <c r="B1828" s="25"/>
      <c r="C1828" s="25"/>
      <c r="D1828" s="26"/>
    </row>
    <row r="1829" spans="1:4" x14ac:dyDescent="0.25">
      <c r="A1829" s="25"/>
      <c r="B1829" s="25"/>
      <c r="C1829" s="25"/>
      <c r="D1829" s="26"/>
    </row>
    <row r="1830" spans="1:4" x14ac:dyDescent="0.25">
      <c r="A1830" s="25"/>
      <c r="B1830" s="25"/>
      <c r="C1830" s="25"/>
      <c r="D1830" s="26"/>
    </row>
    <row r="1831" spans="1:4" x14ac:dyDescent="0.25">
      <c r="A1831" s="25"/>
      <c r="B1831" s="25"/>
      <c r="C1831" s="25"/>
      <c r="D1831" s="26"/>
    </row>
    <row r="1832" spans="1:4" x14ac:dyDescent="0.25">
      <c r="A1832" s="25"/>
      <c r="B1832" s="25"/>
      <c r="C1832" s="25"/>
      <c r="D1832" s="26"/>
    </row>
    <row r="1833" spans="1:4" x14ac:dyDescent="0.25">
      <c r="A1833" s="25"/>
      <c r="B1833" s="25"/>
      <c r="C1833" s="25"/>
      <c r="D1833" s="26"/>
    </row>
    <row r="1834" spans="1:4" x14ac:dyDescent="0.25">
      <c r="A1834" s="25"/>
      <c r="B1834" s="25"/>
      <c r="C1834" s="25"/>
      <c r="D1834" s="26"/>
    </row>
    <row r="1835" spans="1:4" x14ac:dyDescent="0.25">
      <c r="A1835" s="25"/>
      <c r="B1835" s="25"/>
      <c r="C1835" s="25"/>
      <c r="D1835" s="26"/>
    </row>
    <row r="1836" spans="1:4" x14ac:dyDescent="0.25">
      <c r="A1836" s="25"/>
      <c r="B1836" s="25"/>
      <c r="C1836" s="25"/>
      <c r="D1836" s="26"/>
    </row>
    <row r="1837" spans="1:4" x14ac:dyDescent="0.25">
      <c r="A1837" s="25"/>
      <c r="B1837" s="25"/>
      <c r="C1837" s="25"/>
      <c r="D1837" s="26"/>
    </row>
    <row r="1838" spans="1:4" x14ac:dyDescent="0.25">
      <c r="A1838" s="25"/>
      <c r="B1838" s="25"/>
      <c r="C1838" s="25"/>
      <c r="D1838" s="26"/>
    </row>
    <row r="1839" spans="1:4" x14ac:dyDescent="0.25">
      <c r="A1839" s="25"/>
      <c r="B1839" s="25"/>
      <c r="C1839" s="25"/>
      <c r="D1839" s="26"/>
    </row>
    <row r="1840" spans="1:4" x14ac:dyDescent="0.25">
      <c r="A1840" s="25"/>
      <c r="B1840" s="25"/>
      <c r="C1840" s="25"/>
      <c r="D1840" s="26"/>
    </row>
    <row r="1841" spans="1:4" x14ac:dyDescent="0.25">
      <c r="A1841" s="25"/>
      <c r="B1841" s="25"/>
      <c r="C1841" s="25"/>
      <c r="D1841" s="26"/>
    </row>
    <row r="1842" spans="1:4" x14ac:dyDescent="0.25">
      <c r="A1842" s="25"/>
      <c r="B1842" s="25"/>
      <c r="C1842" s="25"/>
      <c r="D1842" s="26"/>
    </row>
    <row r="1843" spans="1:4" x14ac:dyDescent="0.25">
      <c r="A1843" s="25"/>
      <c r="B1843" s="25"/>
      <c r="C1843" s="25"/>
      <c r="D1843" s="26"/>
    </row>
    <row r="1844" spans="1:4" x14ac:dyDescent="0.25">
      <c r="A1844" s="25"/>
      <c r="B1844" s="25"/>
      <c r="C1844" s="25"/>
      <c r="D1844" s="26"/>
    </row>
    <row r="1845" spans="1:4" x14ac:dyDescent="0.25">
      <c r="A1845" s="25"/>
      <c r="B1845" s="25"/>
      <c r="C1845" s="25"/>
      <c r="D1845" s="26"/>
    </row>
    <row r="1846" spans="1:4" x14ac:dyDescent="0.25">
      <c r="A1846" s="25"/>
      <c r="B1846" s="25"/>
      <c r="C1846" s="25"/>
      <c r="D1846" s="26"/>
    </row>
    <row r="1847" spans="1:4" x14ac:dyDescent="0.25">
      <c r="A1847" s="25"/>
      <c r="B1847" s="25"/>
      <c r="C1847" s="25"/>
      <c r="D1847" s="26"/>
    </row>
    <row r="1848" spans="1:4" x14ac:dyDescent="0.25">
      <c r="A1848" s="25"/>
      <c r="B1848" s="25"/>
      <c r="C1848" s="25"/>
      <c r="D1848" s="26"/>
    </row>
    <row r="1849" spans="1:4" x14ac:dyDescent="0.25">
      <c r="A1849" s="25"/>
      <c r="B1849" s="25"/>
      <c r="C1849" s="25"/>
      <c r="D1849" s="26"/>
    </row>
    <row r="1850" spans="1:4" x14ac:dyDescent="0.25">
      <c r="A1850" s="25"/>
      <c r="B1850" s="25"/>
      <c r="C1850" s="25"/>
      <c r="D1850" s="26"/>
    </row>
    <row r="1851" spans="1:4" x14ac:dyDescent="0.25">
      <c r="A1851" s="25"/>
      <c r="B1851" s="25"/>
      <c r="C1851" s="25"/>
      <c r="D1851" s="26"/>
    </row>
    <row r="1852" spans="1:4" x14ac:dyDescent="0.25">
      <c r="A1852" s="25"/>
      <c r="B1852" s="25"/>
      <c r="C1852" s="25"/>
      <c r="D1852" s="26"/>
    </row>
    <row r="1853" spans="1:4" x14ac:dyDescent="0.25">
      <c r="A1853" s="25"/>
      <c r="B1853" s="25"/>
      <c r="C1853" s="25"/>
      <c r="D1853" s="26"/>
    </row>
    <row r="1854" spans="1:4" x14ac:dyDescent="0.25">
      <c r="A1854" s="25"/>
      <c r="B1854" s="25"/>
      <c r="C1854" s="25"/>
      <c r="D1854" s="26"/>
    </row>
    <row r="1855" spans="1:4" x14ac:dyDescent="0.25">
      <c r="A1855" s="25"/>
      <c r="B1855" s="25"/>
      <c r="C1855" s="25"/>
      <c r="D1855" s="26"/>
    </row>
    <row r="1856" spans="1:4" x14ac:dyDescent="0.25">
      <c r="A1856" s="25"/>
      <c r="B1856" s="25"/>
      <c r="C1856" s="25"/>
      <c r="D1856" s="26"/>
    </row>
    <row r="1857" spans="1:4" x14ac:dyDescent="0.25">
      <c r="A1857" s="25"/>
      <c r="B1857" s="25"/>
      <c r="C1857" s="25"/>
      <c r="D1857" s="26"/>
    </row>
    <row r="1858" spans="1:4" x14ac:dyDescent="0.25">
      <c r="A1858" s="25"/>
      <c r="B1858" s="25"/>
      <c r="C1858" s="25"/>
      <c r="D1858" s="26"/>
    </row>
    <row r="1859" spans="1:4" x14ac:dyDescent="0.25">
      <c r="A1859" s="25"/>
      <c r="B1859" s="25"/>
      <c r="C1859" s="25"/>
      <c r="D1859" s="26"/>
    </row>
    <row r="1860" spans="1:4" x14ac:dyDescent="0.25">
      <c r="A1860" s="25"/>
      <c r="B1860" s="25"/>
      <c r="C1860" s="25"/>
      <c r="D1860" s="26"/>
    </row>
    <row r="1861" spans="1:4" x14ac:dyDescent="0.25">
      <c r="A1861" s="25"/>
      <c r="B1861" s="25"/>
      <c r="C1861" s="25"/>
      <c r="D1861" s="26"/>
    </row>
    <row r="1862" spans="1:4" x14ac:dyDescent="0.25">
      <c r="A1862" s="25"/>
      <c r="B1862" s="25"/>
      <c r="C1862" s="25"/>
      <c r="D1862" s="26"/>
    </row>
    <row r="1863" spans="1:4" x14ac:dyDescent="0.25">
      <c r="A1863" s="25"/>
      <c r="B1863" s="25"/>
      <c r="C1863" s="25"/>
      <c r="D1863" s="26"/>
    </row>
    <row r="1864" spans="1:4" x14ac:dyDescent="0.25">
      <c r="A1864" s="25"/>
      <c r="B1864" s="25"/>
      <c r="C1864" s="25"/>
      <c r="D1864" s="26"/>
    </row>
    <row r="1865" spans="1:4" x14ac:dyDescent="0.25">
      <c r="A1865" s="25"/>
      <c r="B1865" s="25"/>
      <c r="C1865" s="25"/>
      <c r="D1865" s="26"/>
    </row>
    <row r="1866" spans="1:4" x14ac:dyDescent="0.25">
      <c r="A1866" s="25"/>
      <c r="B1866" s="25"/>
      <c r="C1866" s="25"/>
      <c r="D1866" s="26"/>
    </row>
    <row r="1867" spans="1:4" x14ac:dyDescent="0.25">
      <c r="A1867" s="25"/>
      <c r="B1867" s="25"/>
      <c r="C1867" s="25"/>
      <c r="D1867" s="26"/>
    </row>
    <row r="1868" spans="1:4" x14ac:dyDescent="0.25">
      <c r="A1868" s="25"/>
      <c r="B1868" s="25"/>
      <c r="C1868" s="25"/>
      <c r="D1868" s="26"/>
    </row>
    <row r="1869" spans="1:4" x14ac:dyDescent="0.25">
      <c r="A1869" s="25"/>
      <c r="B1869" s="25"/>
      <c r="C1869" s="25"/>
      <c r="D1869" s="26"/>
    </row>
    <row r="1870" spans="1:4" x14ac:dyDescent="0.25">
      <c r="A1870" s="25"/>
      <c r="B1870" s="25"/>
      <c r="C1870" s="25"/>
      <c r="D1870" s="26"/>
    </row>
    <row r="1871" spans="1:4" x14ac:dyDescent="0.25">
      <c r="A1871" s="25"/>
      <c r="B1871" s="25"/>
      <c r="C1871" s="25"/>
      <c r="D1871" s="26"/>
    </row>
    <row r="1872" spans="1:4" x14ac:dyDescent="0.25">
      <c r="A1872" s="25"/>
      <c r="B1872" s="25"/>
      <c r="C1872" s="25"/>
      <c r="D1872" s="26"/>
    </row>
    <row r="1873" spans="1:4" x14ac:dyDescent="0.25">
      <c r="A1873" s="25"/>
      <c r="B1873" s="25"/>
      <c r="C1873" s="25"/>
      <c r="D1873" s="26"/>
    </row>
    <row r="1874" spans="1:4" x14ac:dyDescent="0.25">
      <c r="A1874" s="25"/>
      <c r="B1874" s="25"/>
      <c r="C1874" s="25"/>
      <c r="D1874" s="26"/>
    </row>
    <row r="1875" spans="1:4" x14ac:dyDescent="0.25">
      <c r="A1875" s="25"/>
      <c r="B1875" s="25"/>
      <c r="C1875" s="25"/>
      <c r="D1875" s="26"/>
    </row>
    <row r="1876" spans="1:4" x14ac:dyDescent="0.25">
      <c r="A1876" s="25"/>
      <c r="B1876" s="25"/>
      <c r="C1876" s="25"/>
      <c r="D1876" s="26"/>
    </row>
    <row r="1877" spans="1:4" x14ac:dyDescent="0.25">
      <c r="A1877" s="25"/>
      <c r="B1877" s="25"/>
      <c r="C1877" s="25"/>
      <c r="D1877" s="26"/>
    </row>
    <row r="1878" spans="1:4" x14ac:dyDescent="0.25">
      <c r="A1878" s="25"/>
      <c r="B1878" s="25"/>
      <c r="C1878" s="25"/>
      <c r="D1878" s="26"/>
    </row>
    <row r="1879" spans="1:4" x14ac:dyDescent="0.25">
      <c r="A1879" s="25"/>
      <c r="B1879" s="25"/>
      <c r="C1879" s="25"/>
      <c r="D1879" s="26"/>
    </row>
    <row r="1880" spans="1:4" x14ac:dyDescent="0.25">
      <c r="A1880" s="25"/>
      <c r="B1880" s="25"/>
      <c r="C1880" s="25"/>
      <c r="D1880" s="26"/>
    </row>
    <row r="1881" spans="1:4" x14ac:dyDescent="0.25">
      <c r="A1881" s="25"/>
      <c r="B1881" s="25"/>
      <c r="C1881" s="25"/>
      <c r="D1881" s="26"/>
    </row>
    <row r="1882" spans="1:4" x14ac:dyDescent="0.25">
      <c r="A1882" s="25"/>
      <c r="B1882" s="25"/>
      <c r="C1882" s="25"/>
      <c r="D1882" s="26"/>
    </row>
    <row r="1883" spans="1:4" x14ac:dyDescent="0.25">
      <c r="A1883" s="25"/>
      <c r="B1883" s="25"/>
      <c r="C1883" s="25"/>
      <c r="D1883" s="26"/>
    </row>
    <row r="1884" spans="1:4" x14ac:dyDescent="0.25">
      <c r="A1884" s="25"/>
      <c r="B1884" s="25"/>
      <c r="C1884" s="25"/>
      <c r="D1884" s="26"/>
    </row>
    <row r="1885" spans="1:4" x14ac:dyDescent="0.25">
      <c r="A1885" s="25"/>
      <c r="B1885" s="25"/>
      <c r="C1885" s="25"/>
      <c r="D1885" s="26"/>
    </row>
    <row r="1886" spans="1:4" x14ac:dyDescent="0.25">
      <c r="A1886" s="25"/>
      <c r="B1886" s="25"/>
      <c r="C1886" s="25"/>
      <c r="D1886" s="26"/>
    </row>
    <row r="1887" spans="1:4" x14ac:dyDescent="0.25">
      <c r="A1887" s="25"/>
      <c r="B1887" s="25"/>
      <c r="C1887" s="25"/>
      <c r="D1887" s="26"/>
    </row>
    <row r="1888" spans="1:4" x14ac:dyDescent="0.25">
      <c r="A1888" s="25"/>
      <c r="B1888" s="25"/>
      <c r="C1888" s="25"/>
      <c r="D1888" s="26"/>
    </row>
    <row r="1889" spans="1:4" x14ac:dyDescent="0.25">
      <c r="A1889" s="25"/>
      <c r="B1889" s="25"/>
      <c r="C1889" s="25"/>
      <c r="D1889" s="26"/>
    </row>
    <row r="1890" spans="1:4" x14ac:dyDescent="0.25">
      <c r="A1890" s="25"/>
      <c r="B1890" s="25"/>
      <c r="C1890" s="25"/>
      <c r="D1890" s="26"/>
    </row>
    <row r="1891" spans="1:4" x14ac:dyDescent="0.25">
      <c r="A1891" s="25"/>
      <c r="B1891" s="25"/>
      <c r="C1891" s="25"/>
      <c r="D1891" s="26"/>
    </row>
    <row r="1892" spans="1:4" x14ac:dyDescent="0.25">
      <c r="A1892" s="25"/>
      <c r="B1892" s="25"/>
      <c r="C1892" s="25"/>
      <c r="D1892" s="26"/>
    </row>
    <row r="1893" spans="1:4" x14ac:dyDescent="0.25">
      <c r="A1893" s="25"/>
      <c r="B1893" s="25"/>
      <c r="C1893" s="25"/>
      <c r="D1893" s="26"/>
    </row>
    <row r="1894" spans="1:4" x14ac:dyDescent="0.25">
      <c r="A1894" s="25"/>
      <c r="B1894" s="25"/>
      <c r="C1894" s="25"/>
      <c r="D1894" s="26"/>
    </row>
    <row r="1895" spans="1:4" x14ac:dyDescent="0.25">
      <c r="A1895" s="25"/>
      <c r="B1895" s="25"/>
      <c r="C1895" s="25"/>
      <c r="D1895" s="26"/>
    </row>
    <row r="1896" spans="1:4" x14ac:dyDescent="0.25">
      <c r="A1896" s="25"/>
      <c r="B1896" s="25"/>
      <c r="C1896" s="25"/>
      <c r="D1896" s="26"/>
    </row>
    <row r="1897" spans="1:4" x14ac:dyDescent="0.25">
      <c r="A1897" s="25"/>
      <c r="B1897" s="25"/>
      <c r="C1897" s="25"/>
      <c r="D1897" s="26"/>
    </row>
    <row r="1898" spans="1:4" x14ac:dyDescent="0.25">
      <c r="A1898" s="25"/>
      <c r="B1898" s="25"/>
      <c r="C1898" s="25"/>
      <c r="D1898" s="26"/>
    </row>
    <row r="1899" spans="1:4" x14ac:dyDescent="0.25">
      <c r="A1899" s="25"/>
      <c r="B1899" s="25"/>
      <c r="C1899" s="25"/>
      <c r="D1899" s="26"/>
    </row>
    <row r="1900" spans="1:4" x14ac:dyDescent="0.25">
      <c r="A1900" s="25"/>
      <c r="B1900" s="25"/>
      <c r="C1900" s="25"/>
      <c r="D1900" s="26"/>
    </row>
    <row r="1901" spans="1:4" x14ac:dyDescent="0.25">
      <c r="A1901" s="25"/>
      <c r="B1901" s="25"/>
      <c r="C1901" s="25"/>
      <c r="D1901" s="26"/>
    </row>
    <row r="1902" spans="1:4" x14ac:dyDescent="0.25">
      <c r="A1902" s="25"/>
      <c r="B1902" s="25"/>
      <c r="C1902" s="25"/>
      <c r="D1902" s="26"/>
    </row>
    <row r="1903" spans="1:4" x14ac:dyDescent="0.25">
      <c r="A1903" s="25"/>
      <c r="B1903" s="25"/>
      <c r="C1903" s="25"/>
      <c r="D1903" s="26"/>
    </row>
    <row r="1904" spans="1:4" x14ac:dyDescent="0.25">
      <c r="A1904" s="25"/>
      <c r="B1904" s="25"/>
      <c r="C1904" s="25"/>
      <c r="D1904" s="26"/>
    </row>
    <row r="1905" spans="1:4" x14ac:dyDescent="0.25">
      <c r="A1905" s="25"/>
      <c r="B1905" s="25"/>
      <c r="C1905" s="25"/>
      <c r="D1905" s="26"/>
    </row>
    <row r="1906" spans="1:4" x14ac:dyDescent="0.25">
      <c r="A1906" s="25"/>
      <c r="B1906" s="25"/>
      <c r="C1906" s="25"/>
      <c r="D1906" s="26"/>
    </row>
    <row r="1907" spans="1:4" x14ac:dyDescent="0.25">
      <c r="A1907" s="25"/>
      <c r="B1907" s="25"/>
      <c r="C1907" s="25"/>
      <c r="D1907" s="26"/>
    </row>
    <row r="1908" spans="1:4" x14ac:dyDescent="0.25">
      <c r="A1908" s="25"/>
      <c r="B1908" s="25"/>
      <c r="C1908" s="25"/>
      <c r="D1908" s="26"/>
    </row>
    <row r="1909" spans="1:4" x14ac:dyDescent="0.25">
      <c r="A1909" s="25"/>
      <c r="B1909" s="25"/>
      <c r="C1909" s="25"/>
      <c r="D1909" s="26"/>
    </row>
    <row r="1910" spans="1:4" x14ac:dyDescent="0.25">
      <c r="A1910" s="25"/>
      <c r="B1910" s="25"/>
      <c r="C1910" s="25"/>
      <c r="D1910" s="26"/>
    </row>
    <row r="1911" spans="1:4" x14ac:dyDescent="0.25">
      <c r="A1911" s="25"/>
      <c r="B1911" s="25"/>
      <c r="C1911" s="25"/>
      <c r="D1911" s="26"/>
    </row>
    <row r="1912" spans="1:4" x14ac:dyDescent="0.25">
      <c r="A1912" s="25"/>
      <c r="B1912" s="25"/>
      <c r="C1912" s="25"/>
      <c r="D1912" s="26"/>
    </row>
    <row r="1913" spans="1:4" x14ac:dyDescent="0.25">
      <c r="A1913" s="25"/>
      <c r="B1913" s="25"/>
      <c r="C1913" s="25"/>
      <c r="D1913" s="26"/>
    </row>
    <row r="1914" spans="1:4" x14ac:dyDescent="0.25">
      <c r="A1914" s="25"/>
      <c r="B1914" s="25"/>
      <c r="C1914" s="25"/>
      <c r="D1914" s="26"/>
    </row>
    <row r="1915" spans="1:4" x14ac:dyDescent="0.25">
      <c r="A1915" s="25"/>
      <c r="B1915" s="25"/>
      <c r="C1915" s="25"/>
      <c r="D1915" s="26"/>
    </row>
    <row r="1916" spans="1:4" x14ac:dyDescent="0.25">
      <c r="A1916" s="25"/>
      <c r="B1916" s="25"/>
      <c r="C1916" s="25"/>
      <c r="D1916" s="26"/>
    </row>
    <row r="1917" spans="1:4" x14ac:dyDescent="0.25">
      <c r="A1917" s="25"/>
      <c r="B1917" s="25"/>
      <c r="C1917" s="25"/>
      <c r="D1917" s="26"/>
    </row>
    <row r="1918" spans="1:4" x14ac:dyDescent="0.25">
      <c r="A1918" s="25"/>
      <c r="B1918" s="25"/>
      <c r="C1918" s="25"/>
      <c r="D1918" s="26"/>
    </row>
    <row r="1919" spans="1:4" x14ac:dyDescent="0.25">
      <c r="A1919" s="25"/>
      <c r="B1919" s="25"/>
      <c r="C1919" s="25"/>
      <c r="D1919" s="26"/>
    </row>
    <row r="1920" spans="1:4" x14ac:dyDescent="0.25">
      <c r="A1920" s="25"/>
      <c r="B1920" s="25"/>
      <c r="C1920" s="25"/>
      <c r="D1920" s="26"/>
    </row>
    <row r="1921" spans="1:4" x14ac:dyDescent="0.25">
      <c r="A1921" s="25"/>
      <c r="B1921" s="25"/>
      <c r="C1921" s="25"/>
      <c r="D1921" s="26"/>
    </row>
    <row r="1922" spans="1:4" x14ac:dyDescent="0.25">
      <c r="A1922" s="25"/>
      <c r="B1922" s="25"/>
      <c r="C1922" s="25"/>
      <c r="D1922" s="26"/>
    </row>
    <row r="1923" spans="1:4" x14ac:dyDescent="0.25">
      <c r="A1923" s="25"/>
      <c r="B1923" s="25"/>
      <c r="C1923" s="25"/>
      <c r="D1923" s="26"/>
    </row>
    <row r="1924" spans="1:4" x14ac:dyDescent="0.25">
      <c r="A1924" s="25"/>
      <c r="B1924" s="25"/>
      <c r="C1924" s="25"/>
      <c r="D1924" s="26"/>
    </row>
    <row r="1925" spans="1:4" x14ac:dyDescent="0.25">
      <c r="A1925" s="25"/>
      <c r="B1925" s="25"/>
      <c r="C1925" s="25"/>
      <c r="D1925" s="26"/>
    </row>
    <row r="1926" spans="1:4" x14ac:dyDescent="0.25">
      <c r="A1926" s="25"/>
      <c r="B1926" s="25"/>
      <c r="C1926" s="25"/>
      <c r="D1926" s="26"/>
    </row>
    <row r="1927" spans="1:4" x14ac:dyDescent="0.25">
      <c r="A1927" s="25"/>
      <c r="B1927" s="25"/>
      <c r="C1927" s="25"/>
      <c r="D1927" s="26"/>
    </row>
    <row r="1928" spans="1:4" x14ac:dyDescent="0.25">
      <c r="A1928" s="25"/>
      <c r="B1928" s="25"/>
      <c r="C1928" s="25"/>
      <c r="D1928" s="26"/>
    </row>
    <row r="1929" spans="1:4" x14ac:dyDescent="0.25">
      <c r="A1929" s="25"/>
      <c r="B1929" s="25"/>
      <c r="C1929" s="25"/>
      <c r="D1929" s="26"/>
    </row>
    <row r="1930" spans="1:4" x14ac:dyDescent="0.25">
      <c r="A1930" s="25"/>
      <c r="B1930" s="25"/>
      <c r="C1930" s="25"/>
      <c r="D1930" s="26"/>
    </row>
    <row r="1931" spans="1:4" x14ac:dyDescent="0.25">
      <c r="A1931" s="25"/>
      <c r="B1931" s="25"/>
      <c r="C1931" s="25"/>
      <c r="D1931" s="26"/>
    </row>
    <row r="1932" spans="1:4" x14ac:dyDescent="0.25">
      <c r="A1932" s="25"/>
      <c r="B1932" s="25"/>
      <c r="C1932" s="25"/>
      <c r="D1932" s="26"/>
    </row>
    <row r="1933" spans="1:4" x14ac:dyDescent="0.25">
      <c r="A1933" s="25"/>
      <c r="B1933" s="25"/>
      <c r="C1933" s="25"/>
      <c r="D1933" s="26"/>
    </row>
    <row r="1934" spans="1:4" x14ac:dyDescent="0.25">
      <c r="A1934" s="25"/>
      <c r="B1934" s="25"/>
      <c r="C1934" s="25"/>
      <c r="D1934" s="26"/>
    </row>
    <row r="1935" spans="1:4" x14ac:dyDescent="0.25">
      <c r="A1935" s="25"/>
      <c r="B1935" s="25"/>
      <c r="C1935" s="25"/>
      <c r="D1935" s="26"/>
    </row>
    <row r="1936" spans="1:4" x14ac:dyDescent="0.25">
      <c r="A1936" s="25"/>
      <c r="B1936" s="25"/>
      <c r="C1936" s="25"/>
      <c r="D1936" s="26"/>
    </row>
    <row r="1937" spans="1:4" x14ac:dyDescent="0.25">
      <c r="A1937" s="25"/>
      <c r="B1937" s="25"/>
      <c r="C1937" s="25"/>
      <c r="D1937" s="26"/>
    </row>
    <row r="1938" spans="1:4" x14ac:dyDescent="0.25">
      <c r="A1938" s="25"/>
      <c r="B1938" s="25"/>
      <c r="C1938" s="25"/>
      <c r="D1938" s="26"/>
    </row>
    <row r="1939" spans="1:4" x14ac:dyDescent="0.25">
      <c r="A1939" s="25"/>
      <c r="B1939" s="25"/>
      <c r="C1939" s="25"/>
      <c r="D1939" s="26"/>
    </row>
    <row r="1940" spans="1:4" x14ac:dyDescent="0.25">
      <c r="A1940" s="25"/>
      <c r="B1940" s="25"/>
      <c r="C1940" s="25"/>
      <c r="D1940" s="26"/>
    </row>
    <row r="1941" spans="1:4" x14ac:dyDescent="0.25">
      <c r="A1941" s="25"/>
      <c r="B1941" s="25"/>
      <c r="C1941" s="25"/>
      <c r="D1941" s="26"/>
    </row>
    <row r="1942" spans="1:4" x14ac:dyDescent="0.25">
      <c r="A1942" s="25"/>
      <c r="B1942" s="25"/>
      <c r="C1942" s="25"/>
      <c r="D1942" s="26"/>
    </row>
    <row r="1943" spans="1:4" x14ac:dyDescent="0.25">
      <c r="A1943" s="25"/>
      <c r="B1943" s="25"/>
      <c r="C1943" s="25"/>
      <c r="D1943" s="26"/>
    </row>
    <row r="1944" spans="1:4" x14ac:dyDescent="0.25">
      <c r="A1944" s="25"/>
      <c r="B1944" s="25"/>
      <c r="C1944" s="25"/>
      <c r="D1944" s="26"/>
    </row>
    <row r="1945" spans="1:4" x14ac:dyDescent="0.25">
      <c r="A1945" s="25"/>
      <c r="B1945" s="25"/>
      <c r="C1945" s="25"/>
      <c r="D1945" s="26"/>
    </row>
    <row r="1946" spans="1:4" x14ac:dyDescent="0.25">
      <c r="A1946" s="25"/>
      <c r="B1946" s="25"/>
      <c r="C1946" s="25"/>
      <c r="D1946" s="26"/>
    </row>
    <row r="1947" spans="1:4" x14ac:dyDescent="0.25">
      <c r="A1947" s="25"/>
      <c r="B1947" s="25"/>
      <c r="C1947" s="25"/>
      <c r="D1947" s="26"/>
    </row>
    <row r="1948" spans="1:4" x14ac:dyDescent="0.25">
      <c r="A1948" s="25"/>
      <c r="B1948" s="25"/>
      <c r="C1948" s="25"/>
      <c r="D1948" s="26"/>
    </row>
    <row r="1949" spans="1:4" x14ac:dyDescent="0.25">
      <c r="A1949" s="25"/>
      <c r="B1949" s="25"/>
      <c r="C1949" s="25"/>
      <c r="D1949" s="26"/>
    </row>
    <row r="1950" spans="1:4" x14ac:dyDescent="0.25">
      <c r="A1950" s="25"/>
      <c r="B1950" s="25"/>
      <c r="C1950" s="25"/>
      <c r="D1950" s="26"/>
    </row>
    <row r="1951" spans="1:4" x14ac:dyDescent="0.25">
      <c r="A1951" s="25"/>
      <c r="B1951" s="25"/>
      <c r="C1951" s="25"/>
      <c r="D1951" s="26"/>
    </row>
    <row r="1952" spans="1:4" x14ac:dyDescent="0.25">
      <c r="A1952" s="25"/>
      <c r="B1952" s="25"/>
      <c r="C1952" s="25"/>
      <c r="D1952" s="26"/>
    </row>
    <row r="1953" spans="1:4" x14ac:dyDescent="0.25">
      <c r="A1953" s="25"/>
      <c r="B1953" s="25"/>
      <c r="C1953" s="25"/>
      <c r="D1953" s="26"/>
    </row>
    <row r="1954" spans="1:4" x14ac:dyDescent="0.25">
      <c r="A1954" s="25"/>
      <c r="B1954" s="25"/>
      <c r="C1954" s="25"/>
      <c r="D1954" s="26"/>
    </row>
    <row r="1955" spans="1:4" x14ac:dyDescent="0.25">
      <c r="A1955" s="25"/>
      <c r="B1955" s="25"/>
      <c r="C1955" s="25"/>
      <c r="D1955" s="26"/>
    </row>
    <row r="1956" spans="1:4" x14ac:dyDescent="0.25">
      <c r="A1956" s="25"/>
      <c r="B1956" s="25"/>
      <c r="C1956" s="25"/>
      <c r="D1956" s="26"/>
    </row>
    <row r="1957" spans="1:4" x14ac:dyDescent="0.25">
      <c r="A1957" s="25"/>
      <c r="B1957" s="25"/>
      <c r="C1957" s="25"/>
      <c r="D1957" s="26"/>
    </row>
    <row r="1958" spans="1:4" x14ac:dyDescent="0.25">
      <c r="A1958" s="25"/>
      <c r="B1958" s="25"/>
      <c r="C1958" s="25"/>
      <c r="D1958" s="26"/>
    </row>
    <row r="1959" spans="1:4" x14ac:dyDescent="0.25">
      <c r="A1959" s="25"/>
      <c r="B1959" s="25"/>
      <c r="C1959" s="25"/>
      <c r="D1959" s="26"/>
    </row>
    <row r="1960" spans="1:4" x14ac:dyDescent="0.25">
      <c r="A1960" s="25"/>
      <c r="B1960" s="25"/>
      <c r="C1960" s="25"/>
      <c r="D1960" s="26"/>
    </row>
    <row r="1961" spans="1:4" x14ac:dyDescent="0.25">
      <c r="A1961" s="25"/>
      <c r="B1961" s="25"/>
      <c r="C1961" s="25"/>
      <c r="D1961" s="26"/>
    </row>
    <row r="1962" spans="1:4" x14ac:dyDescent="0.25">
      <c r="A1962" s="25"/>
      <c r="B1962" s="25"/>
      <c r="C1962" s="25"/>
      <c r="D1962" s="26"/>
    </row>
    <row r="1963" spans="1:4" x14ac:dyDescent="0.25">
      <c r="A1963" s="25"/>
      <c r="B1963" s="25"/>
      <c r="C1963" s="25"/>
      <c r="D1963" s="26"/>
    </row>
    <row r="1964" spans="1:4" x14ac:dyDescent="0.25">
      <c r="A1964" s="25"/>
      <c r="B1964" s="25"/>
      <c r="C1964" s="25"/>
      <c r="D1964" s="26"/>
    </row>
    <row r="1965" spans="1:4" x14ac:dyDescent="0.25">
      <c r="A1965" s="25"/>
      <c r="B1965" s="25"/>
      <c r="C1965" s="25"/>
      <c r="D1965" s="26"/>
    </row>
    <row r="1966" spans="1:4" x14ac:dyDescent="0.25">
      <c r="A1966" s="25"/>
      <c r="B1966" s="25"/>
      <c r="C1966" s="25"/>
      <c r="D1966" s="26"/>
    </row>
    <row r="1967" spans="1:4" x14ac:dyDescent="0.25">
      <c r="A1967" s="25"/>
      <c r="B1967" s="25"/>
      <c r="C1967" s="25"/>
      <c r="D1967" s="26"/>
    </row>
    <row r="1968" spans="1:4" x14ac:dyDescent="0.25">
      <c r="A1968" s="25"/>
      <c r="B1968" s="25"/>
      <c r="C1968" s="25"/>
      <c r="D1968" s="26"/>
    </row>
    <row r="1969" spans="1:4" x14ac:dyDescent="0.25">
      <c r="A1969" s="25"/>
      <c r="B1969" s="25"/>
      <c r="C1969" s="25"/>
      <c r="D1969" s="26"/>
    </row>
    <row r="1970" spans="1:4" x14ac:dyDescent="0.25">
      <c r="A1970" s="25"/>
      <c r="B1970" s="25"/>
      <c r="C1970" s="25"/>
      <c r="D1970" s="26"/>
    </row>
    <row r="1971" spans="1:4" x14ac:dyDescent="0.25">
      <c r="A1971" s="25"/>
      <c r="B1971" s="25"/>
      <c r="C1971" s="25"/>
      <c r="D1971" s="26"/>
    </row>
    <row r="1972" spans="1:4" x14ac:dyDescent="0.25">
      <c r="A1972" s="25"/>
      <c r="B1972" s="25"/>
      <c r="C1972" s="25"/>
      <c r="D1972" s="26"/>
    </row>
    <row r="1973" spans="1:4" x14ac:dyDescent="0.25">
      <c r="A1973" s="25"/>
      <c r="B1973" s="25"/>
      <c r="C1973" s="25"/>
      <c r="D1973" s="26"/>
    </row>
    <row r="1974" spans="1:4" x14ac:dyDescent="0.25">
      <c r="A1974" s="25"/>
      <c r="B1974" s="25"/>
      <c r="C1974" s="25"/>
      <c r="D1974" s="26"/>
    </row>
    <row r="1975" spans="1:4" x14ac:dyDescent="0.25">
      <c r="A1975" s="25"/>
      <c r="B1975" s="25"/>
      <c r="C1975" s="25"/>
      <c r="D1975" s="26"/>
    </row>
    <row r="1976" spans="1:4" x14ac:dyDescent="0.25">
      <c r="A1976" s="25"/>
      <c r="B1976" s="25"/>
      <c r="C1976" s="25"/>
      <c r="D1976" s="26"/>
    </row>
    <row r="1977" spans="1:4" x14ac:dyDescent="0.25">
      <c r="A1977" s="25"/>
      <c r="B1977" s="25"/>
      <c r="C1977" s="25"/>
      <c r="D1977" s="26"/>
    </row>
    <row r="1978" spans="1:4" x14ac:dyDescent="0.25">
      <c r="A1978" s="25"/>
      <c r="B1978" s="25"/>
      <c r="C1978" s="25"/>
      <c r="D1978" s="26"/>
    </row>
    <row r="1979" spans="1:4" x14ac:dyDescent="0.25">
      <c r="A1979" s="25"/>
      <c r="B1979" s="25"/>
      <c r="C1979" s="25"/>
      <c r="D1979" s="26"/>
    </row>
    <row r="1980" spans="1:4" x14ac:dyDescent="0.25">
      <c r="A1980" s="25"/>
      <c r="B1980" s="25"/>
      <c r="C1980" s="25"/>
      <c r="D1980" s="26"/>
    </row>
    <row r="1981" spans="1:4" x14ac:dyDescent="0.25">
      <c r="A1981" s="25"/>
      <c r="B1981" s="25"/>
      <c r="C1981" s="25"/>
      <c r="D1981" s="26"/>
    </row>
    <row r="1982" spans="1:4" x14ac:dyDescent="0.25">
      <c r="A1982" s="25"/>
      <c r="B1982" s="25"/>
      <c r="C1982" s="25"/>
      <c r="D1982" s="26"/>
    </row>
    <row r="1983" spans="1:4" x14ac:dyDescent="0.25">
      <c r="A1983" s="25"/>
      <c r="B1983" s="25"/>
      <c r="C1983" s="25"/>
      <c r="D1983" s="26"/>
    </row>
    <row r="1984" spans="1:4" x14ac:dyDescent="0.25">
      <c r="A1984" s="25"/>
      <c r="B1984" s="25"/>
      <c r="C1984" s="25"/>
      <c r="D1984" s="26"/>
    </row>
    <row r="1985" spans="1:4" x14ac:dyDescent="0.25">
      <c r="A1985" s="25"/>
      <c r="B1985" s="25"/>
      <c r="C1985" s="25"/>
      <c r="D1985" s="26"/>
    </row>
    <row r="1986" spans="1:4" x14ac:dyDescent="0.25">
      <c r="A1986" s="25"/>
      <c r="B1986" s="25"/>
      <c r="C1986" s="25"/>
      <c r="D1986" s="26"/>
    </row>
    <row r="1987" spans="1:4" x14ac:dyDescent="0.25">
      <c r="A1987" s="25"/>
      <c r="B1987" s="25"/>
      <c r="C1987" s="25"/>
      <c r="D1987" s="26"/>
    </row>
    <row r="1988" spans="1:4" x14ac:dyDescent="0.25">
      <c r="A1988" s="25"/>
      <c r="B1988" s="25"/>
      <c r="C1988" s="25"/>
      <c r="D1988" s="26"/>
    </row>
    <row r="1989" spans="1:4" x14ac:dyDescent="0.25">
      <c r="A1989" s="25"/>
      <c r="B1989" s="25"/>
      <c r="C1989" s="25"/>
      <c r="D1989" s="26"/>
    </row>
    <row r="1990" spans="1:4" x14ac:dyDescent="0.25">
      <c r="A1990" s="25"/>
      <c r="B1990" s="25"/>
      <c r="C1990" s="25"/>
      <c r="D1990" s="26"/>
    </row>
    <row r="1991" spans="1:4" x14ac:dyDescent="0.25">
      <c r="A1991" s="25"/>
      <c r="B1991" s="25"/>
      <c r="C1991" s="25"/>
      <c r="D1991" s="26"/>
    </row>
    <row r="1992" spans="1:4" x14ac:dyDescent="0.25">
      <c r="A1992" s="25"/>
      <c r="B1992" s="25"/>
      <c r="C1992" s="25"/>
      <c r="D1992" s="26"/>
    </row>
    <row r="1993" spans="1:4" x14ac:dyDescent="0.25">
      <c r="A1993" s="25"/>
      <c r="B1993" s="25"/>
      <c r="C1993" s="25"/>
      <c r="D1993" s="26"/>
    </row>
    <row r="1994" spans="1:4" x14ac:dyDescent="0.25">
      <c r="A1994" s="25"/>
      <c r="B1994" s="25"/>
      <c r="C1994" s="25"/>
      <c r="D1994" s="26"/>
    </row>
    <row r="1995" spans="1:4" x14ac:dyDescent="0.25">
      <c r="A1995" s="25"/>
      <c r="B1995" s="25"/>
      <c r="C1995" s="25"/>
      <c r="D1995" s="26"/>
    </row>
    <row r="1996" spans="1:4" x14ac:dyDescent="0.25">
      <c r="A1996" s="25"/>
      <c r="B1996" s="25"/>
      <c r="C1996" s="25"/>
      <c r="D1996" s="26"/>
    </row>
    <row r="1997" spans="1:4" x14ac:dyDescent="0.25">
      <c r="A1997" s="25"/>
      <c r="B1997" s="25"/>
      <c r="C1997" s="25"/>
      <c r="D1997" s="26"/>
    </row>
    <row r="1998" spans="1:4" x14ac:dyDescent="0.25">
      <c r="A1998" s="25"/>
      <c r="B1998" s="25"/>
      <c r="C1998" s="25"/>
      <c r="D1998" s="26"/>
    </row>
    <row r="1999" spans="1:4" x14ac:dyDescent="0.25">
      <c r="A1999" s="25"/>
      <c r="B1999" s="25"/>
      <c r="C1999" s="25"/>
      <c r="D1999" s="26"/>
    </row>
    <row r="2000" spans="1:4" x14ac:dyDescent="0.25">
      <c r="A2000" s="25"/>
      <c r="B2000" s="25"/>
      <c r="C2000" s="25"/>
      <c r="D2000" s="26"/>
    </row>
    <row r="2001" spans="1:4" x14ac:dyDescent="0.25">
      <c r="A2001" s="25"/>
      <c r="B2001" s="25"/>
      <c r="C2001" s="25"/>
      <c r="D2001" s="26"/>
    </row>
    <row r="2002" spans="1:4" x14ac:dyDescent="0.25">
      <c r="A2002" s="25"/>
      <c r="B2002" s="25"/>
      <c r="C2002" s="25"/>
      <c r="D2002" s="26"/>
    </row>
    <row r="2003" spans="1:4" x14ac:dyDescent="0.25">
      <c r="A2003" s="25"/>
      <c r="B2003" s="25"/>
      <c r="C2003" s="25"/>
      <c r="D2003" s="26"/>
    </row>
    <row r="2004" spans="1:4" x14ac:dyDescent="0.25">
      <c r="A2004" s="25"/>
      <c r="B2004" s="25"/>
      <c r="C2004" s="25"/>
      <c r="D2004" s="26"/>
    </row>
    <row r="2005" spans="1:4" x14ac:dyDescent="0.25">
      <c r="A2005" s="25"/>
      <c r="B2005" s="25"/>
      <c r="C2005" s="25"/>
      <c r="D2005" s="26"/>
    </row>
    <row r="2006" spans="1:4" x14ac:dyDescent="0.25">
      <c r="A2006" s="25"/>
      <c r="B2006" s="25"/>
      <c r="C2006" s="25"/>
      <c r="D2006" s="26"/>
    </row>
    <row r="2007" spans="1:4" x14ac:dyDescent="0.25">
      <c r="A2007" s="25"/>
      <c r="B2007" s="25"/>
      <c r="C2007" s="25"/>
      <c r="D2007" s="26"/>
    </row>
    <row r="2008" spans="1:4" x14ac:dyDescent="0.25">
      <c r="A2008" s="25"/>
      <c r="B2008" s="25"/>
      <c r="C2008" s="25"/>
      <c r="D2008" s="26"/>
    </row>
    <row r="2009" spans="1:4" x14ac:dyDescent="0.25">
      <c r="A2009" s="25"/>
      <c r="B2009" s="25"/>
      <c r="C2009" s="25"/>
      <c r="D2009" s="26"/>
    </row>
    <row r="2010" spans="1:4" x14ac:dyDescent="0.25">
      <c r="A2010" s="25"/>
      <c r="B2010" s="25"/>
      <c r="C2010" s="25"/>
      <c r="D2010" s="26"/>
    </row>
    <row r="2011" spans="1:4" x14ac:dyDescent="0.25">
      <c r="A2011" s="25"/>
      <c r="B2011" s="25"/>
      <c r="C2011" s="25"/>
      <c r="D2011" s="26"/>
    </row>
    <row r="2012" spans="1:4" x14ac:dyDescent="0.25">
      <c r="A2012" s="25"/>
      <c r="B2012" s="25"/>
      <c r="C2012" s="25"/>
      <c r="D2012" s="26"/>
    </row>
    <row r="2013" spans="1:4" x14ac:dyDescent="0.25">
      <c r="A2013" s="25"/>
      <c r="B2013" s="25"/>
      <c r="C2013" s="25"/>
      <c r="D2013" s="26"/>
    </row>
    <row r="2014" spans="1:4" x14ac:dyDescent="0.25">
      <c r="A2014" s="25"/>
      <c r="B2014" s="25"/>
      <c r="C2014" s="25"/>
      <c r="D2014" s="26"/>
    </row>
    <row r="2015" spans="1:4" x14ac:dyDescent="0.25">
      <c r="A2015" s="25"/>
      <c r="B2015" s="25"/>
      <c r="C2015" s="25"/>
      <c r="D2015" s="26"/>
    </row>
    <row r="2016" spans="1:4" x14ac:dyDescent="0.25">
      <c r="A2016" s="25"/>
      <c r="B2016" s="25"/>
      <c r="C2016" s="25"/>
      <c r="D2016" s="26"/>
    </row>
    <row r="2017" spans="1:4" x14ac:dyDescent="0.25">
      <c r="A2017" s="25"/>
      <c r="B2017" s="25"/>
      <c r="C2017" s="25"/>
      <c r="D2017" s="26"/>
    </row>
    <row r="2018" spans="1:4" x14ac:dyDescent="0.25">
      <c r="A2018" s="25"/>
      <c r="B2018" s="25"/>
      <c r="C2018" s="25"/>
      <c r="D2018" s="26"/>
    </row>
    <row r="2019" spans="1:4" x14ac:dyDescent="0.25">
      <c r="A2019" s="25"/>
      <c r="B2019" s="25"/>
      <c r="C2019" s="25"/>
      <c r="D2019" s="26"/>
    </row>
    <row r="2020" spans="1:4" x14ac:dyDescent="0.25">
      <c r="A2020" s="25"/>
      <c r="B2020" s="25"/>
      <c r="C2020" s="25"/>
      <c r="D2020" s="26"/>
    </row>
    <row r="2021" spans="1:4" x14ac:dyDescent="0.25">
      <c r="A2021" s="25"/>
      <c r="B2021" s="25"/>
      <c r="C2021" s="25"/>
      <c r="D2021" s="26"/>
    </row>
    <row r="2022" spans="1:4" x14ac:dyDescent="0.25">
      <c r="A2022" s="25"/>
      <c r="B2022" s="25"/>
      <c r="C2022" s="25"/>
      <c r="D2022" s="26"/>
    </row>
    <row r="2023" spans="1:4" x14ac:dyDescent="0.25">
      <c r="A2023" s="25"/>
      <c r="B2023" s="25"/>
      <c r="C2023" s="25"/>
      <c r="D2023" s="26"/>
    </row>
    <row r="2024" spans="1:4" x14ac:dyDescent="0.25">
      <c r="A2024" s="25"/>
      <c r="B2024" s="25"/>
      <c r="C2024" s="25"/>
      <c r="D2024" s="26"/>
    </row>
    <row r="2025" spans="1:4" x14ac:dyDescent="0.25">
      <c r="A2025" s="25"/>
      <c r="B2025" s="25"/>
      <c r="C2025" s="25"/>
      <c r="D2025" s="26"/>
    </row>
    <row r="2026" spans="1:4" x14ac:dyDescent="0.25">
      <c r="A2026" s="25"/>
      <c r="B2026" s="25"/>
      <c r="C2026" s="25"/>
      <c r="D2026" s="26"/>
    </row>
    <row r="2027" spans="1:4" x14ac:dyDescent="0.25">
      <c r="A2027" s="25"/>
      <c r="B2027" s="25"/>
      <c r="C2027" s="25"/>
      <c r="D2027" s="26"/>
    </row>
    <row r="2028" spans="1:4" x14ac:dyDescent="0.25">
      <c r="A2028" s="25"/>
      <c r="B2028" s="25"/>
      <c r="C2028" s="25"/>
      <c r="D2028" s="26"/>
    </row>
    <row r="2029" spans="1:4" x14ac:dyDescent="0.25">
      <c r="A2029" s="25"/>
      <c r="B2029" s="25"/>
      <c r="C2029" s="25"/>
      <c r="D2029" s="26"/>
    </row>
    <row r="2030" spans="1:4" x14ac:dyDescent="0.25">
      <c r="A2030" s="25"/>
      <c r="B2030" s="25"/>
      <c r="C2030" s="25"/>
      <c r="D2030" s="26"/>
    </row>
    <row r="2031" spans="1:4" x14ac:dyDescent="0.25">
      <c r="A2031" s="25"/>
      <c r="B2031" s="25"/>
      <c r="C2031" s="25"/>
      <c r="D2031" s="26"/>
    </row>
    <row r="2032" spans="1:4" x14ac:dyDescent="0.25">
      <c r="A2032" s="25"/>
      <c r="B2032" s="25"/>
      <c r="C2032" s="25"/>
      <c r="D2032" s="26"/>
    </row>
    <row r="2033" spans="1:4" x14ac:dyDescent="0.25">
      <c r="A2033" s="25"/>
      <c r="B2033" s="25"/>
      <c r="C2033" s="25"/>
      <c r="D2033" s="26"/>
    </row>
    <row r="2034" spans="1:4" x14ac:dyDescent="0.25">
      <c r="A2034" s="25"/>
      <c r="B2034" s="25"/>
      <c r="C2034" s="25"/>
      <c r="D2034" s="26"/>
    </row>
    <row r="2035" spans="1:4" x14ac:dyDescent="0.25">
      <c r="A2035" s="25"/>
      <c r="B2035" s="25"/>
      <c r="C2035" s="25"/>
      <c r="D2035" s="26"/>
    </row>
    <row r="2036" spans="1:4" x14ac:dyDescent="0.25">
      <c r="A2036" s="25"/>
      <c r="B2036" s="25"/>
      <c r="C2036" s="25"/>
      <c r="D2036" s="26"/>
    </row>
    <row r="2037" spans="1:4" x14ac:dyDescent="0.25">
      <c r="A2037" s="25"/>
      <c r="B2037" s="25"/>
      <c r="C2037" s="25"/>
      <c r="D2037" s="26"/>
    </row>
    <row r="2038" spans="1:4" x14ac:dyDescent="0.25">
      <c r="A2038" s="25"/>
      <c r="B2038" s="25"/>
      <c r="C2038" s="25"/>
      <c r="D2038" s="26"/>
    </row>
    <row r="2039" spans="1:4" x14ac:dyDescent="0.25">
      <c r="A2039" s="25"/>
      <c r="B2039" s="25"/>
      <c r="C2039" s="25"/>
      <c r="D2039" s="26"/>
    </row>
    <row r="2040" spans="1:4" x14ac:dyDescent="0.25">
      <c r="A2040" s="25"/>
      <c r="B2040" s="25"/>
      <c r="C2040" s="25"/>
      <c r="D2040" s="26"/>
    </row>
    <row r="2041" spans="1:4" x14ac:dyDescent="0.25">
      <c r="A2041" s="25"/>
      <c r="B2041" s="25"/>
      <c r="C2041" s="25"/>
      <c r="D2041" s="26"/>
    </row>
    <row r="2042" spans="1:4" x14ac:dyDescent="0.25">
      <c r="A2042" s="25"/>
      <c r="B2042" s="25"/>
      <c r="C2042" s="25"/>
      <c r="D2042" s="26"/>
    </row>
    <row r="2043" spans="1:4" x14ac:dyDescent="0.25">
      <c r="A2043" s="25"/>
      <c r="B2043" s="25"/>
      <c r="C2043" s="25"/>
      <c r="D2043" s="26"/>
    </row>
    <row r="2044" spans="1:4" x14ac:dyDescent="0.25">
      <c r="A2044" s="25"/>
      <c r="B2044" s="25"/>
      <c r="C2044" s="25"/>
      <c r="D2044" s="26"/>
    </row>
    <row r="2045" spans="1:4" x14ac:dyDescent="0.25">
      <c r="A2045" s="25"/>
      <c r="B2045" s="25"/>
      <c r="C2045" s="25"/>
      <c r="D2045" s="26"/>
    </row>
    <row r="2046" spans="1:4" x14ac:dyDescent="0.25">
      <c r="A2046" s="25"/>
      <c r="B2046" s="25"/>
      <c r="C2046" s="25"/>
      <c r="D2046" s="26"/>
    </row>
    <row r="2047" spans="1:4" x14ac:dyDescent="0.25">
      <c r="A2047" s="25"/>
      <c r="B2047" s="25"/>
      <c r="C2047" s="25"/>
      <c r="D2047" s="26"/>
    </row>
    <row r="2048" spans="1:4" x14ac:dyDescent="0.25">
      <c r="A2048" s="25"/>
      <c r="B2048" s="25"/>
      <c r="C2048" s="25"/>
      <c r="D2048" s="26"/>
    </row>
    <row r="2049" spans="1:4" x14ac:dyDescent="0.25">
      <c r="A2049" s="25"/>
      <c r="B2049" s="25"/>
      <c r="C2049" s="25"/>
      <c r="D2049" s="26"/>
    </row>
    <row r="2050" spans="1:4" x14ac:dyDescent="0.25">
      <c r="A2050" s="25"/>
      <c r="B2050" s="25"/>
      <c r="C2050" s="25"/>
      <c r="D2050" s="26"/>
    </row>
    <row r="2051" spans="1:4" x14ac:dyDescent="0.25">
      <c r="A2051" s="25"/>
      <c r="B2051" s="25"/>
      <c r="C2051" s="25"/>
      <c r="D2051" s="26"/>
    </row>
    <row r="2052" spans="1:4" x14ac:dyDescent="0.25">
      <c r="A2052" s="25"/>
      <c r="B2052" s="25"/>
      <c r="C2052" s="25"/>
      <c r="D2052" s="26"/>
    </row>
    <row r="2053" spans="1:4" x14ac:dyDescent="0.25">
      <c r="A2053" s="25"/>
      <c r="B2053" s="25"/>
      <c r="C2053" s="25"/>
      <c r="D2053" s="26"/>
    </row>
    <row r="2054" spans="1:4" x14ac:dyDescent="0.25">
      <c r="A2054" s="25"/>
      <c r="B2054" s="25"/>
      <c r="C2054" s="25"/>
      <c r="D2054" s="26"/>
    </row>
    <row r="2055" spans="1:4" x14ac:dyDescent="0.25">
      <c r="A2055" s="25"/>
      <c r="B2055" s="25"/>
      <c r="C2055" s="25"/>
      <c r="D2055" s="26"/>
    </row>
    <row r="2056" spans="1:4" x14ac:dyDescent="0.25">
      <c r="A2056" s="25"/>
      <c r="B2056" s="25"/>
      <c r="C2056" s="25"/>
      <c r="D2056" s="26"/>
    </row>
    <row r="2057" spans="1:4" x14ac:dyDescent="0.25">
      <c r="A2057" s="25"/>
      <c r="B2057" s="25"/>
      <c r="C2057" s="25"/>
      <c r="D2057" s="26"/>
    </row>
    <row r="2058" spans="1:4" x14ac:dyDescent="0.25">
      <c r="A2058" s="25"/>
      <c r="B2058" s="25"/>
      <c r="C2058" s="25"/>
      <c r="D2058" s="26"/>
    </row>
    <row r="2059" spans="1:4" x14ac:dyDescent="0.25">
      <c r="A2059" s="25"/>
      <c r="B2059" s="25"/>
      <c r="C2059" s="25"/>
      <c r="D2059" s="26"/>
    </row>
    <row r="2060" spans="1:4" x14ac:dyDescent="0.25">
      <c r="A2060" s="25"/>
      <c r="B2060" s="25"/>
      <c r="C2060" s="25"/>
      <c r="D2060" s="26"/>
    </row>
    <row r="2061" spans="1:4" x14ac:dyDescent="0.25">
      <c r="A2061" s="25"/>
      <c r="B2061" s="25"/>
      <c r="C2061" s="25"/>
      <c r="D2061" s="26"/>
    </row>
    <row r="2062" spans="1:4" x14ac:dyDescent="0.25">
      <c r="A2062" s="25"/>
      <c r="B2062" s="25"/>
      <c r="C2062" s="25"/>
      <c r="D2062" s="26"/>
    </row>
    <row r="2063" spans="1:4" x14ac:dyDescent="0.25">
      <c r="A2063" s="25"/>
      <c r="B2063" s="25"/>
      <c r="C2063" s="25"/>
      <c r="D2063" s="26"/>
    </row>
    <row r="2064" spans="1:4" x14ac:dyDescent="0.25">
      <c r="A2064" s="25"/>
      <c r="B2064" s="25"/>
      <c r="C2064" s="25"/>
      <c r="D2064" s="26"/>
    </row>
    <row r="2065" spans="1:4" x14ac:dyDescent="0.25">
      <c r="A2065" s="25"/>
      <c r="B2065" s="25"/>
      <c r="C2065" s="25"/>
      <c r="D2065" s="26"/>
    </row>
    <row r="2066" spans="1:4" x14ac:dyDescent="0.25">
      <c r="A2066" s="25"/>
      <c r="B2066" s="25"/>
      <c r="C2066" s="25"/>
      <c r="D2066" s="26"/>
    </row>
    <row r="2067" spans="1:4" x14ac:dyDescent="0.25">
      <c r="A2067" s="25"/>
      <c r="B2067" s="25"/>
      <c r="C2067" s="25"/>
      <c r="D2067" s="26"/>
    </row>
    <row r="2068" spans="1:4" x14ac:dyDescent="0.25">
      <c r="A2068" s="25"/>
      <c r="B2068" s="25"/>
      <c r="C2068" s="25"/>
      <c r="D2068" s="26"/>
    </row>
    <row r="2069" spans="1:4" x14ac:dyDescent="0.25">
      <c r="A2069" s="25"/>
      <c r="B2069" s="25"/>
      <c r="C2069" s="25"/>
      <c r="D2069" s="26"/>
    </row>
    <row r="2070" spans="1:4" x14ac:dyDescent="0.25">
      <c r="A2070" s="25"/>
      <c r="B2070" s="25"/>
      <c r="C2070" s="25"/>
      <c r="D2070" s="26"/>
    </row>
  </sheetData>
  <mergeCells count="7">
    <mergeCell ref="T53:V53"/>
    <mergeCell ref="B53:D53"/>
    <mergeCell ref="E53:G53"/>
    <mergeCell ref="H53:J53"/>
    <mergeCell ref="K53:M53"/>
    <mergeCell ref="N53:P53"/>
    <mergeCell ref="Q53:S53"/>
  </mergeCells>
  <dataValidations count="3">
    <dataValidation type="whole" operator="greaterThanOrEqual" allowBlank="1" showInputMessage="1" showErrorMessage="1" sqref="D63:D2070" xr:uid="{05EBD644-C340-43A9-B5F2-47D34AD783E9}">
      <formula1>0</formula1>
    </dataValidation>
    <dataValidation type="decimal" operator="greaterThanOrEqual" allowBlank="1" showInputMessage="1" showErrorMessage="1" sqref="B63:C2070" xr:uid="{6611C42E-C79A-4236-975D-9FE00812D812}">
      <formula1>0</formula1>
    </dataValidation>
    <dataValidation type="decimal" operator="greaterThan" allowBlank="1" showInputMessage="1" showErrorMessage="1" sqref="A63:A2070" xr:uid="{7D019822-A041-4D4F-BF96-753DD760E9DD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27A3-33B2-4F40-8CE8-DD90ECFE28E5}">
  <dimension ref="A1:Y284"/>
  <sheetViews>
    <sheetView topLeftCell="A31" workbookViewId="0">
      <selection activeCell="I13" sqref="I13"/>
    </sheetView>
  </sheetViews>
  <sheetFormatPr defaultRowHeight="15" x14ac:dyDescent="0.25"/>
  <cols>
    <col min="1" max="1" width="33.140625" bestFit="1" customWidth="1"/>
    <col min="2" max="2" width="20.85546875" bestFit="1" customWidth="1"/>
    <col min="3" max="3" width="15.140625" bestFit="1" customWidth="1"/>
    <col min="4" max="5" width="14.140625" bestFit="1" customWidth="1"/>
    <col min="6" max="6" width="18.28515625" customWidth="1"/>
    <col min="7" max="7" width="16.5703125" customWidth="1"/>
    <col min="8" max="8" width="13.28515625" customWidth="1"/>
    <col min="9" max="13" width="12" bestFit="1" customWidth="1"/>
    <col min="14" max="14" width="14.42578125" customWidth="1"/>
    <col min="15" max="20" width="11" bestFit="1" customWidth="1"/>
    <col min="21" max="21" width="10" bestFit="1" customWidth="1"/>
    <col min="22" max="22" width="12" bestFit="1" customWidth="1"/>
    <col min="23" max="36" width="33.140625" bestFit="1" customWidth="1"/>
    <col min="37" max="37" width="38" bestFit="1" customWidth="1"/>
    <col min="38" max="38" width="34" bestFit="1" customWidth="1"/>
    <col min="39" max="39" width="30.7109375" bestFit="1" customWidth="1"/>
    <col min="40" max="40" width="28.140625" bestFit="1" customWidth="1"/>
    <col min="41" max="51" width="32" bestFit="1" customWidth="1"/>
    <col min="52" max="52" width="18.28515625" bestFit="1" customWidth="1"/>
    <col min="53" max="64" width="14.140625" bestFit="1" customWidth="1"/>
    <col min="65" max="65" width="17" bestFit="1" customWidth="1"/>
    <col min="66" max="77" width="15.28515625" bestFit="1" customWidth="1"/>
    <col min="78" max="78" width="18.140625" bestFit="1" customWidth="1"/>
    <col min="79" max="90" width="23.42578125" bestFit="1" customWidth="1"/>
    <col min="91" max="91" width="18.28515625" bestFit="1" customWidth="1"/>
    <col min="92" max="103" width="14.140625" bestFit="1" customWidth="1"/>
    <col min="104" max="104" width="17" bestFit="1" customWidth="1"/>
    <col min="105" max="116" width="15.28515625" bestFit="1" customWidth="1"/>
    <col min="117" max="117" width="18.140625" bestFit="1" customWidth="1"/>
    <col min="118" max="118" width="34" bestFit="1" customWidth="1"/>
    <col min="119" max="119" width="36.7109375" bestFit="1" customWidth="1"/>
    <col min="120" max="120" width="28.140625" bestFit="1" customWidth="1"/>
  </cols>
  <sheetData>
    <row r="1" spans="1:8" x14ac:dyDescent="0.25">
      <c r="A1" s="11" t="s">
        <v>110</v>
      </c>
      <c r="B1" s="11"/>
      <c r="C1" s="11"/>
      <c r="D1" s="11"/>
      <c r="E1" s="11"/>
      <c r="F1" s="11"/>
      <c r="G1" s="11"/>
      <c r="H1" s="11"/>
    </row>
    <row r="2" spans="1:8" x14ac:dyDescent="0.25">
      <c r="F2" s="11"/>
    </row>
    <row r="3" spans="1:8" x14ac:dyDescent="0.25">
      <c r="A3" s="19" t="s">
        <v>0</v>
      </c>
      <c r="B3" s="20">
        <v>2022</v>
      </c>
      <c r="C3" s="11"/>
    </row>
    <row r="5" spans="1:8" x14ac:dyDescent="0.25">
      <c r="A5" s="19" t="s">
        <v>84</v>
      </c>
      <c r="B5" s="19" t="s">
        <v>108</v>
      </c>
    </row>
    <row r="6" spans="1:8" x14ac:dyDescent="0.25">
      <c r="A6" s="19" t="s">
        <v>85</v>
      </c>
      <c r="B6" t="s">
        <v>8</v>
      </c>
      <c r="C6" t="s">
        <v>25</v>
      </c>
      <c r="D6" t="s">
        <v>29</v>
      </c>
      <c r="E6" t="s">
        <v>86</v>
      </c>
    </row>
    <row r="7" spans="1:8" x14ac:dyDescent="0.25">
      <c r="A7" s="20" t="s">
        <v>9</v>
      </c>
      <c r="B7" s="1">
        <v>118318.64917</v>
      </c>
      <c r="C7" s="1">
        <v>110107.78052700004</v>
      </c>
      <c r="D7" s="1">
        <v>272301.98415199993</v>
      </c>
      <c r="E7" s="1">
        <v>500728.413849</v>
      </c>
    </row>
    <row r="8" spans="1:8" x14ac:dyDescent="0.25">
      <c r="A8" s="20" t="s">
        <v>14</v>
      </c>
      <c r="B8" s="1">
        <v>87186.432141999991</v>
      </c>
      <c r="C8" s="1">
        <v>28378.208834000005</v>
      </c>
      <c r="D8" s="1">
        <v>105801.86116300001</v>
      </c>
      <c r="E8" s="1">
        <v>221366.50213899999</v>
      </c>
    </row>
    <row r="9" spans="1:8" x14ac:dyDescent="0.25">
      <c r="A9" s="20" t="s">
        <v>20</v>
      </c>
      <c r="B9" s="1">
        <v>4990.2211380000008</v>
      </c>
      <c r="C9" s="1">
        <v>1750.111846</v>
      </c>
      <c r="D9" s="1">
        <v>8740.2883359999978</v>
      </c>
      <c r="E9" s="1">
        <v>15480.621319999998</v>
      </c>
    </row>
    <row r="10" spans="1:8" x14ac:dyDescent="0.25">
      <c r="A10" s="20" t="s">
        <v>17</v>
      </c>
      <c r="B10" s="1">
        <v>3412.6708350000004</v>
      </c>
      <c r="C10" s="1">
        <v>4424.6321099999996</v>
      </c>
      <c r="D10" s="1">
        <v>7875.6685619999989</v>
      </c>
      <c r="E10" s="1">
        <v>15712.971506999998</v>
      </c>
    </row>
    <row r="11" spans="1:8" x14ac:dyDescent="0.25">
      <c r="A11" s="20" t="s">
        <v>16</v>
      </c>
      <c r="B11" s="1">
        <v>2041.4898110000004</v>
      </c>
      <c r="C11" s="1">
        <v>7788.6439049999999</v>
      </c>
      <c r="D11" s="1">
        <v>21230.258773999994</v>
      </c>
      <c r="E11" s="1">
        <v>31060.392489999995</v>
      </c>
    </row>
    <row r="12" spans="1:8" x14ac:dyDescent="0.25">
      <c r="A12" s="20" t="s">
        <v>19</v>
      </c>
      <c r="B12" s="1">
        <v>1050.0327590000002</v>
      </c>
      <c r="C12" s="1">
        <v>1093.66686</v>
      </c>
      <c r="D12" s="1">
        <v>2245.1163420000003</v>
      </c>
      <c r="E12" s="1">
        <v>4388.8159610000002</v>
      </c>
    </row>
    <row r="13" spans="1:8" x14ac:dyDescent="0.25">
      <c r="A13" s="20" t="s">
        <v>48</v>
      </c>
      <c r="B13" s="1">
        <v>918.25090999999998</v>
      </c>
      <c r="C13" s="1">
        <v>744.79609500000004</v>
      </c>
      <c r="D13" s="1">
        <v>344.14095400000002</v>
      </c>
      <c r="E13" s="1">
        <v>2007.1879589999999</v>
      </c>
    </row>
    <row r="14" spans="1:8" x14ac:dyDescent="0.25">
      <c r="A14" s="20" t="s">
        <v>47</v>
      </c>
      <c r="B14" s="1">
        <v>822.02257100000008</v>
      </c>
      <c r="C14" s="1">
        <v>1633.2927539999998</v>
      </c>
      <c r="D14" s="1">
        <v>10974.992969000001</v>
      </c>
      <c r="E14" s="1">
        <v>13430.308294</v>
      </c>
    </row>
    <row r="15" spans="1:8" x14ac:dyDescent="0.25">
      <c r="A15" s="20" t="s">
        <v>22</v>
      </c>
      <c r="B15" s="1">
        <v>426.93183700000003</v>
      </c>
      <c r="C15" s="1"/>
      <c r="D15" s="1"/>
      <c r="E15" s="1">
        <v>426.93183700000003</v>
      </c>
    </row>
    <row r="16" spans="1:8" x14ac:dyDescent="0.25">
      <c r="A16" s="20" t="s">
        <v>37</v>
      </c>
      <c r="B16" s="1">
        <v>395.233228</v>
      </c>
      <c r="C16" s="1">
        <v>778.48600899999997</v>
      </c>
      <c r="D16" s="1">
        <v>1100.005322</v>
      </c>
      <c r="E16" s="1">
        <v>2273.7245590000002</v>
      </c>
    </row>
    <row r="17" spans="1:25" x14ac:dyDescent="0.25">
      <c r="A17" s="20" t="s">
        <v>51</v>
      </c>
      <c r="B17" s="1">
        <v>330.19771600000001</v>
      </c>
      <c r="C17" s="1">
        <v>315.24589800000001</v>
      </c>
      <c r="D17" s="1"/>
      <c r="E17" s="1">
        <v>645.44361400000003</v>
      </c>
    </row>
    <row r="18" spans="1:25" x14ac:dyDescent="0.25">
      <c r="A18" s="20" t="s">
        <v>49</v>
      </c>
      <c r="B18" s="1">
        <v>202.86361099999999</v>
      </c>
      <c r="C18" s="1"/>
      <c r="D18" s="1">
        <v>538.268012</v>
      </c>
      <c r="E18" s="1">
        <v>741.13162299999999</v>
      </c>
    </row>
    <row r="19" spans="1:25" x14ac:dyDescent="0.25">
      <c r="A19" s="20" t="s">
        <v>34</v>
      </c>
      <c r="B19" s="1">
        <v>182.54365300000001</v>
      </c>
      <c r="C19" s="1"/>
      <c r="D19" s="1"/>
      <c r="E19" s="1">
        <v>182.54365300000001</v>
      </c>
    </row>
    <row r="20" spans="1:25" x14ac:dyDescent="0.25">
      <c r="A20" s="20" t="s">
        <v>38</v>
      </c>
      <c r="B20" s="1">
        <v>140.751801</v>
      </c>
      <c r="C20" s="1">
        <v>1674.8390720000002</v>
      </c>
      <c r="D20" s="1">
        <v>3822.2369799999997</v>
      </c>
      <c r="E20" s="1">
        <v>5637.8278529999998</v>
      </c>
    </row>
    <row r="21" spans="1:25" x14ac:dyDescent="0.25">
      <c r="A21" s="20" t="s">
        <v>24</v>
      </c>
      <c r="B21" s="1">
        <v>67.815393</v>
      </c>
      <c r="C21" s="1"/>
      <c r="D21" s="1"/>
      <c r="E21" s="1">
        <v>67.815393</v>
      </c>
    </row>
    <row r="22" spans="1:25" x14ac:dyDescent="0.25">
      <c r="A22" s="20" t="s">
        <v>53</v>
      </c>
      <c r="B22" s="1">
        <v>34.264124000000002</v>
      </c>
      <c r="C22" s="1"/>
      <c r="D22" s="1"/>
      <c r="E22" s="1">
        <v>34.264124000000002</v>
      </c>
    </row>
    <row r="23" spans="1:25" x14ac:dyDescent="0.25">
      <c r="A23" s="20" t="s">
        <v>42</v>
      </c>
      <c r="B23" s="1">
        <v>32.450189000000002</v>
      </c>
      <c r="C23" s="1"/>
      <c r="D23" s="1"/>
      <c r="E23" s="1">
        <v>32.450189000000002</v>
      </c>
    </row>
    <row r="24" spans="1:25" x14ac:dyDescent="0.25">
      <c r="A24" s="20" t="s">
        <v>44</v>
      </c>
      <c r="B24" s="1"/>
      <c r="C24" s="1">
        <v>885.19229700000005</v>
      </c>
      <c r="D24" s="1">
        <v>308.90372200000002</v>
      </c>
      <c r="E24" s="1">
        <v>1194.0960190000001</v>
      </c>
    </row>
    <row r="25" spans="1:25" x14ac:dyDescent="0.25">
      <c r="A25" s="20" t="s">
        <v>40</v>
      </c>
      <c r="B25" s="1"/>
      <c r="C25" s="1">
        <v>191.71570500000001</v>
      </c>
      <c r="D25" s="1"/>
      <c r="E25" s="1">
        <v>191.71570500000001</v>
      </c>
    </row>
    <row r="26" spans="1:25" x14ac:dyDescent="0.25">
      <c r="A26" s="20" t="s">
        <v>50</v>
      </c>
      <c r="B26" s="1"/>
      <c r="C26" s="1">
        <v>41.641204999999999</v>
      </c>
      <c r="D26" s="1">
        <v>198.984905</v>
      </c>
      <c r="E26" s="1">
        <v>240.62610999999998</v>
      </c>
    </row>
    <row r="27" spans="1:25" x14ac:dyDescent="0.25">
      <c r="A27" s="20" t="s">
        <v>28</v>
      </c>
      <c r="B27" s="1"/>
      <c r="C27" s="1"/>
      <c r="D27" s="1">
        <v>1197.3275759999999</v>
      </c>
      <c r="E27" s="1">
        <v>1197.3275759999999</v>
      </c>
    </row>
    <row r="28" spans="1:25" x14ac:dyDescent="0.25">
      <c r="A28" s="20" t="s">
        <v>52</v>
      </c>
      <c r="B28" s="1"/>
      <c r="C28" s="1">
        <v>163.77074800000003</v>
      </c>
      <c r="D28" s="1"/>
      <c r="E28" s="1">
        <v>163.77074800000003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x14ac:dyDescent="0.25">
      <c r="A29" s="20" t="s">
        <v>15</v>
      </c>
      <c r="B29" s="1"/>
      <c r="C29" s="1">
        <v>428.72448699999995</v>
      </c>
      <c r="D29" s="1"/>
      <c r="E29" s="1">
        <v>428.72448699999995</v>
      </c>
    </row>
    <row r="30" spans="1:25" x14ac:dyDescent="0.25">
      <c r="A30" s="20" t="s">
        <v>30</v>
      </c>
      <c r="B30" s="1"/>
      <c r="C30" s="1"/>
      <c r="D30" s="1">
        <v>5900.4470930000016</v>
      </c>
      <c r="E30" s="1">
        <v>5900.4470930000016</v>
      </c>
    </row>
    <row r="31" spans="1:25" x14ac:dyDescent="0.25">
      <c r="A31" s="20" t="s">
        <v>33</v>
      </c>
      <c r="B31" s="1"/>
      <c r="C31" s="1"/>
      <c r="D31" s="1">
        <v>1456.9284279999999</v>
      </c>
      <c r="E31" s="1">
        <v>1456.9284279999999</v>
      </c>
    </row>
    <row r="32" spans="1:25" x14ac:dyDescent="0.25">
      <c r="A32" s="20" t="s">
        <v>86</v>
      </c>
      <c r="B32" s="1">
        <v>220552.82088800002</v>
      </c>
      <c r="C32" s="1">
        <v>160400.74835200005</v>
      </c>
      <c r="D32" s="1">
        <v>444037.41329</v>
      </c>
      <c r="E32" s="1">
        <v>824990.98253000015</v>
      </c>
    </row>
    <row r="35" spans="1:25" x14ac:dyDescent="0.25">
      <c r="A35" s="76" t="s">
        <v>8</v>
      </c>
      <c r="B35" s="76"/>
      <c r="D35" s="76" t="s">
        <v>109</v>
      </c>
      <c r="E35" s="76"/>
      <c r="G35" s="76" t="s">
        <v>25</v>
      </c>
      <c r="H35" s="76"/>
    </row>
    <row r="36" spans="1:25" x14ac:dyDescent="0.25">
      <c r="A36" s="20" t="s">
        <v>9</v>
      </c>
      <c r="B36" s="29">
        <v>118318.64917</v>
      </c>
      <c r="C36" s="11"/>
      <c r="D36" s="20" t="s">
        <v>9</v>
      </c>
      <c r="E36" s="29">
        <v>272301.98415199993</v>
      </c>
      <c r="G36" s="20" t="s">
        <v>9</v>
      </c>
      <c r="H36" s="29">
        <v>110107.78052700004</v>
      </c>
    </row>
    <row r="37" spans="1:25" x14ac:dyDescent="0.25">
      <c r="A37" s="20" t="s">
        <v>14</v>
      </c>
      <c r="B37" s="29">
        <v>87186.432141999991</v>
      </c>
      <c r="D37" s="20" t="s">
        <v>14</v>
      </c>
      <c r="E37" s="29">
        <v>105801.86116300001</v>
      </c>
      <c r="G37" s="20" t="s">
        <v>14</v>
      </c>
      <c r="H37" s="29">
        <v>28378.208834000005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x14ac:dyDescent="0.25">
      <c r="A38" s="20" t="s">
        <v>20</v>
      </c>
      <c r="B38" s="29">
        <v>4990.2211380000008</v>
      </c>
      <c r="D38" s="20" t="s">
        <v>16</v>
      </c>
      <c r="E38" s="29">
        <v>21230.258773999994</v>
      </c>
      <c r="G38" s="20" t="s">
        <v>16</v>
      </c>
      <c r="H38" s="29">
        <v>7788.6439049999999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x14ac:dyDescent="0.25">
      <c r="A39" s="20" t="s">
        <v>17</v>
      </c>
      <c r="B39" s="29">
        <v>3412.6708350000004</v>
      </c>
      <c r="D39" s="20" t="s">
        <v>47</v>
      </c>
      <c r="E39" s="29">
        <v>10974.992969000001</v>
      </c>
      <c r="G39" s="20" t="s">
        <v>17</v>
      </c>
      <c r="H39" s="29">
        <v>4424.6321099999996</v>
      </c>
    </row>
    <row r="40" spans="1:25" x14ac:dyDescent="0.25">
      <c r="A40" s="20" t="s">
        <v>16</v>
      </c>
      <c r="B40" s="29">
        <v>2041.4898110000004</v>
      </c>
      <c r="D40" s="20" t="s">
        <v>20</v>
      </c>
      <c r="E40" s="29">
        <v>8740.2883359999978</v>
      </c>
      <c r="G40" s="20" t="s">
        <v>20</v>
      </c>
      <c r="H40" s="29">
        <v>1750.111846</v>
      </c>
    </row>
    <row r="42" spans="1:25" x14ac:dyDescent="0.25">
      <c r="I42" s="11"/>
      <c r="J42" s="11"/>
    </row>
    <row r="43" spans="1:25" x14ac:dyDescent="0.25">
      <c r="A43" s="20" t="s">
        <v>113</v>
      </c>
    </row>
    <row r="47" spans="1:25" x14ac:dyDescent="0.25">
      <c r="A47" s="11" t="s">
        <v>111</v>
      </c>
      <c r="B47" s="11"/>
    </row>
    <row r="49" spans="1:2" x14ac:dyDescent="0.25">
      <c r="A49" s="19" t="s">
        <v>0</v>
      </c>
      <c r="B49" s="20">
        <v>2022</v>
      </c>
    </row>
    <row r="50" spans="1:2" x14ac:dyDescent="0.25">
      <c r="A50" s="19" t="s">
        <v>2</v>
      </c>
      <c r="B50" t="s">
        <v>29</v>
      </c>
    </row>
    <row r="51" spans="1:2" x14ac:dyDescent="0.25">
      <c r="A51" s="19" t="s">
        <v>4</v>
      </c>
      <c r="B51" t="s">
        <v>87</v>
      </c>
    </row>
    <row r="53" spans="1:2" x14ac:dyDescent="0.25">
      <c r="A53" s="19" t="s">
        <v>85</v>
      </c>
      <c r="B53" t="s">
        <v>84</v>
      </c>
    </row>
    <row r="54" spans="1:2" x14ac:dyDescent="0.25">
      <c r="A54" s="20" t="s">
        <v>9</v>
      </c>
      <c r="B54" s="1">
        <v>198838.58177699996</v>
      </c>
    </row>
    <row r="55" spans="1:2" x14ac:dyDescent="0.25">
      <c r="A55" s="20" t="s">
        <v>14</v>
      </c>
      <c r="B55" s="1">
        <v>103766.71511800001</v>
      </c>
    </row>
    <row r="56" spans="1:2" x14ac:dyDescent="0.25">
      <c r="A56" s="20" t="s">
        <v>16</v>
      </c>
      <c r="B56" s="1">
        <v>19343.022073</v>
      </c>
    </row>
    <row r="57" spans="1:2" x14ac:dyDescent="0.25">
      <c r="A57" s="20" t="s">
        <v>47</v>
      </c>
      <c r="B57" s="1">
        <v>10974.992969000001</v>
      </c>
    </row>
    <row r="58" spans="1:2" x14ac:dyDescent="0.25">
      <c r="A58" s="20" t="s">
        <v>20</v>
      </c>
      <c r="B58" s="1">
        <v>8606.1963189999988</v>
      </c>
    </row>
    <row r="59" spans="1:2" x14ac:dyDescent="0.25">
      <c r="A59" s="20" t="s">
        <v>38</v>
      </c>
      <c r="B59" s="1">
        <v>3822.2369799999997</v>
      </c>
    </row>
    <row r="60" spans="1:2" x14ac:dyDescent="0.25">
      <c r="A60" s="20" t="s">
        <v>19</v>
      </c>
      <c r="B60" s="1">
        <v>2245.1163420000003</v>
      </c>
    </row>
    <row r="61" spans="1:2" x14ac:dyDescent="0.25">
      <c r="A61" s="20" t="s">
        <v>33</v>
      </c>
      <c r="B61" s="1">
        <v>1456.9284279999999</v>
      </c>
    </row>
    <row r="62" spans="1:2" x14ac:dyDescent="0.25">
      <c r="A62" s="20" t="s">
        <v>28</v>
      </c>
      <c r="B62" s="1">
        <v>804.840283</v>
      </c>
    </row>
    <row r="63" spans="1:2" x14ac:dyDescent="0.25">
      <c r="A63" s="20" t="s">
        <v>30</v>
      </c>
      <c r="B63" s="1">
        <v>564.917284</v>
      </c>
    </row>
    <row r="64" spans="1:2" x14ac:dyDescent="0.25">
      <c r="A64" s="20" t="s">
        <v>49</v>
      </c>
      <c r="B64" s="1">
        <v>538.268012</v>
      </c>
    </row>
    <row r="65" spans="1:13" x14ac:dyDescent="0.25">
      <c r="A65" s="20" t="s">
        <v>48</v>
      </c>
      <c r="B65" s="1">
        <v>344.14095400000002</v>
      </c>
      <c r="I65" s="11"/>
      <c r="J65" s="11"/>
      <c r="K65" s="11"/>
      <c r="L65" s="11"/>
      <c r="M65" s="11"/>
    </row>
    <row r="66" spans="1:13" x14ac:dyDescent="0.25">
      <c r="A66" s="20" t="s">
        <v>44</v>
      </c>
      <c r="B66" s="1">
        <v>308.90372200000002</v>
      </c>
    </row>
    <row r="67" spans="1:13" x14ac:dyDescent="0.25">
      <c r="A67" s="20" t="s">
        <v>50</v>
      </c>
      <c r="B67" s="1">
        <v>198.984905</v>
      </c>
    </row>
    <row r="68" spans="1:13" x14ac:dyDescent="0.25">
      <c r="A68" s="20" t="s">
        <v>86</v>
      </c>
      <c r="B68" s="1">
        <v>351813.84516600007</v>
      </c>
    </row>
    <row r="70" spans="1:13" x14ac:dyDescent="0.25">
      <c r="A70" s="76" t="s">
        <v>112</v>
      </c>
      <c r="B70" s="76"/>
      <c r="I70" s="19"/>
      <c r="J70" s="19"/>
      <c r="K70" s="19"/>
      <c r="L70" s="19"/>
      <c r="M70" s="19"/>
    </row>
    <row r="71" spans="1:13" x14ac:dyDescent="0.25">
      <c r="A71" s="20" t="s">
        <v>9</v>
      </c>
      <c r="B71" s="2">
        <f>GETPIVOTDATA("Value (in 1000 rub)",$A$53,"Brand","Green")/GETPIVOTDATA("Value (in 1000 rub)",$A$53)</f>
        <v>0.56518123009962795</v>
      </c>
    </row>
    <row r="72" spans="1:13" x14ac:dyDescent="0.25">
      <c r="A72" s="20" t="s">
        <v>14</v>
      </c>
      <c r="B72" s="2">
        <f>GETPIVOTDATA("Value (in 1000 rub)",$A$53,"Brand","Blue")/GETPIVOTDATA("Value (in 1000 rub)",$A$53)</f>
        <v>0.29494778714305192</v>
      </c>
    </row>
    <row r="73" spans="1:13" x14ac:dyDescent="0.25">
      <c r="A73" s="20" t="s">
        <v>16</v>
      </c>
      <c r="B73" s="2">
        <f>GETPIVOTDATA("Value (in 1000 rub)",$A$53,"Brand","Yellow")/GETPIVOTDATA("Value (in 1000 rub)",$A$53)</f>
        <v>5.4980843814924837E-2</v>
      </c>
    </row>
    <row r="74" spans="1:13" x14ac:dyDescent="0.25">
      <c r="A74" s="20" t="s">
        <v>47</v>
      </c>
      <c r="B74" s="2">
        <f>GETPIVOTDATA("Value (in 1000 rub)",$A$53,"Brand","Pearl")/GETPIVOTDATA("Value (in 1000 rub)",$A$53)</f>
        <v>3.1195454982226617E-2</v>
      </c>
    </row>
    <row r="75" spans="1:13" x14ac:dyDescent="0.25">
      <c r="A75" s="20" t="s">
        <v>20</v>
      </c>
      <c r="B75" s="2">
        <f>GETPIVOTDATA("Value (in 1000 rub)",$A$53,"Brand","Orange")/GETPIVOTDATA("Value (in 1000 rub)",$A$53)</f>
        <v>2.4462358253522529E-2</v>
      </c>
    </row>
    <row r="76" spans="1:13" x14ac:dyDescent="0.25">
      <c r="A76" s="20" t="s">
        <v>38</v>
      </c>
      <c r="B76" s="2">
        <f>GETPIVOTDATA("Value (in 1000 rub)",$A$53,"Brand","Rosy")/GETPIVOTDATA("Value (in 1000 rub)",$A$53)</f>
        <v>1.0864373396665253E-2</v>
      </c>
    </row>
    <row r="77" spans="1:13" x14ac:dyDescent="0.25">
      <c r="A77" s="20" t="s">
        <v>19</v>
      </c>
      <c r="B77" s="2">
        <f>GETPIVOTDATA("Value (in 1000 rub)",$A$53,"Brand","Red")/GETPIVOTDATA("Value (in 1000 rub)",$A$53)</f>
        <v>6.3815463002618988E-3</v>
      </c>
    </row>
    <row r="78" spans="1:13" x14ac:dyDescent="0.25">
      <c r="A78" s="20" t="s">
        <v>33</v>
      </c>
      <c r="B78" s="2">
        <f>GETPIVOTDATA("Value (in 1000 rub)",$A$53,"Brand","Dim")/GETPIVOTDATA("Value (in 1000 rub)",$A$53)</f>
        <v>4.1411912806119441E-3</v>
      </c>
    </row>
    <row r="79" spans="1:13" x14ac:dyDescent="0.25">
      <c r="A79" s="20" t="s">
        <v>28</v>
      </c>
      <c r="B79" s="2">
        <f>GETPIVOTDATA("Value (in 1000 rub)",$A$53,"Brand","Vivid")/GETPIVOTDATA("Value (in 1000 rub)",$A$53)</f>
        <v>2.2876879180813467E-3</v>
      </c>
    </row>
    <row r="80" spans="1:13" x14ac:dyDescent="0.25">
      <c r="A80" s="20" t="s">
        <v>30</v>
      </c>
      <c r="B80" s="2">
        <f>GETPIVOTDATA("Value (in 1000 rub)",$A$53,"Brand","Deep")/GETPIVOTDATA("Value (in 1000 rub)",$A$53)</f>
        <v>1.6057278352233383E-3</v>
      </c>
    </row>
    <row r="81" spans="1:8" x14ac:dyDescent="0.25">
      <c r="A81" s="20" t="s">
        <v>49</v>
      </c>
      <c r="B81" s="2">
        <f>GETPIVOTDATA("Value (in 1000 rub)",$A$53,"Brand","Rice")/GETPIVOTDATA("Value (in 1000 rub)",$A$53)</f>
        <v>1.5299796167658588E-3</v>
      </c>
    </row>
    <row r="82" spans="1:8" x14ac:dyDescent="0.25">
      <c r="A82" s="20" t="s">
        <v>48</v>
      </c>
      <c r="B82" s="2">
        <f>GETPIVOTDATA("Value (in 1000 rub)",$A$53,"Brand","Macaroon")/GETPIVOTDATA("Value (in 1000 rub)",$A$53)</f>
        <v>9.781904797908688E-4</v>
      </c>
    </row>
    <row r="83" spans="1:8" x14ac:dyDescent="0.25">
      <c r="A83" s="20" t="s">
        <v>44</v>
      </c>
      <c r="B83" s="2">
        <f>GETPIVOTDATA("Value (in 1000 rub)",$A$53,"Brand","Snow")/GETPIVOTDATA("Value (in 1000 rub)",$A$53)</f>
        <v>8.7803173821725711E-4</v>
      </c>
    </row>
    <row r="84" spans="1:8" x14ac:dyDescent="0.25">
      <c r="A84" s="20" t="s">
        <v>50</v>
      </c>
      <c r="B84" s="2">
        <f>GETPIVOTDATA("Value (in 1000 rub)",$A$53,"Brand","Linen")/GETPIVOTDATA("Value (in 1000 rub)",$A$53)</f>
        <v>5.6559714102812195E-4</v>
      </c>
    </row>
    <row r="86" spans="1:8" x14ac:dyDescent="0.25">
      <c r="A86" s="20" t="s">
        <v>114</v>
      </c>
    </row>
    <row r="90" spans="1:8" x14ac:dyDescent="0.25">
      <c r="A90" s="11" t="s">
        <v>115</v>
      </c>
    </row>
    <row r="91" spans="1:8" x14ac:dyDescent="0.25">
      <c r="B91" s="11"/>
      <c r="C91" s="11"/>
      <c r="D91" s="11"/>
    </row>
    <row r="92" spans="1:8" x14ac:dyDescent="0.25">
      <c r="A92" s="19" t="s">
        <v>2</v>
      </c>
      <c r="B92" t="s">
        <v>29</v>
      </c>
      <c r="E92" s="11"/>
      <c r="F92" s="11"/>
      <c r="G92" s="11"/>
      <c r="H92" s="11"/>
    </row>
    <row r="93" spans="1:8" x14ac:dyDescent="0.25">
      <c r="A93" s="19" t="s">
        <v>4</v>
      </c>
      <c r="B93" t="s">
        <v>87</v>
      </c>
    </row>
    <row r="94" spans="1:8" x14ac:dyDescent="0.25">
      <c r="A94" s="19" t="s">
        <v>0</v>
      </c>
      <c r="B94" t="s">
        <v>87</v>
      </c>
    </row>
    <row r="96" spans="1:8" x14ac:dyDescent="0.25">
      <c r="A96" s="19" t="s">
        <v>84</v>
      </c>
      <c r="B96" s="19" t="s">
        <v>108</v>
      </c>
    </row>
    <row r="97" spans="1:22" x14ac:dyDescent="0.25">
      <c r="A97" s="19" t="s">
        <v>85</v>
      </c>
      <c r="B97" t="s">
        <v>9</v>
      </c>
      <c r="C97" t="s">
        <v>14</v>
      </c>
      <c r="D97" t="s">
        <v>16</v>
      </c>
      <c r="E97" t="s">
        <v>38</v>
      </c>
      <c r="F97" t="s">
        <v>47</v>
      </c>
      <c r="G97" t="s">
        <v>20</v>
      </c>
      <c r="H97" t="s">
        <v>19</v>
      </c>
      <c r="I97" t="s">
        <v>33</v>
      </c>
      <c r="J97" t="s">
        <v>26</v>
      </c>
      <c r="K97" t="s">
        <v>15</v>
      </c>
      <c r="L97" t="s">
        <v>28</v>
      </c>
      <c r="M97" t="s">
        <v>30</v>
      </c>
      <c r="N97" t="s">
        <v>31</v>
      </c>
      <c r="O97" t="s">
        <v>32</v>
      </c>
      <c r="P97" t="s">
        <v>49</v>
      </c>
      <c r="Q97" t="s">
        <v>48</v>
      </c>
      <c r="R97" t="s">
        <v>44</v>
      </c>
      <c r="S97" t="s">
        <v>39</v>
      </c>
      <c r="T97" t="s">
        <v>50</v>
      </c>
      <c r="U97" t="s">
        <v>41</v>
      </c>
      <c r="V97" t="s">
        <v>86</v>
      </c>
    </row>
    <row r="98" spans="1:22" x14ac:dyDescent="0.25">
      <c r="A98" s="20">
        <v>1</v>
      </c>
      <c r="B98" s="1">
        <v>30115.04507</v>
      </c>
      <c r="C98" s="1">
        <v>18041.49597</v>
      </c>
      <c r="D98" s="1">
        <v>3409.332124</v>
      </c>
      <c r="E98" s="1">
        <v>438.40610199999998</v>
      </c>
      <c r="F98" s="1"/>
      <c r="G98" s="1">
        <v>261.31347099999999</v>
      </c>
      <c r="H98" s="1">
        <v>623.93876599999999</v>
      </c>
      <c r="I98" s="1">
        <v>194.48822600000003</v>
      </c>
      <c r="J98" s="1"/>
      <c r="K98" s="1">
        <v>807.00975100000005</v>
      </c>
      <c r="L98" s="1">
        <v>392.84726899999998</v>
      </c>
      <c r="M98" s="1">
        <v>82.922700000000006</v>
      </c>
      <c r="N98" s="1">
        <v>233.90612300000001</v>
      </c>
      <c r="O98" s="1">
        <v>221.53957700000001</v>
      </c>
      <c r="P98" s="1"/>
      <c r="Q98" s="1"/>
      <c r="R98" s="1"/>
      <c r="S98" s="1"/>
      <c r="T98" s="1"/>
      <c r="U98" s="1"/>
      <c r="V98" s="1">
        <v>54822.245149000002</v>
      </c>
    </row>
    <row r="99" spans="1:22" x14ac:dyDescent="0.25">
      <c r="A99" s="20">
        <v>2</v>
      </c>
      <c r="B99" s="1">
        <v>25232.344860999998</v>
      </c>
      <c r="C99" s="1">
        <v>10703.912349</v>
      </c>
      <c r="D99" s="1">
        <v>3206.6131270000001</v>
      </c>
      <c r="E99" s="1">
        <v>371.034761</v>
      </c>
      <c r="F99" s="1">
        <v>410.97030899999999</v>
      </c>
      <c r="G99" s="1">
        <v>756.53332899999998</v>
      </c>
      <c r="H99" s="1">
        <v>486.09037599999999</v>
      </c>
      <c r="I99" s="1">
        <v>247.59779500000002</v>
      </c>
      <c r="J99" s="1"/>
      <c r="K99" s="1">
        <v>503.77652399999999</v>
      </c>
      <c r="L99" s="1">
        <v>187.833551</v>
      </c>
      <c r="M99" s="1">
        <v>95.922732000000011</v>
      </c>
      <c r="N99" s="1">
        <v>201.00233399999999</v>
      </c>
      <c r="O99" s="1">
        <v>184.811387</v>
      </c>
      <c r="P99" s="1"/>
      <c r="Q99" s="1"/>
      <c r="R99" s="1"/>
      <c r="S99" s="1"/>
      <c r="T99" s="1"/>
      <c r="U99" s="1"/>
      <c r="V99" s="1">
        <v>42588.443434999994</v>
      </c>
    </row>
    <row r="100" spans="1:22" x14ac:dyDescent="0.25">
      <c r="A100" s="20">
        <v>3</v>
      </c>
      <c r="B100" s="1">
        <v>33623.134051000001</v>
      </c>
      <c r="C100" s="1">
        <v>21231.740784000001</v>
      </c>
      <c r="D100" s="1">
        <v>4059.043396</v>
      </c>
      <c r="E100" s="1">
        <v>420.92656199999999</v>
      </c>
      <c r="F100" s="1">
        <v>982.05882899999995</v>
      </c>
      <c r="G100" s="1">
        <v>1072.6836410000001</v>
      </c>
      <c r="H100" s="1">
        <v>481.704229</v>
      </c>
      <c r="I100" s="1">
        <v>775.59201400000006</v>
      </c>
      <c r="J100" s="1"/>
      <c r="K100" s="1">
        <v>395.922213</v>
      </c>
      <c r="L100" s="1">
        <v>211.265253</v>
      </c>
      <c r="M100" s="1">
        <v>164.92268300000001</v>
      </c>
      <c r="N100" s="1">
        <v>197.96796900000001</v>
      </c>
      <c r="O100" s="1">
        <v>198.85196199999999</v>
      </c>
      <c r="P100" s="1"/>
      <c r="Q100" s="1"/>
      <c r="R100" s="1"/>
      <c r="S100" s="1"/>
      <c r="T100" s="1"/>
      <c r="U100" s="1"/>
      <c r="V100" s="1">
        <v>63815.813586000011</v>
      </c>
    </row>
    <row r="101" spans="1:22" x14ac:dyDescent="0.25">
      <c r="A101" s="20">
        <v>4</v>
      </c>
      <c r="B101" s="1">
        <v>32075.883169000001</v>
      </c>
      <c r="C101" s="1">
        <v>13561.063990000001</v>
      </c>
      <c r="D101" s="1">
        <v>4247.2664289999993</v>
      </c>
      <c r="E101" s="1">
        <v>405.15188499999999</v>
      </c>
      <c r="F101" s="1">
        <v>955.543497</v>
      </c>
      <c r="G101" s="1">
        <v>1098.9411749999999</v>
      </c>
      <c r="H101" s="1">
        <v>811.75129799999991</v>
      </c>
      <c r="I101" s="1">
        <v>702.46543899999995</v>
      </c>
      <c r="J101" s="1"/>
      <c r="K101" s="1">
        <v>374.99953299999999</v>
      </c>
      <c r="L101" s="1"/>
      <c r="M101" s="1">
        <v>130.26357400000001</v>
      </c>
      <c r="N101" s="1">
        <v>213.32597899999999</v>
      </c>
      <c r="O101" s="1"/>
      <c r="P101" s="1"/>
      <c r="Q101" s="1"/>
      <c r="R101" s="1"/>
      <c r="S101" s="1">
        <v>124.68517799999999</v>
      </c>
      <c r="T101" s="1"/>
      <c r="U101" s="1"/>
      <c r="V101" s="1">
        <v>54701.341146000006</v>
      </c>
    </row>
    <row r="102" spans="1:22" x14ac:dyDescent="0.25">
      <c r="A102" s="20">
        <v>5</v>
      </c>
      <c r="B102" s="1">
        <v>26624.581710999999</v>
      </c>
      <c r="C102" s="1">
        <v>14243.778442999999</v>
      </c>
      <c r="D102" s="1">
        <v>3185.457116</v>
      </c>
      <c r="E102" s="1">
        <v>2673.71027</v>
      </c>
      <c r="F102" s="1">
        <v>934.25620000000004</v>
      </c>
      <c r="G102" s="1">
        <v>1070.0705849999999</v>
      </c>
      <c r="H102" s="1">
        <v>316.39511399999998</v>
      </c>
      <c r="I102" s="1">
        <v>556.6965899999999</v>
      </c>
      <c r="J102" s="1">
        <v>829.92592400000001</v>
      </c>
      <c r="K102" s="1">
        <v>432.96244000000002</v>
      </c>
      <c r="L102" s="1"/>
      <c r="M102" s="1">
        <v>89.158850999999999</v>
      </c>
      <c r="N102" s="1"/>
      <c r="O102" s="1"/>
      <c r="P102" s="1"/>
      <c r="Q102" s="1">
        <v>344.14095400000002</v>
      </c>
      <c r="R102" s="1"/>
      <c r="S102" s="1"/>
      <c r="T102" s="1"/>
      <c r="U102" s="1"/>
      <c r="V102" s="1">
        <v>51301.134198000007</v>
      </c>
    </row>
    <row r="103" spans="1:22" x14ac:dyDescent="0.25">
      <c r="A103" s="20">
        <v>6</v>
      </c>
      <c r="B103" s="1">
        <v>23663.957657999999</v>
      </c>
      <c r="C103" s="1">
        <v>10736.860563999999</v>
      </c>
      <c r="D103" s="1">
        <v>2191.7368390000001</v>
      </c>
      <c r="E103" s="1">
        <v>2623.4653900000003</v>
      </c>
      <c r="F103" s="1">
        <v>763.41112499999997</v>
      </c>
      <c r="G103" s="1">
        <v>570.03286200000002</v>
      </c>
      <c r="H103" s="1">
        <v>566.14719400000001</v>
      </c>
      <c r="I103" s="1">
        <v>197.46696</v>
      </c>
      <c r="J103" s="1">
        <v>960.91475300000002</v>
      </c>
      <c r="K103" s="1">
        <v>304.73167799999999</v>
      </c>
      <c r="L103" s="1"/>
      <c r="M103" s="1">
        <v>64.686277000000004</v>
      </c>
      <c r="N103" s="1"/>
      <c r="O103" s="1"/>
      <c r="P103" s="1"/>
      <c r="Q103" s="1"/>
      <c r="R103" s="1"/>
      <c r="S103" s="1"/>
      <c r="T103" s="1"/>
      <c r="U103" s="1">
        <v>87.983642000000003</v>
      </c>
      <c r="V103" s="1">
        <v>42731.394941999992</v>
      </c>
    </row>
    <row r="104" spans="1:22" x14ac:dyDescent="0.25">
      <c r="A104" s="20">
        <v>7</v>
      </c>
      <c r="B104" s="1">
        <v>28050.991708000001</v>
      </c>
      <c r="C104" s="1">
        <v>14669.664236000001</v>
      </c>
      <c r="D104" s="1">
        <v>3408.9517270000001</v>
      </c>
      <c r="E104" s="1">
        <v>2475.964958</v>
      </c>
      <c r="F104" s="1">
        <v>848.26989500000002</v>
      </c>
      <c r="G104" s="1">
        <v>597.38252299999999</v>
      </c>
      <c r="H104" s="1">
        <v>225.06434100000001</v>
      </c>
      <c r="I104" s="1">
        <v>196.259593</v>
      </c>
      <c r="J104" s="1">
        <v>959.11653200000001</v>
      </c>
      <c r="K104" s="1">
        <v>346.08365600000002</v>
      </c>
      <c r="L104" s="1"/>
      <c r="M104" s="1">
        <v>58.564702000000004</v>
      </c>
      <c r="N104" s="1"/>
      <c r="O104" s="1"/>
      <c r="P104" s="1">
        <v>224.618831</v>
      </c>
      <c r="Q104" s="1"/>
      <c r="R104" s="1"/>
      <c r="S104" s="1"/>
      <c r="T104" s="1">
        <v>198.984905</v>
      </c>
      <c r="U104" s="1"/>
      <c r="V104" s="1">
        <v>52259.917606999988</v>
      </c>
    </row>
    <row r="105" spans="1:22" x14ac:dyDescent="0.25">
      <c r="A105" s="20">
        <v>8</v>
      </c>
      <c r="B105" s="1">
        <v>29619.701488999999</v>
      </c>
      <c r="C105" s="1">
        <v>13190.894391</v>
      </c>
      <c r="D105" s="1">
        <v>2331.1989869999998</v>
      </c>
      <c r="E105" s="1">
        <v>1994.714195</v>
      </c>
      <c r="F105" s="1">
        <v>1072.2411139999999</v>
      </c>
      <c r="G105" s="1">
        <v>514.08347100000003</v>
      </c>
      <c r="H105" s="1">
        <v>264.76622600000002</v>
      </c>
      <c r="I105" s="1">
        <v>205.89618600000003</v>
      </c>
      <c r="J105" s="1">
        <v>549.42526699999996</v>
      </c>
      <c r="K105" s="1">
        <v>170.72738099999998</v>
      </c>
      <c r="L105" s="1">
        <v>98.935481999999993</v>
      </c>
      <c r="M105" s="1">
        <v>68.396034000000014</v>
      </c>
      <c r="N105" s="1"/>
      <c r="O105" s="1"/>
      <c r="P105" s="1">
        <v>313.649181</v>
      </c>
      <c r="Q105" s="1"/>
      <c r="R105" s="1"/>
      <c r="S105" s="1"/>
      <c r="T105" s="1"/>
      <c r="U105" s="1"/>
      <c r="V105" s="1">
        <v>50394.629403999992</v>
      </c>
    </row>
    <row r="106" spans="1:22" x14ac:dyDescent="0.25">
      <c r="A106" s="20">
        <v>9</v>
      </c>
      <c r="B106" s="1">
        <v>30698.758735000003</v>
      </c>
      <c r="C106" s="1">
        <v>13466.660395999999</v>
      </c>
      <c r="D106" s="1">
        <v>4186.483193</v>
      </c>
      <c r="E106" s="1">
        <v>1307.36654</v>
      </c>
      <c r="F106" s="1">
        <v>1071.843543</v>
      </c>
      <c r="G106" s="1">
        <v>477.69954100000001</v>
      </c>
      <c r="H106" s="1">
        <v>601.54681000000005</v>
      </c>
      <c r="I106" s="1">
        <v>282.78934299999997</v>
      </c>
      <c r="J106" s="1">
        <v>277.61780099999999</v>
      </c>
      <c r="K106" s="1"/>
      <c r="L106" s="1">
        <v>128.904763</v>
      </c>
      <c r="M106" s="1">
        <v>61.725976000000003</v>
      </c>
      <c r="N106" s="1"/>
      <c r="O106" s="1"/>
      <c r="P106" s="1"/>
      <c r="Q106" s="1"/>
      <c r="R106" s="1"/>
      <c r="S106" s="1"/>
      <c r="T106" s="1"/>
      <c r="U106" s="1"/>
      <c r="V106" s="1">
        <v>52561.396641000007</v>
      </c>
    </row>
    <row r="107" spans="1:22" x14ac:dyDescent="0.25">
      <c r="A107" s="20">
        <v>10</v>
      </c>
      <c r="B107" s="1">
        <v>38731.418844</v>
      </c>
      <c r="C107" s="1">
        <v>19055.678166000002</v>
      </c>
      <c r="D107" s="1">
        <v>2389.500121</v>
      </c>
      <c r="E107" s="1">
        <v>1155.1719700000001</v>
      </c>
      <c r="F107" s="1">
        <v>1298.6762679999999</v>
      </c>
      <c r="G107" s="1">
        <v>724.66623500000003</v>
      </c>
      <c r="H107" s="1">
        <v>692.40654399999994</v>
      </c>
      <c r="I107" s="1">
        <v>342.00795399999998</v>
      </c>
      <c r="J107" s="1">
        <v>191.25912099999999</v>
      </c>
      <c r="K107" s="1"/>
      <c r="L107" s="1">
        <v>143.892056</v>
      </c>
      <c r="M107" s="1">
        <v>65.369494000000003</v>
      </c>
      <c r="N107" s="1"/>
      <c r="O107" s="1"/>
      <c r="P107" s="1"/>
      <c r="Q107" s="1"/>
      <c r="R107" s="1"/>
      <c r="S107" s="1"/>
      <c r="T107" s="1"/>
      <c r="U107" s="1"/>
      <c r="V107" s="1">
        <v>64790.046772999995</v>
      </c>
    </row>
    <row r="108" spans="1:22" x14ac:dyDescent="0.25">
      <c r="A108" s="20">
        <v>11</v>
      </c>
      <c r="B108" s="1">
        <v>31677.086189000001</v>
      </c>
      <c r="C108" s="1">
        <v>20234.309881000001</v>
      </c>
      <c r="D108" s="1">
        <v>3574.98497</v>
      </c>
      <c r="E108" s="1">
        <v>793.30620900000008</v>
      </c>
      <c r="F108" s="1">
        <v>1377.6806099999999</v>
      </c>
      <c r="G108" s="1">
        <v>822.86353199999996</v>
      </c>
      <c r="H108" s="1">
        <v>588.03184299999998</v>
      </c>
      <c r="I108" s="1"/>
      <c r="J108" s="1"/>
      <c r="K108" s="1"/>
      <c r="L108" s="1">
        <v>148.325346</v>
      </c>
      <c r="M108" s="1">
        <v>68.329131000000004</v>
      </c>
      <c r="N108" s="1"/>
      <c r="O108" s="1"/>
      <c r="P108" s="1"/>
      <c r="Q108" s="1"/>
      <c r="R108" s="1"/>
      <c r="S108" s="1">
        <v>129.39920799999999</v>
      </c>
      <c r="T108" s="1"/>
      <c r="U108" s="1"/>
      <c r="V108" s="1">
        <v>59414.316918999997</v>
      </c>
    </row>
    <row r="109" spans="1:22" x14ac:dyDescent="0.25">
      <c r="A109" s="20">
        <v>12</v>
      </c>
      <c r="B109" s="1">
        <v>33361.032468999998</v>
      </c>
      <c r="C109" s="1">
        <v>16582.558269000001</v>
      </c>
      <c r="D109" s="1">
        <v>3164.9129760000001</v>
      </c>
      <c r="E109" s="1">
        <v>348.596721</v>
      </c>
      <c r="F109" s="1">
        <v>1260.041579</v>
      </c>
      <c r="G109" s="1">
        <v>963.94818899999996</v>
      </c>
      <c r="H109" s="1">
        <v>523.69327599999997</v>
      </c>
      <c r="I109" s="1">
        <v>203.915955</v>
      </c>
      <c r="J109" s="1"/>
      <c r="K109" s="1"/>
      <c r="L109" s="1">
        <v>138.91658200000001</v>
      </c>
      <c r="M109" s="1">
        <v>74.414238000000012</v>
      </c>
      <c r="N109" s="1"/>
      <c r="O109" s="1"/>
      <c r="P109" s="1"/>
      <c r="Q109" s="1"/>
      <c r="R109" s="1">
        <v>308.90372200000002</v>
      </c>
      <c r="S109" s="1"/>
      <c r="T109" s="1"/>
      <c r="U109" s="1"/>
      <c r="V109" s="1">
        <v>56930.933976</v>
      </c>
    </row>
    <row r="110" spans="1:22" x14ac:dyDescent="0.25">
      <c r="A110" s="20" t="s">
        <v>86</v>
      </c>
      <c r="B110" s="1">
        <v>363473.93595399999</v>
      </c>
      <c r="C110" s="1">
        <v>185718.61743899999</v>
      </c>
      <c r="D110" s="1">
        <v>39355.481005000001</v>
      </c>
      <c r="E110" s="1">
        <v>15007.815563</v>
      </c>
      <c r="F110" s="1">
        <v>10974.992969000001</v>
      </c>
      <c r="G110" s="1">
        <v>8930.2185540000009</v>
      </c>
      <c r="H110" s="1">
        <v>6181.5360169999994</v>
      </c>
      <c r="I110" s="1">
        <v>3905.1760550000004</v>
      </c>
      <c r="J110" s="1">
        <v>3768.2593980000001</v>
      </c>
      <c r="K110" s="1">
        <v>3336.2131759999997</v>
      </c>
      <c r="L110" s="1">
        <v>1450.9203020000002</v>
      </c>
      <c r="M110" s="1">
        <v>1024.6763920000001</v>
      </c>
      <c r="N110" s="1">
        <v>846.202405</v>
      </c>
      <c r="O110" s="1">
        <v>605.20292599999993</v>
      </c>
      <c r="P110" s="1">
        <v>538.268012</v>
      </c>
      <c r="Q110" s="1">
        <v>344.14095400000002</v>
      </c>
      <c r="R110" s="1">
        <v>308.90372200000002</v>
      </c>
      <c r="S110" s="1">
        <v>254.08438599999999</v>
      </c>
      <c r="T110" s="1">
        <v>198.984905</v>
      </c>
      <c r="U110" s="1">
        <v>87.983642000000003</v>
      </c>
      <c r="V110" s="1">
        <v>646311.61377599998</v>
      </c>
    </row>
    <row r="112" spans="1:22" x14ac:dyDescent="0.25">
      <c r="A112" t="s">
        <v>116</v>
      </c>
      <c r="B112" s="30" t="s">
        <v>9</v>
      </c>
      <c r="C112" s="30" t="s">
        <v>14</v>
      </c>
      <c r="D112" s="30" t="s">
        <v>16</v>
      </c>
      <c r="E112" s="30" t="s">
        <v>38</v>
      </c>
      <c r="F112" s="30" t="s">
        <v>47</v>
      </c>
      <c r="G112" s="30" t="s">
        <v>86</v>
      </c>
    </row>
    <row r="113" spans="1:7" x14ac:dyDescent="0.25">
      <c r="A113" s="20">
        <v>1</v>
      </c>
      <c r="B113" s="33">
        <v>30115.04507</v>
      </c>
      <c r="C113" s="33">
        <v>18041.49597</v>
      </c>
      <c r="D113" s="33">
        <v>3409.332124</v>
      </c>
      <c r="E113" s="33">
        <v>438.40610199999998</v>
      </c>
      <c r="F113" s="33"/>
      <c r="G113" s="33">
        <v>54822.245149000002</v>
      </c>
    </row>
    <row r="114" spans="1:7" x14ac:dyDescent="0.25">
      <c r="A114" s="20">
        <v>2</v>
      </c>
      <c r="B114" s="33">
        <v>25232.344860999998</v>
      </c>
      <c r="C114" s="33">
        <v>10703.912349</v>
      </c>
      <c r="D114" s="33">
        <v>3206.6131270000001</v>
      </c>
      <c r="E114" s="33">
        <v>371.034761</v>
      </c>
      <c r="F114" s="33">
        <v>410.97030899999999</v>
      </c>
      <c r="G114" s="33">
        <v>42588.443434999994</v>
      </c>
    </row>
    <row r="115" spans="1:7" x14ac:dyDescent="0.25">
      <c r="A115" s="20">
        <v>3</v>
      </c>
      <c r="B115" s="33">
        <v>33623.134051000001</v>
      </c>
      <c r="C115" s="33">
        <v>21231.740784000001</v>
      </c>
      <c r="D115" s="33">
        <v>4059.043396</v>
      </c>
      <c r="E115" s="33">
        <v>420.92656199999999</v>
      </c>
      <c r="F115" s="33">
        <v>982.05882899999995</v>
      </c>
      <c r="G115" s="33">
        <v>63815.813586000011</v>
      </c>
    </row>
    <row r="116" spans="1:7" x14ac:dyDescent="0.25">
      <c r="A116" s="20">
        <v>4</v>
      </c>
      <c r="B116" s="33">
        <v>32075.883169000001</v>
      </c>
      <c r="C116" s="33">
        <v>13561.063990000001</v>
      </c>
      <c r="D116" s="33">
        <v>4247.2664289999993</v>
      </c>
      <c r="E116" s="33">
        <v>405.15188499999999</v>
      </c>
      <c r="F116" s="33">
        <v>955.543497</v>
      </c>
      <c r="G116" s="33">
        <v>54701.341146000006</v>
      </c>
    </row>
    <row r="117" spans="1:7" x14ac:dyDescent="0.25">
      <c r="A117" s="20">
        <v>5</v>
      </c>
      <c r="B117" s="33">
        <v>26624.581710999999</v>
      </c>
      <c r="C117" s="33">
        <v>14243.778442999999</v>
      </c>
      <c r="D117" s="33">
        <v>3185.457116</v>
      </c>
      <c r="E117" s="33">
        <v>2673.71027</v>
      </c>
      <c r="F117" s="33">
        <v>934.25620000000004</v>
      </c>
      <c r="G117" s="33">
        <v>51301.134198000007</v>
      </c>
    </row>
    <row r="118" spans="1:7" x14ac:dyDescent="0.25">
      <c r="A118" s="20">
        <v>6</v>
      </c>
      <c r="B118" s="33">
        <v>23663.957657999999</v>
      </c>
      <c r="C118" s="33">
        <v>10736.860563999999</v>
      </c>
      <c r="D118" s="33">
        <v>2191.7368390000001</v>
      </c>
      <c r="E118" s="33">
        <v>2623.4653900000003</v>
      </c>
      <c r="F118" s="33">
        <v>763.41112499999997</v>
      </c>
      <c r="G118" s="33">
        <v>42731.394941999992</v>
      </c>
    </row>
    <row r="119" spans="1:7" x14ac:dyDescent="0.25">
      <c r="A119" s="20">
        <v>7</v>
      </c>
      <c r="B119" s="33">
        <v>28050.991708000001</v>
      </c>
      <c r="C119" s="33">
        <v>14669.664236000001</v>
      </c>
      <c r="D119" s="33">
        <v>3408.9517270000001</v>
      </c>
      <c r="E119" s="33">
        <v>2475.964958</v>
      </c>
      <c r="F119" s="33">
        <v>848.26989500000002</v>
      </c>
      <c r="G119" s="33">
        <v>52259.917606999988</v>
      </c>
    </row>
    <row r="120" spans="1:7" x14ac:dyDescent="0.25">
      <c r="A120" s="20">
        <v>8</v>
      </c>
      <c r="B120" s="33">
        <v>29619.701488999999</v>
      </c>
      <c r="C120" s="33">
        <v>13190.894391</v>
      </c>
      <c r="D120" s="33">
        <v>2331.1989869999998</v>
      </c>
      <c r="E120" s="33">
        <v>1994.714195</v>
      </c>
      <c r="F120" s="33">
        <v>1072.2411139999999</v>
      </c>
      <c r="G120" s="33">
        <v>50394.629403999992</v>
      </c>
    </row>
    <row r="121" spans="1:7" x14ac:dyDescent="0.25">
      <c r="A121" s="20">
        <v>9</v>
      </c>
      <c r="B121" s="33">
        <v>30698.758735000003</v>
      </c>
      <c r="C121" s="33">
        <v>13466.660395999999</v>
      </c>
      <c r="D121" s="33">
        <v>4186.483193</v>
      </c>
      <c r="E121" s="33">
        <v>1307.36654</v>
      </c>
      <c r="F121" s="33">
        <v>1071.843543</v>
      </c>
      <c r="G121" s="33">
        <v>52561.396641000007</v>
      </c>
    </row>
    <row r="122" spans="1:7" x14ac:dyDescent="0.25">
      <c r="A122" s="20">
        <v>10</v>
      </c>
      <c r="B122" s="33">
        <v>38731.418844</v>
      </c>
      <c r="C122" s="33">
        <v>19055.678166000002</v>
      </c>
      <c r="D122" s="33">
        <v>2389.500121</v>
      </c>
      <c r="E122" s="33">
        <v>1155.1719700000001</v>
      </c>
      <c r="F122" s="33">
        <v>1298.6762679999999</v>
      </c>
      <c r="G122" s="33">
        <v>64790.046772999995</v>
      </c>
    </row>
    <row r="123" spans="1:7" x14ac:dyDescent="0.25">
      <c r="A123" s="20">
        <v>11</v>
      </c>
      <c r="B123" s="33">
        <v>31677.086189000001</v>
      </c>
      <c r="C123" s="33">
        <v>20234.309881000001</v>
      </c>
      <c r="D123" s="33">
        <v>3574.98497</v>
      </c>
      <c r="E123" s="33">
        <v>793.30620900000008</v>
      </c>
      <c r="F123" s="33">
        <v>1377.6806099999999</v>
      </c>
      <c r="G123" s="33">
        <v>59414.316918999997</v>
      </c>
    </row>
    <row r="124" spans="1:7" x14ac:dyDescent="0.25">
      <c r="A124" s="20">
        <v>12</v>
      </c>
      <c r="B124" s="33">
        <v>33361.032468999998</v>
      </c>
      <c r="C124" s="33">
        <v>16582.558269000001</v>
      </c>
      <c r="D124" s="33">
        <v>3164.9129760000001</v>
      </c>
      <c r="E124" s="33">
        <v>348.596721</v>
      </c>
      <c r="F124" s="33">
        <v>1260.041579</v>
      </c>
      <c r="G124" s="33">
        <v>56930.933976</v>
      </c>
    </row>
    <row r="127" spans="1:7" x14ac:dyDescent="0.25">
      <c r="B127" s="76" t="s">
        <v>121</v>
      </c>
      <c r="C127" s="76"/>
      <c r="D127" s="76"/>
      <c r="E127" s="76"/>
      <c r="F127" s="76"/>
    </row>
    <row r="128" spans="1:7" x14ac:dyDescent="0.25">
      <c r="A128" t="s">
        <v>116</v>
      </c>
      <c r="B128" s="30" t="s">
        <v>9</v>
      </c>
      <c r="C128" s="30" t="s">
        <v>14</v>
      </c>
      <c r="D128" s="30" t="s">
        <v>16</v>
      </c>
      <c r="E128" s="30" t="s">
        <v>38</v>
      </c>
      <c r="F128" s="30" t="s">
        <v>47</v>
      </c>
    </row>
    <row r="129" spans="1:9" x14ac:dyDescent="0.25">
      <c r="A129" s="20">
        <v>1</v>
      </c>
      <c r="B129" s="2">
        <f t="shared" ref="B129:B140" si="0">B113/G113</f>
        <v>0.54932163008193258</v>
      </c>
      <c r="C129" s="2">
        <f>C113/$G$113</f>
        <v>0.3290907900792</v>
      </c>
      <c r="D129" s="2">
        <f>D113/$G$113</f>
        <v>6.2188845326087282E-2</v>
      </c>
      <c r="E129" s="2">
        <f>E113/$G$113</f>
        <v>7.9968651558955141E-3</v>
      </c>
      <c r="F129" s="2">
        <f>F113/$G$113</f>
        <v>0</v>
      </c>
      <c r="H129" s="31"/>
    </row>
    <row r="130" spans="1:9" x14ac:dyDescent="0.25">
      <c r="A130" s="20">
        <v>2</v>
      </c>
      <c r="B130" s="2">
        <f t="shared" si="0"/>
        <v>0.59246929039589125</v>
      </c>
      <c r="C130" s="2">
        <f t="shared" ref="C130:F140" si="1">C114/$G$114</f>
        <v>0.25133373013119614</v>
      </c>
      <c r="D130" s="2">
        <f t="shared" si="1"/>
        <v>7.5293034174729767E-2</v>
      </c>
      <c r="E130" s="2">
        <f t="shared" si="1"/>
        <v>8.7120995996551633E-3</v>
      </c>
      <c r="F130" s="2">
        <f t="shared" si="1"/>
        <v>9.6498081604517328E-3</v>
      </c>
      <c r="H130" s="31"/>
    </row>
    <row r="131" spans="1:9" x14ac:dyDescent="0.25">
      <c r="A131" s="20">
        <v>3</v>
      </c>
      <c r="B131" s="2">
        <f t="shared" si="0"/>
        <v>0.52687777780484624</v>
      </c>
      <c r="C131" s="2">
        <f t="shared" si="1"/>
        <v>0.49853291342766831</v>
      </c>
      <c r="D131" s="2">
        <f t="shared" si="1"/>
        <v>9.5308564216371447E-2</v>
      </c>
      <c r="E131" s="2">
        <f t="shared" si="1"/>
        <v>9.8835864391811634E-3</v>
      </c>
      <c r="F131" s="2">
        <f t="shared" si="1"/>
        <v>2.3059279696353619E-2</v>
      </c>
      <c r="H131" s="31"/>
    </row>
    <row r="132" spans="1:9" x14ac:dyDescent="0.25">
      <c r="A132" s="20">
        <v>4</v>
      </c>
      <c r="B132" s="2">
        <f t="shared" si="0"/>
        <v>0.58638202459037014</v>
      </c>
      <c r="C132" s="2">
        <f t="shared" si="1"/>
        <v>0.31842121703032844</v>
      </c>
      <c r="D132" s="2">
        <f t="shared" si="1"/>
        <v>9.9728144220211506E-2</v>
      </c>
      <c r="E132" s="2">
        <f t="shared" si="1"/>
        <v>9.5131883751130106E-3</v>
      </c>
      <c r="F132" s="2">
        <f t="shared" si="1"/>
        <v>2.243668516456547E-2</v>
      </c>
      <c r="H132" s="31"/>
    </row>
    <row r="133" spans="1:9" x14ac:dyDescent="0.25">
      <c r="A133" s="20">
        <v>5</v>
      </c>
      <c r="B133" s="2">
        <f t="shared" si="0"/>
        <v>0.5189862198414702</v>
      </c>
      <c r="C133" s="2">
        <f t="shared" si="1"/>
        <v>0.33445172666945117</v>
      </c>
      <c r="D133" s="2">
        <f t="shared" si="1"/>
        <v>7.4796279438147553E-2</v>
      </c>
      <c r="E133" s="2">
        <f t="shared" si="1"/>
        <v>6.2780182940489773E-2</v>
      </c>
      <c r="F133" s="2">
        <f t="shared" si="1"/>
        <v>2.1936847760728687E-2</v>
      </c>
      <c r="H133" s="31"/>
    </row>
    <row r="134" spans="1:9" x14ac:dyDescent="0.25">
      <c r="A134" s="20">
        <v>6</v>
      </c>
      <c r="B134" s="2">
        <f t="shared" si="0"/>
        <v>0.55378387927937922</v>
      </c>
      <c r="C134" s="2">
        <f t="shared" si="1"/>
        <v>0.25210737228250618</v>
      </c>
      <c r="D134" s="2">
        <f t="shared" si="1"/>
        <v>5.1463182549630095E-2</v>
      </c>
      <c r="E134" s="2">
        <f t="shared" si="1"/>
        <v>6.1600405612476233E-2</v>
      </c>
      <c r="F134" s="2">
        <f t="shared" si="1"/>
        <v>1.7925311737799137E-2</v>
      </c>
      <c r="H134" s="31"/>
    </row>
    <row r="135" spans="1:9" x14ac:dyDescent="0.25">
      <c r="A135" s="20">
        <v>7</v>
      </c>
      <c r="B135" s="2">
        <f t="shared" si="0"/>
        <v>0.53675920270189426</v>
      </c>
      <c r="C135" s="2">
        <f t="shared" si="1"/>
        <v>0.34445175857129801</v>
      </c>
      <c r="D135" s="2">
        <f t="shared" si="1"/>
        <v>8.0044055430268643E-2</v>
      </c>
      <c r="E135" s="2">
        <f t="shared" si="1"/>
        <v>5.8137014605356648E-2</v>
      </c>
      <c r="F135" s="2">
        <f t="shared" si="1"/>
        <v>1.9917842179291195E-2</v>
      </c>
      <c r="H135" s="31"/>
    </row>
    <row r="136" spans="1:9" x14ac:dyDescent="0.25">
      <c r="A136" s="20">
        <v>8</v>
      </c>
      <c r="B136" s="2">
        <f t="shared" si="0"/>
        <v>0.58775512072024449</v>
      </c>
      <c r="C136" s="2">
        <f t="shared" si="1"/>
        <v>0.30972943190873869</v>
      </c>
      <c r="D136" s="2">
        <f t="shared" si="1"/>
        <v>5.4737830241623153E-2</v>
      </c>
      <c r="E136" s="2">
        <f t="shared" si="1"/>
        <v>4.6836982855323284E-2</v>
      </c>
      <c r="F136" s="2">
        <f t="shared" si="1"/>
        <v>2.5176809188541784E-2</v>
      </c>
      <c r="H136" s="31"/>
    </row>
    <row r="137" spans="1:9" x14ac:dyDescent="0.25">
      <c r="A137" s="20">
        <v>9</v>
      </c>
      <c r="B137" s="2">
        <f t="shared" si="0"/>
        <v>0.5840552324869871</v>
      </c>
      <c r="C137" s="2">
        <f t="shared" si="1"/>
        <v>0.31620456888858356</v>
      </c>
      <c r="D137" s="2">
        <f t="shared" si="1"/>
        <v>9.830092051590382E-2</v>
      </c>
      <c r="E137" s="2">
        <f t="shared" si="1"/>
        <v>3.0697683093192867E-2</v>
      </c>
      <c r="F137" s="2">
        <f t="shared" si="1"/>
        <v>2.516747400350252E-2</v>
      </c>
      <c r="H137" s="31"/>
    </row>
    <row r="138" spans="1:9" x14ac:dyDescent="0.25">
      <c r="A138" s="20">
        <v>10</v>
      </c>
      <c r="B138" s="2">
        <f t="shared" si="0"/>
        <v>0.59779890234838617</v>
      </c>
      <c r="C138" s="2">
        <f t="shared" si="1"/>
        <v>0.44743777018015368</v>
      </c>
      <c r="D138" s="2">
        <f t="shared" si="1"/>
        <v>5.6106772830214861E-2</v>
      </c>
      <c r="E138" s="2">
        <f t="shared" si="1"/>
        <v>2.7124071152378811E-2</v>
      </c>
      <c r="F138" s="2">
        <f t="shared" si="1"/>
        <v>3.0493630742388745E-2</v>
      </c>
      <c r="H138" s="31"/>
      <c r="I138" s="32"/>
    </row>
    <row r="139" spans="1:9" x14ac:dyDescent="0.25">
      <c r="A139" s="20">
        <v>11</v>
      </c>
      <c r="B139" s="2">
        <f t="shared" si="0"/>
        <v>0.53315577510022749</v>
      </c>
      <c r="C139" s="2">
        <f t="shared" si="1"/>
        <v>0.47511268900640446</v>
      </c>
      <c r="D139" s="2">
        <f t="shared" si="1"/>
        <v>8.3942606999860656E-2</v>
      </c>
      <c r="E139" s="2">
        <f t="shared" si="1"/>
        <v>1.8627264699419513E-2</v>
      </c>
      <c r="F139" s="2">
        <f t="shared" si="1"/>
        <v>3.2348696004883701E-2</v>
      </c>
      <c r="H139" s="32"/>
    </row>
    <row r="140" spans="1:9" x14ac:dyDescent="0.25">
      <c r="A140" s="20">
        <v>12</v>
      </c>
      <c r="B140" s="2">
        <f t="shared" si="0"/>
        <v>0.58599130804816568</v>
      </c>
      <c r="C140" s="2">
        <f t="shared" si="1"/>
        <v>0.38936755916681703</v>
      </c>
      <c r="D140" s="2">
        <f t="shared" si="1"/>
        <v>7.431389176808971E-2</v>
      </c>
      <c r="E140" s="2">
        <f t="shared" si="1"/>
        <v>8.185242119309686E-3</v>
      </c>
      <c r="F140" s="2">
        <f t="shared" si="1"/>
        <v>2.9586467064078557E-2</v>
      </c>
    </row>
    <row r="143" spans="1:9" x14ac:dyDescent="0.25">
      <c r="A143" t="s">
        <v>117</v>
      </c>
    </row>
    <row r="144" spans="1:9" x14ac:dyDescent="0.25">
      <c r="A144" t="s">
        <v>118</v>
      </c>
    </row>
    <row r="145" spans="1:10" x14ac:dyDescent="0.25">
      <c r="A145" t="s">
        <v>119</v>
      </c>
    </row>
    <row r="149" spans="1:10" x14ac:dyDescent="0.25">
      <c r="A149" s="11" t="s">
        <v>120</v>
      </c>
    </row>
    <row r="150" spans="1:10" x14ac:dyDescent="0.25">
      <c r="B150" s="11"/>
      <c r="C150" s="11"/>
      <c r="D150" s="11"/>
      <c r="E150" s="11"/>
      <c r="F150" s="11"/>
    </row>
    <row r="151" spans="1:10" x14ac:dyDescent="0.25">
      <c r="A151" s="19" t="s">
        <v>84</v>
      </c>
      <c r="B151" s="19" t="s">
        <v>108</v>
      </c>
    </row>
    <row r="152" spans="1:10" x14ac:dyDescent="0.25">
      <c r="A152" s="19" t="s">
        <v>85</v>
      </c>
      <c r="B152">
        <v>2020</v>
      </c>
      <c r="C152">
        <v>2021</v>
      </c>
      <c r="D152">
        <v>2022</v>
      </c>
      <c r="E152" t="s">
        <v>86</v>
      </c>
    </row>
    <row r="153" spans="1:10" x14ac:dyDescent="0.25">
      <c r="A153" s="20" t="s">
        <v>8</v>
      </c>
      <c r="B153" s="1">
        <v>203529.63592100007</v>
      </c>
      <c r="C153" s="1">
        <v>216284.90285900023</v>
      </c>
      <c r="D153" s="1">
        <v>220552.82088799993</v>
      </c>
      <c r="E153" s="1">
        <v>640367.35966800025</v>
      </c>
    </row>
    <row r="154" spans="1:10" x14ac:dyDescent="0.25">
      <c r="A154" s="20" t="s">
        <v>25</v>
      </c>
      <c r="B154" s="1">
        <v>183036.71761399996</v>
      </c>
      <c r="C154" s="1">
        <v>163229.10698899996</v>
      </c>
      <c r="D154" s="1">
        <v>160400.74835199991</v>
      </c>
      <c r="E154" s="1">
        <v>506666.57295499987</v>
      </c>
    </row>
    <row r="155" spans="1:10" x14ac:dyDescent="0.25">
      <c r="A155" s="20" t="s">
        <v>29</v>
      </c>
      <c r="B155" s="1">
        <v>358254.20792200009</v>
      </c>
      <c r="C155" s="1">
        <v>413444.29033600021</v>
      </c>
      <c r="D155" s="1">
        <v>444037.41329000005</v>
      </c>
      <c r="E155" s="1">
        <v>1215735.9115480003</v>
      </c>
    </row>
    <row r="156" spans="1:10" x14ac:dyDescent="0.25">
      <c r="A156" s="20" t="s">
        <v>86</v>
      </c>
      <c r="B156" s="1">
        <v>744820.56145700009</v>
      </c>
      <c r="C156" s="1">
        <v>792958.3001840004</v>
      </c>
      <c r="D156" s="1">
        <v>824990.98252999992</v>
      </c>
      <c r="E156" s="1">
        <v>2362769.8441710006</v>
      </c>
    </row>
    <row r="157" spans="1:10" x14ac:dyDescent="0.25">
      <c r="I157" s="36"/>
    </row>
    <row r="158" spans="1:10" x14ac:dyDescent="0.25">
      <c r="F158" s="22"/>
      <c r="G158" s="22"/>
      <c r="H158" s="22"/>
      <c r="I158" s="22"/>
    </row>
    <row r="160" spans="1:10" x14ac:dyDescent="0.25">
      <c r="B160" s="79" t="s">
        <v>8</v>
      </c>
      <c r="C160" s="79"/>
      <c r="D160" s="79" t="s">
        <v>29</v>
      </c>
      <c r="E160" s="79"/>
      <c r="F160" s="79" t="s">
        <v>25</v>
      </c>
      <c r="G160" s="79"/>
      <c r="I160" s="37"/>
      <c r="J160" s="37"/>
    </row>
    <row r="161" spans="1:8" x14ac:dyDescent="0.25">
      <c r="A161" s="34" t="s">
        <v>122</v>
      </c>
      <c r="B161" s="22">
        <v>2021</v>
      </c>
      <c r="C161" s="22">
        <v>2022</v>
      </c>
      <c r="D161" s="22">
        <v>2021</v>
      </c>
      <c r="E161" s="22">
        <v>2022</v>
      </c>
      <c r="F161" s="22">
        <v>2021</v>
      </c>
      <c r="G161" s="22">
        <v>2022</v>
      </c>
      <c r="H161" s="22"/>
    </row>
    <row r="162" spans="1:8" x14ac:dyDescent="0.25">
      <c r="A162" s="20" t="s">
        <v>123</v>
      </c>
      <c r="B162" s="35">
        <f>GETPIVOTDATA("Value (in 1000 rub)",$A$151,"Year",2021,"Channel","Hypermarkets")-GETPIVOTDATA("Value (in 1000 rub)",$A$151,"Year",2020,"Channel","Hypermarkets")</f>
        <v>12755.266938000161</v>
      </c>
      <c r="C162" s="29">
        <f>GETPIVOTDATA("Value (in 1000 rub)",$A$151,"Year",2022,"Channel","Hypermarkets")-GETPIVOTDATA("Value (in 1000 rub)",$A$151,"Year",2021,"Channel","Hypermarkets")</f>
        <v>4267.9180289997021</v>
      </c>
      <c r="D162" s="29">
        <f>GETPIVOTDATA("Value (in 1000 rub)",$A$151,"Year",2021,"Channel","Supermarkets")-GETPIVOTDATA("Value (in 1000 rub)",$A$151,"Year",2020,"Channel","Supermarkets")</f>
        <v>55190.08241400012</v>
      </c>
      <c r="E162" s="29">
        <f>GETPIVOTDATA("Value (in 1000 rub)",$A$151,"Year",2022,"Channel","Supermarkets")-GETPIVOTDATA("Value (in 1000 rub)",$A$151,"Year",2021,"Channel","Supermarkets")</f>
        <v>30593.122953999846</v>
      </c>
      <c r="F162" s="29">
        <f>GETPIVOTDATA("Value (in 1000 rub)",$A$151,"Year",2021,"Channel","Minimarkets")-GETPIVOTDATA("Value (in 1000 rub)",$A$151,"Year",2020,"Channel","Minimarkets")</f>
        <v>-19807.610625000001</v>
      </c>
      <c r="G162" s="29">
        <f>GETPIVOTDATA("Value (in 1000 rub)",$A$151,"Year",2022,"Channel","Minimarkets")-GETPIVOTDATA("Value (in 1000 rub)",$A$151,"Year",2021,"Channel","Minimarkets")</f>
        <v>-2828.3586370000558</v>
      </c>
    </row>
    <row r="163" spans="1:8" x14ac:dyDescent="0.25">
      <c r="A163" t="s">
        <v>124</v>
      </c>
      <c r="B163" s="2">
        <f>B162/GETPIVOTDATA("Value (in 1000 rub)",$A$151,"Year",2020,"Channel","Hypermarkets")</f>
        <v>6.2670317667895367E-2</v>
      </c>
      <c r="C163" s="2">
        <f>C162/GETPIVOTDATA("Value (in 1000 rub)",$A$151,"Year",2021,"Channel","Hypermarkets")</f>
        <v>1.9732852236025136E-2</v>
      </c>
      <c r="D163" s="2">
        <f>D162/GETPIVOTDATA("Value (in 1000 rub)",$A$151,"Year",2020,"Channel","Supermarkets")</f>
        <v>0.15405285183982048</v>
      </c>
      <c r="E163" s="2">
        <f>E162/GETPIVOTDATA("Value (in 1000 rub)",$A$151,"Year",2021,"Channel","Supermarkets")</f>
        <v>7.3995756306459701E-2</v>
      </c>
      <c r="F163" s="2">
        <f>F162/GETPIVOTDATA("Value (in 1000 rub)",$A$151,"Year",2020,"Channel","Minimarkets")</f>
        <v>-0.10821659655617083</v>
      </c>
      <c r="G163" s="2">
        <f>G162/GETPIVOTDATA("Value (in 1000 rub)",$A$151,"Year",2021,"Channel","Minimarkets")</f>
        <v>-1.7327538508132984E-2</v>
      </c>
    </row>
    <row r="164" spans="1:8" x14ac:dyDescent="0.25">
      <c r="A164" t="s">
        <v>125</v>
      </c>
      <c r="B164" s="2">
        <f>GETPIVOTDATA("Value (in 1000 rub)",$A$151,"Year",2021,"Channel","Hypermarkets")/GETPIVOTDATA("Value (in 1000 rub)",$A$151,"Year",2021)</f>
        <v>0.27275696945074268</v>
      </c>
      <c r="C164" s="2">
        <f>GETPIVOTDATA("Value (in 1000 rub)",$A$151,"Year",2022,"Channel","Hypermarkets")/GETPIVOTDATA("Value (in 1000 rub)",$A$151,"Year",2022)</f>
        <v>0.26733967468545</v>
      </c>
      <c r="D164" s="2">
        <f>GETPIVOTDATA("Value (in 1000 rub)",$A$151,"Year",2021,"Channel","Supermarkets")/GETPIVOTDATA("Value (in 1000 rub)",$A$151,"Year",2021)</f>
        <v>0.52139474451564904</v>
      </c>
      <c r="E164" s="2">
        <f>GETPIVOTDATA("Value (in 1000 rub)",$A$151,"Year",2022,"Channel","Supermarkets")/GETPIVOTDATA("Value (in 1000 rub)",$A$151,"Year",2022)</f>
        <v>0.53823305065501503</v>
      </c>
      <c r="F164" s="2">
        <f>GETPIVOTDATA("Value (in 1000 rub)",$A$151,"Year",2021,"Channel","Minimarkets")/GETPIVOTDATA("Value (in 1000 rub)",$A$151,"Year",2021)</f>
        <v>0.20584828603360833</v>
      </c>
      <c r="G164" s="2">
        <f>GETPIVOTDATA("Value (in 1000 rub)",$A$151,"Year",2022,"Channel","Minimarkets")/GETPIVOTDATA("Value (in 1000 rub)",$A$151,"Year",2022)</f>
        <v>0.19442727465953497</v>
      </c>
    </row>
    <row r="167" spans="1:8" x14ac:dyDescent="0.25">
      <c r="A167" t="s">
        <v>127</v>
      </c>
    </row>
    <row r="168" spans="1:8" x14ac:dyDescent="0.25">
      <c r="A168" t="s">
        <v>126</v>
      </c>
    </row>
    <row r="172" spans="1:8" x14ac:dyDescent="0.25">
      <c r="A172" s="11" t="s">
        <v>128</v>
      </c>
    </row>
    <row r="173" spans="1:8" x14ac:dyDescent="0.25">
      <c r="B173" s="11"/>
      <c r="C173" s="11"/>
      <c r="D173" s="11"/>
      <c r="E173" s="11"/>
    </row>
    <row r="174" spans="1:8" x14ac:dyDescent="0.25">
      <c r="A174" s="19" t="s">
        <v>0</v>
      </c>
      <c r="B174" s="20">
        <v>2022</v>
      </c>
    </row>
    <row r="175" spans="1:8" x14ac:dyDescent="0.25">
      <c r="A175" s="19" t="s">
        <v>3</v>
      </c>
      <c r="B175" t="s">
        <v>14</v>
      </c>
    </row>
    <row r="176" spans="1:8" x14ac:dyDescent="0.25">
      <c r="A176" s="19" t="s">
        <v>4</v>
      </c>
      <c r="B176" t="s">
        <v>12</v>
      </c>
    </row>
    <row r="178" spans="1:14" x14ac:dyDescent="0.25">
      <c r="B178" s="19" t="s">
        <v>108</v>
      </c>
    </row>
    <row r="179" spans="1:14" x14ac:dyDescent="0.25">
      <c r="A179" s="19" t="s">
        <v>85</v>
      </c>
      <c r="B179">
        <v>1</v>
      </c>
      <c r="C179">
        <v>2</v>
      </c>
      <c r="D179">
        <v>3</v>
      </c>
      <c r="E179">
        <v>4</v>
      </c>
      <c r="F179">
        <v>5</v>
      </c>
      <c r="G179">
        <v>6</v>
      </c>
      <c r="H179">
        <v>7</v>
      </c>
      <c r="I179">
        <v>8</v>
      </c>
      <c r="J179">
        <v>9</v>
      </c>
      <c r="K179">
        <v>10</v>
      </c>
      <c r="L179">
        <v>11</v>
      </c>
      <c r="M179">
        <v>12</v>
      </c>
      <c r="N179" t="s">
        <v>86</v>
      </c>
    </row>
    <row r="180" spans="1:14" x14ac:dyDescent="0.25">
      <c r="A180" s="20" t="s">
        <v>8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21" t="s">
        <v>88</v>
      </c>
      <c r="B181" s="35">
        <v>44.928699999999999</v>
      </c>
      <c r="C181" s="35">
        <v>35.849800000000002</v>
      </c>
      <c r="D181" s="35">
        <v>45.207000000000001</v>
      </c>
      <c r="E181" s="35">
        <v>29.136299999999999</v>
      </c>
      <c r="F181" s="35">
        <v>34.181800000000003</v>
      </c>
      <c r="G181" s="35">
        <v>27.228400000000001</v>
      </c>
      <c r="H181" s="35">
        <v>40.531799999999997</v>
      </c>
      <c r="I181" s="35">
        <v>28.076799999999999</v>
      </c>
      <c r="J181" s="35">
        <v>38.967300000000002</v>
      </c>
      <c r="K181" s="35">
        <v>33.0304</v>
      </c>
      <c r="L181" s="35">
        <v>52.838799999999999</v>
      </c>
      <c r="M181" s="35">
        <v>41.707599999999999</v>
      </c>
      <c r="N181" s="35">
        <v>451.68470000000002</v>
      </c>
    </row>
    <row r="182" spans="1:14" x14ac:dyDescent="0.25">
      <c r="A182" s="21" t="s">
        <v>89</v>
      </c>
      <c r="B182" s="35">
        <v>728</v>
      </c>
      <c r="C182" s="35">
        <v>694</v>
      </c>
      <c r="D182" s="35">
        <v>675</v>
      </c>
      <c r="E182" s="35">
        <v>633</v>
      </c>
      <c r="F182" s="35">
        <v>649</v>
      </c>
      <c r="G182" s="35">
        <v>636</v>
      </c>
      <c r="H182" s="35">
        <v>627</v>
      </c>
      <c r="I182" s="35">
        <v>620</v>
      </c>
      <c r="J182" s="35">
        <v>622</v>
      </c>
      <c r="K182" s="35">
        <v>629</v>
      </c>
      <c r="L182" s="35">
        <v>641</v>
      </c>
      <c r="M182" s="35">
        <v>615</v>
      </c>
      <c r="N182" s="35">
        <v>7769</v>
      </c>
    </row>
    <row r="183" spans="1:14" x14ac:dyDescent="0.25">
      <c r="A183" s="21" t="s">
        <v>90</v>
      </c>
      <c r="B183" s="35">
        <v>61.715247252747247</v>
      </c>
      <c r="C183" s="35">
        <v>51.656772334293954</v>
      </c>
      <c r="D183" s="35">
        <v>66.973333333333329</v>
      </c>
      <c r="E183" s="35">
        <v>46.028909952606632</v>
      </c>
      <c r="F183" s="35">
        <v>52.668412942989221</v>
      </c>
      <c r="G183" s="35">
        <v>42.811949685534593</v>
      </c>
      <c r="H183" s="35">
        <v>64.644019138755979</v>
      </c>
      <c r="I183" s="35">
        <v>45.285161290322577</v>
      </c>
      <c r="J183" s="35">
        <v>62.648392282958206</v>
      </c>
      <c r="K183" s="35">
        <v>52.512559618441976</v>
      </c>
      <c r="L183" s="35">
        <v>82.431825273010915</v>
      </c>
      <c r="M183" s="35">
        <v>67.817235772357719</v>
      </c>
      <c r="N183" s="35">
        <v>58.13936156519501</v>
      </c>
    </row>
    <row r="184" spans="1:14" x14ac:dyDescent="0.25">
      <c r="A184" s="20" t="s">
        <v>25</v>
      </c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 spans="1:14" x14ac:dyDescent="0.25">
      <c r="A185" s="21" t="s">
        <v>88</v>
      </c>
      <c r="B185" s="35">
        <v>8.1112000000000002</v>
      </c>
      <c r="C185" s="35">
        <v>7.6718999999999999</v>
      </c>
      <c r="D185" s="35">
        <v>19.705200000000001</v>
      </c>
      <c r="E185" s="35">
        <v>17.859200000000001</v>
      </c>
      <c r="F185" s="35">
        <v>11.338699999999999</v>
      </c>
      <c r="G185" s="35">
        <v>10.0684</v>
      </c>
      <c r="H185" s="35">
        <v>10.2943</v>
      </c>
      <c r="I185" s="35">
        <v>9.7257999999999996</v>
      </c>
      <c r="J185" s="35">
        <v>11.0032</v>
      </c>
      <c r="K185" s="35">
        <v>12.4224</v>
      </c>
      <c r="L185" s="35">
        <v>16.7315</v>
      </c>
      <c r="M185" s="35">
        <v>13.1007</v>
      </c>
      <c r="N185" s="35">
        <v>148.03249999999997</v>
      </c>
    </row>
    <row r="186" spans="1:14" x14ac:dyDescent="0.25">
      <c r="A186" s="21" t="s">
        <v>89</v>
      </c>
      <c r="B186" s="35">
        <v>1351</v>
      </c>
      <c r="C186" s="35">
        <v>1087</v>
      </c>
      <c r="D186" s="35">
        <v>2934</v>
      </c>
      <c r="E186" s="35">
        <v>2396</v>
      </c>
      <c r="F186" s="35">
        <v>1918</v>
      </c>
      <c r="G186" s="35">
        <v>1724</v>
      </c>
      <c r="H186" s="35">
        <v>1693</v>
      </c>
      <c r="I186" s="35">
        <v>1743</v>
      </c>
      <c r="J186" s="35">
        <v>1621</v>
      </c>
      <c r="K186" s="35">
        <v>1809</v>
      </c>
      <c r="L186" s="35">
        <v>2672</v>
      </c>
      <c r="M186" s="35">
        <v>2389</v>
      </c>
      <c r="N186" s="35">
        <v>23337</v>
      </c>
    </row>
    <row r="187" spans="1:14" x14ac:dyDescent="0.25">
      <c r="A187" s="21" t="s">
        <v>90</v>
      </c>
      <c r="B187" s="51">
        <v>6.0038490007401926</v>
      </c>
      <c r="C187" s="51">
        <v>7.057865685372585</v>
      </c>
      <c r="D187" s="51">
        <v>6.716155419222904</v>
      </c>
      <c r="E187" s="51">
        <v>7.4537562604340568</v>
      </c>
      <c r="F187" s="51">
        <v>5.9117309697601659</v>
      </c>
      <c r="G187" s="51">
        <v>5.8401392111368908</v>
      </c>
      <c r="H187" s="51">
        <v>6.0805079740106311</v>
      </c>
      <c r="I187" s="51">
        <v>5.5799196787148588</v>
      </c>
      <c r="J187" s="51">
        <v>6.7879086983343608</v>
      </c>
      <c r="K187" s="51">
        <v>6.8669983416252069</v>
      </c>
      <c r="L187" s="51">
        <v>6.2617889221556888</v>
      </c>
      <c r="M187" s="51">
        <v>5.4837588949351188</v>
      </c>
      <c r="N187" s="51">
        <v>6.3432532030680884</v>
      </c>
    </row>
    <row r="188" spans="1:14" x14ac:dyDescent="0.25">
      <c r="A188" s="20" t="s">
        <v>29</v>
      </c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 spans="1:14" x14ac:dyDescent="0.25">
      <c r="A189" s="21" t="s">
        <v>88</v>
      </c>
      <c r="B189" s="35">
        <v>56.186999999999998</v>
      </c>
      <c r="C189" s="35">
        <v>29.5518</v>
      </c>
      <c r="D189" s="35">
        <v>73.765600000000006</v>
      </c>
      <c r="E189" s="35">
        <v>41.0715</v>
      </c>
      <c r="F189" s="35">
        <v>30.697199999999999</v>
      </c>
      <c r="G189" s="35">
        <v>29.5306</v>
      </c>
      <c r="H189" s="35">
        <v>40.710799999999999</v>
      </c>
      <c r="I189" s="35">
        <v>35.424799999999998</v>
      </c>
      <c r="J189" s="35">
        <v>31.026700000000002</v>
      </c>
      <c r="K189" s="35">
        <v>51.350499999999997</v>
      </c>
      <c r="L189" s="35">
        <v>66.876199999999997</v>
      </c>
      <c r="M189" s="35">
        <v>50.753999999999998</v>
      </c>
      <c r="N189" s="35">
        <v>536.94669999999996</v>
      </c>
    </row>
    <row r="190" spans="1:14" x14ac:dyDescent="0.25">
      <c r="A190" s="21" t="s">
        <v>89</v>
      </c>
      <c r="B190" s="35">
        <v>4241</v>
      </c>
      <c r="C190" s="35">
        <v>3996</v>
      </c>
      <c r="D190" s="35">
        <v>5015</v>
      </c>
      <c r="E190" s="35">
        <v>4466</v>
      </c>
      <c r="F190" s="35">
        <v>4051</v>
      </c>
      <c r="G190" s="35">
        <v>4155</v>
      </c>
      <c r="H190" s="35">
        <v>3981</v>
      </c>
      <c r="I190" s="35">
        <v>3846</v>
      </c>
      <c r="J190" s="35">
        <v>3549</v>
      </c>
      <c r="K190" s="35">
        <v>3575</v>
      </c>
      <c r="L190" s="35">
        <v>8509</v>
      </c>
      <c r="M190" s="35">
        <v>8459</v>
      </c>
      <c r="N190" s="35">
        <v>57843</v>
      </c>
    </row>
    <row r="191" spans="1:14" x14ac:dyDescent="0.25">
      <c r="A191" s="21" t="s">
        <v>90</v>
      </c>
      <c r="B191" s="35">
        <v>13.248526290969112</v>
      </c>
      <c r="C191" s="35">
        <v>7.395345345345345</v>
      </c>
      <c r="D191" s="35">
        <v>14.708993020937189</v>
      </c>
      <c r="E191" s="35">
        <v>9.1964845499328263</v>
      </c>
      <c r="F191" s="35">
        <v>7.5776845223401619</v>
      </c>
      <c r="G191" s="35">
        <v>7.1072442839951862</v>
      </c>
      <c r="H191" s="35">
        <v>10.226274805325295</v>
      </c>
      <c r="I191" s="35">
        <v>9.210816432657305</v>
      </c>
      <c r="J191" s="35">
        <v>8.7423781346858274</v>
      </c>
      <c r="K191" s="35">
        <v>14.363776223776224</v>
      </c>
      <c r="L191" s="35">
        <v>7.8594664472911031</v>
      </c>
      <c r="M191" s="35">
        <v>6</v>
      </c>
      <c r="N191" s="35">
        <v>9.2828293829849766</v>
      </c>
    </row>
    <row r="192" spans="1:14" x14ac:dyDescent="0.25">
      <c r="A192" s="20" t="s">
        <v>129</v>
      </c>
      <c r="B192" s="35">
        <v>109.2269</v>
      </c>
      <c r="C192" s="35">
        <v>73.073499999999996</v>
      </c>
      <c r="D192" s="35">
        <v>138.67779999999999</v>
      </c>
      <c r="E192" s="35">
        <v>88.067000000000007</v>
      </c>
      <c r="F192" s="35">
        <v>76.217699999999994</v>
      </c>
      <c r="G192" s="35">
        <v>66.827400000000011</v>
      </c>
      <c r="H192" s="35">
        <v>91.536900000000003</v>
      </c>
      <c r="I192" s="35">
        <v>73.227399999999989</v>
      </c>
      <c r="J192" s="35">
        <v>80.997200000000007</v>
      </c>
      <c r="K192" s="35">
        <v>96.803299999999993</v>
      </c>
      <c r="L192" s="35">
        <v>136.44650000000001</v>
      </c>
      <c r="M192" s="35">
        <v>105.56229999999999</v>
      </c>
      <c r="N192" s="35">
        <v>1136.6639</v>
      </c>
    </row>
    <row r="193" spans="1:14" x14ac:dyDescent="0.25">
      <c r="A193" s="20" t="s">
        <v>130</v>
      </c>
      <c r="B193" s="35">
        <v>6320</v>
      </c>
      <c r="C193" s="35">
        <v>5777</v>
      </c>
      <c r="D193" s="35">
        <v>8624</v>
      </c>
      <c r="E193" s="35">
        <v>7495</v>
      </c>
      <c r="F193" s="35">
        <v>6618</v>
      </c>
      <c r="G193" s="35">
        <v>6515</v>
      </c>
      <c r="H193" s="35">
        <v>6301</v>
      </c>
      <c r="I193" s="35">
        <v>6209</v>
      </c>
      <c r="J193" s="35">
        <v>5792</v>
      </c>
      <c r="K193" s="35">
        <v>6013</v>
      </c>
      <c r="L193" s="35">
        <v>11822</v>
      </c>
      <c r="M193" s="35">
        <v>11463</v>
      </c>
      <c r="N193" s="35">
        <v>88949</v>
      </c>
    </row>
    <row r="194" spans="1:14" x14ac:dyDescent="0.25">
      <c r="A194" s="20" t="s">
        <v>131</v>
      </c>
      <c r="B194" s="35">
        <v>17.282737341772151</v>
      </c>
      <c r="C194" s="35">
        <v>12.649039293751082</v>
      </c>
      <c r="D194" s="35">
        <v>16.080449907235622</v>
      </c>
      <c r="E194" s="35">
        <v>11.750100066711141</v>
      </c>
      <c r="F194" s="35">
        <v>11.516727107887579</v>
      </c>
      <c r="G194" s="35">
        <v>10.257467382962396</v>
      </c>
      <c r="H194" s="35">
        <v>14.527360736391051</v>
      </c>
      <c r="I194" s="35">
        <v>11.793751006603317</v>
      </c>
      <c r="J194" s="35">
        <v>13.984323204419891</v>
      </c>
      <c r="K194" s="35">
        <v>16.099002161982369</v>
      </c>
      <c r="L194" s="35">
        <v>11.541744205718153</v>
      </c>
      <c r="M194" s="35">
        <v>9.2089592602285606</v>
      </c>
      <c r="N194" s="35">
        <v>12.778827193110658</v>
      </c>
    </row>
    <row r="197" spans="1:14" x14ac:dyDescent="0.25">
      <c r="B197" s="76" t="s">
        <v>134</v>
      </c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spans="1:14" x14ac:dyDescent="0.25">
      <c r="B198" s="38">
        <v>1</v>
      </c>
      <c r="C198" s="38">
        <v>2</v>
      </c>
      <c r="D198" s="38">
        <v>3</v>
      </c>
      <c r="E198" s="38">
        <v>4</v>
      </c>
      <c r="F198" s="38">
        <v>5</v>
      </c>
      <c r="G198" s="38">
        <v>6</v>
      </c>
      <c r="H198" s="38">
        <v>7</v>
      </c>
      <c r="I198" s="38">
        <v>8</v>
      </c>
      <c r="J198" s="38">
        <v>9</v>
      </c>
      <c r="K198" s="38">
        <v>10</v>
      </c>
      <c r="L198" s="38">
        <v>11</v>
      </c>
      <c r="M198" s="38">
        <v>12</v>
      </c>
    </row>
    <row r="199" spans="1:14" x14ac:dyDescent="0.25">
      <c r="A199" s="39" t="s">
        <v>8</v>
      </c>
      <c r="B199" s="35">
        <v>61.715247252747247</v>
      </c>
      <c r="C199" s="35">
        <v>51.656772334293954</v>
      </c>
      <c r="D199" s="35">
        <v>66.973333333333329</v>
      </c>
      <c r="E199" s="35">
        <v>46.028909952606632</v>
      </c>
      <c r="F199" s="35">
        <v>52.668412942989221</v>
      </c>
      <c r="G199" s="35">
        <v>42.811949685534593</v>
      </c>
      <c r="H199" s="35">
        <v>64.644019138755979</v>
      </c>
      <c r="I199" s="35">
        <v>45.285161290322577</v>
      </c>
      <c r="J199" s="35">
        <v>62.648392282958206</v>
      </c>
      <c r="K199" s="35">
        <v>52.512559618441976</v>
      </c>
      <c r="L199" s="35">
        <v>82.431825273010915</v>
      </c>
      <c r="M199" s="35">
        <v>67.817235772357719</v>
      </c>
    </row>
    <row r="200" spans="1:14" x14ac:dyDescent="0.25">
      <c r="A200" s="39" t="s">
        <v>25</v>
      </c>
      <c r="B200" s="35">
        <v>6.0038490007401926</v>
      </c>
      <c r="C200" s="35">
        <v>7.057865685372585</v>
      </c>
      <c r="D200" s="35">
        <v>6.716155419222904</v>
      </c>
      <c r="E200" s="35">
        <v>7.4537562604340568</v>
      </c>
      <c r="F200" s="35">
        <v>5.9117309697601659</v>
      </c>
      <c r="G200" s="35">
        <v>5.8401392111368908</v>
      </c>
      <c r="H200" s="35">
        <v>6.0805079740106311</v>
      </c>
      <c r="I200" s="35">
        <v>5.5799196787148588</v>
      </c>
      <c r="J200" s="35">
        <v>6.7879086983343608</v>
      </c>
      <c r="K200" s="35">
        <v>6.8669983416252069</v>
      </c>
      <c r="L200" s="35">
        <v>6.2617889221556888</v>
      </c>
      <c r="M200" s="35">
        <v>5.4837588949351188</v>
      </c>
    </row>
    <row r="201" spans="1:14" x14ac:dyDescent="0.25">
      <c r="A201" s="39" t="s">
        <v>29</v>
      </c>
      <c r="B201" s="35">
        <v>13.248526290969112</v>
      </c>
      <c r="C201" s="35">
        <v>7.395345345345345</v>
      </c>
      <c r="D201" s="35">
        <v>14.708993020937189</v>
      </c>
      <c r="E201" s="35">
        <v>9.1964845499328263</v>
      </c>
      <c r="F201" s="35">
        <v>7.5776845223401619</v>
      </c>
      <c r="G201" s="35">
        <v>7.1072442839951862</v>
      </c>
      <c r="H201" s="35">
        <v>10.226274805325295</v>
      </c>
      <c r="I201" s="35">
        <v>9.210816432657305</v>
      </c>
      <c r="J201" s="35">
        <v>8.7423781346858274</v>
      </c>
      <c r="K201" s="35">
        <v>14.363776223776224</v>
      </c>
      <c r="L201" s="35">
        <v>7.8594664472911031</v>
      </c>
      <c r="M201" s="35">
        <v>6</v>
      </c>
    </row>
    <row r="205" spans="1:14" x14ac:dyDescent="0.25">
      <c r="A205" s="20" t="s">
        <v>135</v>
      </c>
    </row>
    <row r="206" spans="1:14" x14ac:dyDescent="0.25">
      <c r="A206" s="20" t="s">
        <v>132</v>
      </c>
    </row>
    <row r="207" spans="1:14" x14ac:dyDescent="0.25">
      <c r="A207" s="20" t="s">
        <v>133</v>
      </c>
    </row>
    <row r="210" spans="1:14" x14ac:dyDescent="0.25">
      <c r="A210" s="19" t="s">
        <v>0</v>
      </c>
      <c r="B210" s="20">
        <v>2022</v>
      </c>
    </row>
    <row r="211" spans="1:14" x14ac:dyDescent="0.25">
      <c r="A211" s="19" t="s">
        <v>3</v>
      </c>
      <c r="B211" t="s">
        <v>9</v>
      </c>
    </row>
    <row r="212" spans="1:14" x14ac:dyDescent="0.25">
      <c r="A212" s="19" t="s">
        <v>4</v>
      </c>
      <c r="B212" t="s">
        <v>11</v>
      </c>
    </row>
    <row r="214" spans="1:14" x14ac:dyDescent="0.25">
      <c r="B214" s="19" t="s">
        <v>108</v>
      </c>
    </row>
    <row r="215" spans="1:14" x14ac:dyDescent="0.25">
      <c r="A215" s="19" t="s">
        <v>85</v>
      </c>
      <c r="B215">
        <v>1</v>
      </c>
      <c r="C215">
        <v>2</v>
      </c>
      <c r="D215">
        <v>3</v>
      </c>
      <c r="E215">
        <v>4</v>
      </c>
      <c r="F215">
        <v>5</v>
      </c>
      <c r="G215">
        <v>6</v>
      </c>
      <c r="H215">
        <v>7</v>
      </c>
      <c r="I215">
        <v>8</v>
      </c>
      <c r="J215">
        <v>9</v>
      </c>
      <c r="K215">
        <v>10</v>
      </c>
      <c r="L215">
        <v>11</v>
      </c>
      <c r="M215">
        <v>12</v>
      </c>
      <c r="N215" t="s">
        <v>86</v>
      </c>
    </row>
    <row r="216" spans="1:14" x14ac:dyDescent="0.25">
      <c r="A216" s="20" t="s">
        <v>8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21" t="s">
        <v>88</v>
      </c>
      <c r="B217" s="35">
        <v>58.244300000000003</v>
      </c>
      <c r="C217" s="35">
        <v>47.110900000000001</v>
      </c>
      <c r="D217" s="35">
        <v>73.746099999999998</v>
      </c>
      <c r="E217" s="35">
        <v>54.245699999999999</v>
      </c>
      <c r="F217" s="35">
        <v>42.728000000000002</v>
      </c>
      <c r="G217" s="35">
        <v>56.865200000000002</v>
      </c>
      <c r="H217" s="35">
        <v>38.008899999999997</v>
      </c>
      <c r="I217" s="35">
        <v>30.621600000000001</v>
      </c>
      <c r="J217" s="35">
        <v>36.849400000000003</v>
      </c>
      <c r="K217" s="35">
        <v>65.06</v>
      </c>
      <c r="L217" s="35">
        <v>49.632199999999997</v>
      </c>
      <c r="M217" s="35">
        <v>26.398</v>
      </c>
      <c r="N217" s="35">
        <v>579.51030000000003</v>
      </c>
    </row>
    <row r="218" spans="1:14" x14ac:dyDescent="0.25">
      <c r="A218" s="21" t="s">
        <v>89</v>
      </c>
      <c r="B218" s="35">
        <v>758</v>
      </c>
      <c r="C218" s="35">
        <v>744</v>
      </c>
      <c r="D218" s="35">
        <v>710</v>
      </c>
      <c r="E218" s="35">
        <v>679</v>
      </c>
      <c r="F218" s="35">
        <v>677</v>
      </c>
      <c r="G218" s="35">
        <v>681</v>
      </c>
      <c r="H218" s="35">
        <v>654</v>
      </c>
      <c r="I218" s="35">
        <v>636</v>
      </c>
      <c r="J218" s="35">
        <v>561</v>
      </c>
      <c r="K218" s="35">
        <v>624</v>
      </c>
      <c r="L218" s="35">
        <v>623</v>
      </c>
      <c r="M218" s="35">
        <v>596</v>
      </c>
      <c r="N218" s="35">
        <v>7943</v>
      </c>
    </row>
    <row r="219" spans="1:14" x14ac:dyDescent="0.25">
      <c r="A219" s="21" t="s">
        <v>90</v>
      </c>
      <c r="B219" s="35">
        <v>76.839445910290237</v>
      </c>
      <c r="C219" s="35">
        <v>63.321102150537634</v>
      </c>
      <c r="D219" s="35">
        <v>103.86774647887323</v>
      </c>
      <c r="E219" s="35">
        <v>79.89057437407952</v>
      </c>
      <c r="F219" s="35">
        <v>63.113737075332345</v>
      </c>
      <c r="G219" s="35">
        <v>83.502496328928046</v>
      </c>
      <c r="H219" s="35">
        <v>58.117584097859321</v>
      </c>
      <c r="I219" s="35">
        <v>48.147169811320758</v>
      </c>
      <c r="J219" s="35">
        <v>65.685204991087346</v>
      </c>
      <c r="K219" s="35">
        <v>104.26282051282051</v>
      </c>
      <c r="L219" s="35">
        <v>79.666452648475115</v>
      </c>
      <c r="M219" s="35">
        <v>44.291946308724832</v>
      </c>
      <c r="N219" s="35">
        <v>72.958617650761681</v>
      </c>
    </row>
    <row r="220" spans="1:14" x14ac:dyDescent="0.25">
      <c r="A220" s="20" t="s">
        <v>25</v>
      </c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 spans="1:14" x14ac:dyDescent="0.25">
      <c r="A221" s="21" t="s">
        <v>88</v>
      </c>
      <c r="B221" s="35">
        <v>57.690800000000003</v>
      </c>
      <c r="C221" s="35">
        <v>54.681100000000001</v>
      </c>
      <c r="D221" s="35">
        <v>62.9831</v>
      </c>
      <c r="E221" s="35">
        <v>61.099299999999999</v>
      </c>
      <c r="F221" s="35">
        <v>62.5334</v>
      </c>
      <c r="G221" s="35">
        <v>49.532600000000002</v>
      </c>
      <c r="H221" s="35">
        <v>59.872500000000002</v>
      </c>
      <c r="I221" s="35">
        <v>58.143999999999998</v>
      </c>
      <c r="J221" s="35">
        <v>53.9114</v>
      </c>
      <c r="K221" s="35">
        <v>53.130099999999999</v>
      </c>
      <c r="L221" s="35">
        <v>33.4998</v>
      </c>
      <c r="M221" s="35">
        <v>41.937199999999997</v>
      </c>
      <c r="N221" s="35">
        <v>649.01530000000002</v>
      </c>
    </row>
    <row r="222" spans="1:14" x14ac:dyDescent="0.25">
      <c r="A222" s="21" t="s">
        <v>89</v>
      </c>
      <c r="B222" s="35">
        <v>9322</v>
      </c>
      <c r="C222" s="35">
        <v>8884</v>
      </c>
      <c r="D222" s="35">
        <v>9221</v>
      </c>
      <c r="E222" s="35">
        <v>8855</v>
      </c>
      <c r="F222" s="35">
        <v>8839</v>
      </c>
      <c r="G222" s="35">
        <v>9047</v>
      </c>
      <c r="H222" s="35">
        <v>9650</v>
      </c>
      <c r="I222" s="35">
        <v>9622</v>
      </c>
      <c r="J222" s="35">
        <v>8071</v>
      </c>
      <c r="K222" s="35">
        <v>8665</v>
      </c>
      <c r="L222" s="35">
        <v>8472</v>
      </c>
      <c r="M222" s="35">
        <v>7912</v>
      </c>
      <c r="N222" s="35">
        <v>106560</v>
      </c>
    </row>
    <row r="223" spans="1:14" x14ac:dyDescent="0.25">
      <c r="A223" s="21" t="s">
        <v>90</v>
      </c>
      <c r="B223" s="35">
        <v>6.1886719588071228</v>
      </c>
      <c r="C223" s="35">
        <v>6.1550090049527242</v>
      </c>
      <c r="D223" s="35">
        <v>6.8303980045548203</v>
      </c>
      <c r="E223" s="35">
        <v>6.8999774138904577</v>
      </c>
      <c r="F223" s="35">
        <v>7.0747143342007019</v>
      </c>
      <c r="G223" s="35">
        <v>5.4750303968166252</v>
      </c>
      <c r="H223" s="35">
        <v>6.2044041450777199</v>
      </c>
      <c r="I223" s="35">
        <v>6.042818540843899</v>
      </c>
      <c r="J223" s="35">
        <v>6.6796431668938174</v>
      </c>
      <c r="K223" s="35">
        <v>6.1315753029428732</v>
      </c>
      <c r="L223" s="35">
        <v>3.9541784702549578</v>
      </c>
      <c r="M223" s="35">
        <v>5.3004550050556114</v>
      </c>
      <c r="N223" s="35">
        <v>6.0906090465465468</v>
      </c>
    </row>
    <row r="224" spans="1:14" x14ac:dyDescent="0.25">
      <c r="A224" s="20" t="s">
        <v>29</v>
      </c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 spans="1:14" x14ac:dyDescent="0.25">
      <c r="A225" s="21" t="s">
        <v>88</v>
      </c>
      <c r="B225" s="35">
        <v>159.5171</v>
      </c>
      <c r="C225" s="35">
        <v>129.52809999999999</v>
      </c>
      <c r="D225" s="35">
        <v>159.762</v>
      </c>
      <c r="E225" s="35">
        <v>150.4402</v>
      </c>
      <c r="F225" s="35">
        <v>139.11660000000001</v>
      </c>
      <c r="G225" s="35">
        <v>107.7345</v>
      </c>
      <c r="H225" s="35">
        <v>154.49189999999999</v>
      </c>
      <c r="I225" s="35">
        <v>136.4948</v>
      </c>
      <c r="J225" s="35">
        <v>101.4127</v>
      </c>
      <c r="K225" s="35">
        <v>195.5282</v>
      </c>
      <c r="L225" s="35">
        <v>109.5556</v>
      </c>
      <c r="M225" s="35">
        <v>124.5474</v>
      </c>
      <c r="N225" s="35">
        <v>1668.1290999999999</v>
      </c>
    </row>
    <row r="226" spans="1:14" x14ac:dyDescent="0.25">
      <c r="A226" s="21" t="s">
        <v>89</v>
      </c>
      <c r="B226" s="35">
        <v>17397</v>
      </c>
      <c r="C226" s="35">
        <v>16535</v>
      </c>
      <c r="D226" s="35">
        <v>17796</v>
      </c>
      <c r="E226" s="35">
        <v>17610</v>
      </c>
      <c r="F226" s="35">
        <v>18024</v>
      </c>
      <c r="G226" s="35">
        <v>17303</v>
      </c>
      <c r="H226" s="35">
        <v>18868</v>
      </c>
      <c r="I226" s="35">
        <v>19290</v>
      </c>
      <c r="J226" s="35">
        <v>16888</v>
      </c>
      <c r="K226" s="35">
        <v>18126</v>
      </c>
      <c r="L226" s="35">
        <v>17478</v>
      </c>
      <c r="M226" s="35">
        <v>16029</v>
      </c>
      <c r="N226" s="35">
        <v>211344</v>
      </c>
    </row>
    <row r="227" spans="1:14" x14ac:dyDescent="0.25">
      <c r="A227" s="21" t="s">
        <v>90</v>
      </c>
      <c r="B227" s="35">
        <v>9.1692303270678863</v>
      </c>
      <c r="C227" s="35">
        <v>7.8335712125793764</v>
      </c>
      <c r="D227" s="35">
        <v>8.9774106540795682</v>
      </c>
      <c r="E227" s="35">
        <v>8.5428847245883031</v>
      </c>
      <c r="F227" s="35">
        <v>7.7184087882822903</v>
      </c>
      <c r="G227" s="35">
        <v>6.2263480321331564</v>
      </c>
      <c r="H227" s="35">
        <v>8.1880379478482084</v>
      </c>
      <c r="I227" s="35">
        <v>7.0759357179885942</v>
      </c>
      <c r="J227" s="35">
        <v>6.0050153955471339</v>
      </c>
      <c r="K227" s="35">
        <v>10.787167604545957</v>
      </c>
      <c r="L227" s="35">
        <v>6.2682000228859129</v>
      </c>
      <c r="M227" s="35">
        <v>7.7701291409320605</v>
      </c>
      <c r="N227" s="35">
        <v>7.8929569800893322</v>
      </c>
    </row>
    <row r="228" spans="1:14" x14ac:dyDescent="0.25">
      <c r="A228" s="20" t="s">
        <v>129</v>
      </c>
      <c r="B228" s="35">
        <v>275.4522</v>
      </c>
      <c r="C228" s="35">
        <v>231.3201</v>
      </c>
      <c r="D228" s="35">
        <v>296.49119999999999</v>
      </c>
      <c r="E228" s="35">
        <v>265.78520000000003</v>
      </c>
      <c r="F228" s="35">
        <v>244.37800000000001</v>
      </c>
      <c r="G228" s="35">
        <v>214.13229999999999</v>
      </c>
      <c r="H228" s="35">
        <v>252.37329999999997</v>
      </c>
      <c r="I228" s="35">
        <v>225.2604</v>
      </c>
      <c r="J228" s="35">
        <v>192.17349999999999</v>
      </c>
      <c r="K228" s="35">
        <v>313.7183</v>
      </c>
      <c r="L228" s="35">
        <v>192.6876</v>
      </c>
      <c r="M228" s="35">
        <v>192.8826</v>
      </c>
      <c r="N228" s="35">
        <v>2896.6547</v>
      </c>
    </row>
    <row r="229" spans="1:14" x14ac:dyDescent="0.25">
      <c r="A229" s="20" t="s">
        <v>130</v>
      </c>
      <c r="B229" s="35">
        <v>27477</v>
      </c>
      <c r="C229" s="35">
        <v>26163</v>
      </c>
      <c r="D229" s="35">
        <v>27727</v>
      </c>
      <c r="E229" s="35">
        <v>27144</v>
      </c>
      <c r="F229" s="35">
        <v>27540</v>
      </c>
      <c r="G229" s="35">
        <v>27031</v>
      </c>
      <c r="H229" s="35">
        <v>29172</v>
      </c>
      <c r="I229" s="35">
        <v>29548</v>
      </c>
      <c r="J229" s="35">
        <v>25520</v>
      </c>
      <c r="K229" s="35">
        <v>27415</v>
      </c>
      <c r="L229" s="35">
        <v>26573</v>
      </c>
      <c r="M229" s="35">
        <v>24537</v>
      </c>
      <c r="N229" s="35">
        <v>325847</v>
      </c>
    </row>
    <row r="230" spans="1:14" x14ac:dyDescent="0.25">
      <c r="A230" s="20" t="s">
        <v>131</v>
      </c>
      <c r="B230" s="35">
        <v>10.024828037995414</v>
      </c>
      <c r="C230" s="35">
        <v>8.8414975346863898</v>
      </c>
      <c r="D230" s="35">
        <v>10.693230425217298</v>
      </c>
      <c r="E230" s="35">
        <v>9.7916740347774827</v>
      </c>
      <c r="F230" s="35">
        <v>8.8735657225853313</v>
      </c>
      <c r="G230" s="35">
        <v>7.9217306056009766</v>
      </c>
      <c r="H230" s="35">
        <v>8.6512169203345657</v>
      </c>
      <c r="I230" s="35">
        <v>7.6235413564369834</v>
      </c>
      <c r="J230" s="35">
        <v>7.5303095611285267</v>
      </c>
      <c r="K230" s="35">
        <v>11.443308407805945</v>
      </c>
      <c r="L230" s="35">
        <v>7.2512550333044823</v>
      </c>
      <c r="M230" s="35">
        <v>7.8608876390756821</v>
      </c>
      <c r="N230" s="35">
        <v>8.8896159854164694</v>
      </c>
    </row>
    <row r="233" spans="1:14" x14ac:dyDescent="0.25">
      <c r="B233" s="76" t="s">
        <v>136</v>
      </c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</row>
    <row r="234" spans="1:14" x14ac:dyDescent="0.25">
      <c r="B234" s="38">
        <v>1</v>
      </c>
      <c r="C234" s="38">
        <v>2</v>
      </c>
      <c r="D234" s="38">
        <v>3</v>
      </c>
      <c r="E234" s="38">
        <v>4</v>
      </c>
      <c r="F234" s="38">
        <v>5</v>
      </c>
      <c r="G234" s="38">
        <v>6</v>
      </c>
      <c r="H234" s="38">
        <v>7</v>
      </c>
      <c r="I234" s="38">
        <v>8</v>
      </c>
      <c r="J234" s="38">
        <v>9</v>
      </c>
      <c r="K234" s="38">
        <v>10</v>
      </c>
      <c r="L234" s="38">
        <v>11</v>
      </c>
      <c r="M234" s="38">
        <v>12</v>
      </c>
    </row>
    <row r="235" spans="1:14" x14ac:dyDescent="0.25">
      <c r="A235" s="39" t="s">
        <v>8</v>
      </c>
      <c r="B235" s="35">
        <v>76.839445910290237</v>
      </c>
      <c r="C235" s="35">
        <v>63.321102150537634</v>
      </c>
      <c r="D235" s="35">
        <v>103.86774647887323</v>
      </c>
      <c r="E235" s="35">
        <v>79.89057437407952</v>
      </c>
      <c r="F235" s="35">
        <v>63.113737075332345</v>
      </c>
      <c r="G235" s="35">
        <v>83.502496328928046</v>
      </c>
      <c r="H235" s="35">
        <v>58.117584097859321</v>
      </c>
      <c r="I235" s="35">
        <v>48.147169811320758</v>
      </c>
      <c r="J235" s="35">
        <v>65.685204991087346</v>
      </c>
      <c r="K235" s="35">
        <v>104.26282051282051</v>
      </c>
      <c r="L235" s="35">
        <v>79.666452648475115</v>
      </c>
      <c r="M235" s="35">
        <v>44.291946308724832</v>
      </c>
    </row>
    <row r="236" spans="1:14" x14ac:dyDescent="0.25">
      <c r="A236" s="39" t="s">
        <v>25</v>
      </c>
      <c r="B236" s="35">
        <v>6.1886719588071228</v>
      </c>
      <c r="C236" s="35">
        <v>6.1550090049527242</v>
      </c>
      <c r="D236" s="35">
        <v>6.8303980045548203</v>
      </c>
      <c r="E236" s="35">
        <v>6.8999774138904577</v>
      </c>
      <c r="F236" s="35">
        <v>7.0747143342007019</v>
      </c>
      <c r="G236" s="35">
        <v>5.4750303968166252</v>
      </c>
      <c r="H236" s="35">
        <v>6.2044041450777199</v>
      </c>
      <c r="I236" s="35">
        <v>6.042818540843899</v>
      </c>
      <c r="J236" s="35">
        <v>6.6796431668938174</v>
      </c>
      <c r="K236" s="35">
        <v>6.1315753029428732</v>
      </c>
      <c r="L236" s="35">
        <v>3.9541784702549578</v>
      </c>
      <c r="M236" s="35">
        <v>5.3004550050556114</v>
      </c>
    </row>
    <row r="237" spans="1:14" x14ac:dyDescent="0.25">
      <c r="A237" s="39" t="s">
        <v>29</v>
      </c>
      <c r="B237" s="35">
        <v>9.1692303270678863</v>
      </c>
      <c r="C237" s="35">
        <v>7.8335712125793764</v>
      </c>
      <c r="D237" s="35">
        <v>8.9774106540795682</v>
      </c>
      <c r="E237" s="35">
        <v>8.5428847245883031</v>
      </c>
      <c r="F237" s="35">
        <v>7.7184087882822903</v>
      </c>
      <c r="G237" s="35">
        <v>6.2263480321331564</v>
      </c>
      <c r="H237" s="35">
        <v>8.1880379478482084</v>
      </c>
      <c r="I237" s="35">
        <v>7.0759357179885942</v>
      </c>
      <c r="J237" s="35">
        <v>6.0050153955471339</v>
      </c>
      <c r="K237" s="35">
        <v>10.787167604545957</v>
      </c>
      <c r="L237" s="35">
        <v>6.2682000228859129</v>
      </c>
      <c r="M237" s="35">
        <v>7.7701291409320605</v>
      </c>
    </row>
    <row r="239" spans="1:14" x14ac:dyDescent="0.25">
      <c r="A239" s="40" t="s">
        <v>137</v>
      </c>
    </row>
    <row r="240" spans="1:14" x14ac:dyDescent="0.25">
      <c r="A240" s="40" t="s">
        <v>138</v>
      </c>
    </row>
    <row r="241" spans="1:14" x14ac:dyDescent="0.25">
      <c r="A241" t="s">
        <v>139</v>
      </c>
    </row>
    <row r="245" spans="1:14" x14ac:dyDescent="0.25">
      <c r="A245" s="11" t="s">
        <v>140</v>
      </c>
    </row>
    <row r="246" spans="1:14" x14ac:dyDescent="0.25">
      <c r="B246" s="11"/>
      <c r="C246" s="11"/>
      <c r="D246" s="11"/>
    </row>
    <row r="247" spans="1:14" x14ac:dyDescent="0.25">
      <c r="A247" s="19" t="s">
        <v>0</v>
      </c>
      <c r="B247" s="20">
        <v>2022</v>
      </c>
    </row>
    <row r="248" spans="1:14" x14ac:dyDescent="0.25">
      <c r="A248" s="19" t="s">
        <v>3</v>
      </c>
      <c r="B248" t="s">
        <v>14</v>
      </c>
    </row>
    <row r="249" spans="1:14" x14ac:dyDescent="0.25">
      <c r="A249" s="19" t="s">
        <v>4</v>
      </c>
      <c r="B249" t="s">
        <v>12</v>
      </c>
    </row>
    <row r="250" spans="1:14" x14ac:dyDescent="0.25">
      <c r="A250" s="19" t="s">
        <v>2</v>
      </c>
      <c r="B250" t="s">
        <v>8</v>
      </c>
    </row>
    <row r="252" spans="1:14" x14ac:dyDescent="0.25">
      <c r="B252" s="19" t="s">
        <v>108</v>
      </c>
    </row>
    <row r="253" spans="1:14" x14ac:dyDescent="0.25">
      <c r="A253" s="19" t="s">
        <v>141</v>
      </c>
      <c r="B253">
        <v>1</v>
      </c>
      <c r="C253">
        <v>2</v>
      </c>
      <c r="D253">
        <v>3</v>
      </c>
      <c r="E253">
        <v>4</v>
      </c>
      <c r="F253">
        <v>5</v>
      </c>
      <c r="G253">
        <v>6</v>
      </c>
      <c r="H253">
        <v>7</v>
      </c>
      <c r="I253">
        <v>8</v>
      </c>
      <c r="J253">
        <v>9</v>
      </c>
      <c r="K253">
        <v>10</v>
      </c>
      <c r="L253">
        <v>11</v>
      </c>
      <c r="M253">
        <v>12</v>
      </c>
      <c r="N253" t="s">
        <v>86</v>
      </c>
    </row>
    <row r="254" spans="1:14" x14ac:dyDescent="0.25">
      <c r="A254" s="20" t="s">
        <v>84</v>
      </c>
      <c r="B254" s="35">
        <v>7611.5632079999996</v>
      </c>
      <c r="C254" s="35">
        <v>5962.643043</v>
      </c>
      <c r="D254" s="35">
        <v>9020.8903109999992</v>
      </c>
      <c r="E254" s="35">
        <v>6304.3134330000003</v>
      </c>
      <c r="F254" s="35">
        <v>6829.4346759999999</v>
      </c>
      <c r="G254" s="35">
        <v>5610.0487949999997</v>
      </c>
      <c r="H254" s="35">
        <v>7236.9815360000002</v>
      </c>
      <c r="I254" s="35">
        <v>5767.1397370000004</v>
      </c>
      <c r="J254" s="35">
        <v>7477.9733239999996</v>
      </c>
      <c r="K254" s="35">
        <v>6797.6770530000003</v>
      </c>
      <c r="L254" s="35">
        <v>9408.4418470000001</v>
      </c>
      <c r="M254" s="35">
        <v>7988.0453440000001</v>
      </c>
      <c r="N254" s="35">
        <v>86015.152306999997</v>
      </c>
    </row>
    <row r="255" spans="1:14" x14ac:dyDescent="0.25">
      <c r="A255" s="20" t="s">
        <v>88</v>
      </c>
      <c r="B255" s="35">
        <v>44.928699999999999</v>
      </c>
      <c r="C255" s="35">
        <v>35.849800000000002</v>
      </c>
      <c r="D255" s="35">
        <v>45.207000000000001</v>
      </c>
      <c r="E255" s="35">
        <v>29.136299999999999</v>
      </c>
      <c r="F255" s="35">
        <v>34.181800000000003</v>
      </c>
      <c r="G255" s="35">
        <v>27.228400000000001</v>
      </c>
      <c r="H255" s="35">
        <v>40.531799999999997</v>
      </c>
      <c r="I255" s="35">
        <v>28.076799999999999</v>
      </c>
      <c r="J255" s="35">
        <v>38.967300000000002</v>
      </c>
      <c r="K255" s="35">
        <v>33.0304</v>
      </c>
      <c r="L255" s="35">
        <v>52.838799999999999</v>
      </c>
      <c r="M255" s="35">
        <v>41.707599999999999</v>
      </c>
      <c r="N255" s="35">
        <v>451.68470000000002</v>
      </c>
    </row>
    <row r="256" spans="1:14" x14ac:dyDescent="0.25">
      <c r="A256" s="20" t="s">
        <v>91</v>
      </c>
      <c r="B256" s="35">
        <v>169.41427657599706</v>
      </c>
      <c r="C256" s="35">
        <v>166.32290955598077</v>
      </c>
      <c r="D256" s="35">
        <v>199.54631607936821</v>
      </c>
      <c r="E256" s="35">
        <v>216.37316450613156</v>
      </c>
      <c r="F256" s="35">
        <v>199.79739732840281</v>
      </c>
      <c r="G256" s="35">
        <v>206.03666741343596</v>
      </c>
      <c r="H256" s="35">
        <v>178.55070675370945</v>
      </c>
      <c r="I256" s="35">
        <v>205.40587734357194</v>
      </c>
      <c r="J256" s="35">
        <v>191.90380970711337</v>
      </c>
      <c r="K256" s="35">
        <v>205.8006276944875</v>
      </c>
      <c r="L256" s="35">
        <v>178.0593398601028</v>
      </c>
      <c r="M256" s="35">
        <v>191.52493416068054</v>
      </c>
      <c r="N256" s="35">
        <v>190.43184838228967</v>
      </c>
    </row>
    <row r="259" spans="1:14" x14ac:dyDescent="0.25">
      <c r="B259" s="78" t="s">
        <v>142</v>
      </c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</row>
    <row r="260" spans="1:14" x14ac:dyDescent="0.25">
      <c r="B260" s="30">
        <v>1</v>
      </c>
      <c r="C260" s="30">
        <v>2</v>
      </c>
      <c r="D260" s="30">
        <v>3</v>
      </c>
      <c r="E260" s="30">
        <v>4</v>
      </c>
      <c r="F260" s="30">
        <v>5</v>
      </c>
      <c r="G260" s="30">
        <v>6</v>
      </c>
      <c r="H260" s="30">
        <v>7</v>
      </c>
      <c r="I260" s="30">
        <v>8</v>
      </c>
      <c r="J260" s="30">
        <v>9</v>
      </c>
      <c r="K260" s="30">
        <v>10</v>
      </c>
      <c r="L260" s="30">
        <v>11</v>
      </c>
      <c r="M260" s="30">
        <v>12</v>
      </c>
      <c r="N260" s="35"/>
    </row>
    <row r="261" spans="1:14" x14ac:dyDescent="0.25">
      <c r="A261" s="41" t="s">
        <v>8</v>
      </c>
      <c r="B261" s="35">
        <v>169.41427657599706</v>
      </c>
      <c r="C261" s="35">
        <v>166.32290955598077</v>
      </c>
      <c r="D261" s="35">
        <v>199.54631607936821</v>
      </c>
      <c r="E261" s="35">
        <v>216.37316450613156</v>
      </c>
      <c r="F261" s="35">
        <v>199.79739732840281</v>
      </c>
      <c r="G261" s="35">
        <v>206.03666741343596</v>
      </c>
      <c r="H261" s="35">
        <v>178.55070675370945</v>
      </c>
      <c r="I261" s="35">
        <v>205.40587734357194</v>
      </c>
      <c r="J261" s="35">
        <v>191.90380970711337</v>
      </c>
      <c r="K261" s="35">
        <v>205.8006276944875</v>
      </c>
      <c r="L261" s="35">
        <v>178.0593398601028</v>
      </c>
      <c r="M261" s="35">
        <v>191.52493416068054</v>
      </c>
    </row>
    <row r="264" spans="1:14" x14ac:dyDescent="0.25">
      <c r="A264" t="s">
        <v>143</v>
      </c>
    </row>
    <row r="268" spans="1:14" x14ac:dyDescent="0.25">
      <c r="A268" s="19" t="s">
        <v>0</v>
      </c>
      <c r="B268" s="20">
        <v>2022</v>
      </c>
    </row>
    <row r="269" spans="1:14" x14ac:dyDescent="0.25">
      <c r="A269" s="19" t="s">
        <v>3</v>
      </c>
      <c r="B269" t="s">
        <v>9</v>
      </c>
    </row>
    <row r="270" spans="1:14" x14ac:dyDescent="0.25">
      <c r="A270" s="19" t="s">
        <v>4</v>
      </c>
      <c r="B270" t="s">
        <v>11</v>
      </c>
    </row>
    <row r="271" spans="1:14" x14ac:dyDescent="0.25">
      <c r="A271" s="19" t="s">
        <v>2</v>
      </c>
      <c r="B271" t="s">
        <v>8</v>
      </c>
    </row>
    <row r="273" spans="1:14" x14ac:dyDescent="0.25">
      <c r="B273" s="19" t="s">
        <v>108</v>
      </c>
    </row>
    <row r="274" spans="1:14" x14ac:dyDescent="0.25">
      <c r="A274" s="19" t="s">
        <v>141</v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  <c r="H274">
        <v>7</v>
      </c>
      <c r="I274">
        <v>8</v>
      </c>
      <c r="J274">
        <v>9</v>
      </c>
      <c r="K274">
        <v>10</v>
      </c>
      <c r="L274">
        <v>11</v>
      </c>
      <c r="M274">
        <v>12</v>
      </c>
      <c r="N274" t="s">
        <v>86</v>
      </c>
    </row>
    <row r="275" spans="1:14" x14ac:dyDescent="0.25">
      <c r="A275" s="20" t="s">
        <v>84</v>
      </c>
      <c r="B275" s="35">
        <v>5622.5804420000004</v>
      </c>
      <c r="C275" s="35">
        <v>4702.004113</v>
      </c>
      <c r="D275" s="35">
        <v>7356.7611919999999</v>
      </c>
      <c r="E275" s="35">
        <v>5684.181431</v>
      </c>
      <c r="F275" s="35">
        <v>4568.3092669999996</v>
      </c>
      <c r="G275" s="35">
        <v>5681.495903</v>
      </c>
      <c r="H275" s="35">
        <v>4003.4489410000001</v>
      </c>
      <c r="I275" s="35">
        <v>3368.8655979999999</v>
      </c>
      <c r="J275" s="35">
        <v>3683.3465890000002</v>
      </c>
      <c r="K275" s="35">
        <v>5995.7105419999998</v>
      </c>
      <c r="L275" s="35">
        <v>4540.5662780000002</v>
      </c>
      <c r="M275" s="35">
        <v>3098.2747159999999</v>
      </c>
      <c r="N275" s="35">
        <v>58305.545012000002</v>
      </c>
    </row>
    <row r="276" spans="1:14" x14ac:dyDescent="0.25">
      <c r="A276" s="20" t="s">
        <v>88</v>
      </c>
      <c r="B276" s="35">
        <v>58.244300000000003</v>
      </c>
      <c r="C276" s="35">
        <v>47.110900000000001</v>
      </c>
      <c r="D276" s="35">
        <v>73.746099999999998</v>
      </c>
      <c r="E276" s="35">
        <v>54.245699999999999</v>
      </c>
      <c r="F276" s="35">
        <v>42.728000000000002</v>
      </c>
      <c r="G276" s="35">
        <v>56.865200000000002</v>
      </c>
      <c r="H276" s="35">
        <v>38.008899999999997</v>
      </c>
      <c r="I276" s="35">
        <v>30.621600000000001</v>
      </c>
      <c r="J276" s="35">
        <v>36.849400000000003</v>
      </c>
      <c r="K276" s="35">
        <v>65.06</v>
      </c>
      <c r="L276" s="35">
        <v>49.632199999999997</v>
      </c>
      <c r="M276" s="35">
        <v>26.398</v>
      </c>
      <c r="N276" s="35">
        <v>579.51030000000003</v>
      </c>
    </row>
    <row r="277" spans="1:14" x14ac:dyDescent="0.25">
      <c r="A277" s="20" t="s">
        <v>91</v>
      </c>
      <c r="B277" s="35">
        <v>96.534432416562652</v>
      </c>
      <c r="C277" s="35">
        <v>99.807138326799105</v>
      </c>
      <c r="D277" s="35">
        <v>99.757969465503933</v>
      </c>
      <c r="E277" s="35">
        <v>104.78584350464645</v>
      </c>
      <c r="F277" s="35">
        <v>106.91605661392997</v>
      </c>
      <c r="G277" s="35">
        <v>99.911649005015363</v>
      </c>
      <c r="H277" s="35">
        <v>105.32925028085529</v>
      </c>
      <c r="I277" s="35">
        <v>110.01598864853567</v>
      </c>
      <c r="J277" s="35">
        <v>99.956758834607882</v>
      </c>
      <c r="K277" s="35">
        <v>92.156632984936977</v>
      </c>
      <c r="L277" s="35">
        <v>91.484283952756485</v>
      </c>
      <c r="M277" s="35">
        <v>117.36778225623154</v>
      </c>
      <c r="N277" s="35">
        <v>100.61174928556058</v>
      </c>
    </row>
    <row r="280" spans="1:14" x14ac:dyDescent="0.25">
      <c r="B280" s="78" t="s">
        <v>144</v>
      </c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</row>
    <row r="281" spans="1:14" x14ac:dyDescent="0.25">
      <c r="B281" s="30">
        <v>1</v>
      </c>
      <c r="C281" s="30">
        <v>2</v>
      </c>
      <c r="D281" s="30">
        <v>3</v>
      </c>
      <c r="E281" s="30">
        <v>4</v>
      </c>
      <c r="F281" s="30">
        <v>5</v>
      </c>
      <c r="G281" s="30">
        <v>6</v>
      </c>
      <c r="H281" s="30">
        <v>7</v>
      </c>
      <c r="I281" s="30">
        <v>8</v>
      </c>
      <c r="J281" s="30">
        <v>9</v>
      </c>
      <c r="K281" s="30">
        <v>10</v>
      </c>
      <c r="L281" s="30">
        <v>11</v>
      </c>
      <c r="M281" s="30">
        <v>12</v>
      </c>
    </row>
    <row r="282" spans="1:14" x14ac:dyDescent="0.25">
      <c r="A282" s="41" t="s">
        <v>8</v>
      </c>
      <c r="B282" s="29">
        <v>96.534432416562652</v>
      </c>
      <c r="C282" s="29">
        <v>99.807138326799105</v>
      </c>
      <c r="D282" s="29">
        <v>99.757969465503933</v>
      </c>
      <c r="E282" s="29">
        <v>104.78584350464645</v>
      </c>
      <c r="F282" s="29">
        <v>106.91605661392997</v>
      </c>
      <c r="G282" s="29">
        <v>99.911649005015363</v>
      </c>
      <c r="H282" s="29">
        <v>105.32925028085529</v>
      </c>
      <c r="I282" s="29">
        <v>110.01598864853567</v>
      </c>
      <c r="J282" s="29">
        <v>99.956758834607882</v>
      </c>
      <c r="K282" s="29">
        <v>92.156632984936977</v>
      </c>
      <c r="L282" s="29">
        <v>91.484283952756485</v>
      </c>
      <c r="M282" s="29">
        <v>117.36778225623154</v>
      </c>
    </row>
    <row r="284" spans="1:14" x14ac:dyDescent="0.25">
      <c r="A284" t="s">
        <v>145</v>
      </c>
    </row>
  </sheetData>
  <mergeCells count="12">
    <mergeCell ref="A35:B35"/>
    <mergeCell ref="D35:E35"/>
    <mergeCell ref="G35:H35"/>
    <mergeCell ref="A70:B70"/>
    <mergeCell ref="B127:F127"/>
    <mergeCell ref="B197:M197"/>
    <mergeCell ref="B233:M233"/>
    <mergeCell ref="B259:M259"/>
    <mergeCell ref="B280:M280"/>
    <mergeCell ref="B160:C160"/>
    <mergeCell ref="D160:E160"/>
    <mergeCell ref="F160:G160"/>
  </mergeCells>
  <conditionalFormatting sqref="A110">
    <cfRule type="top10" dxfId="8" priority="5" rank="5"/>
  </conditionalFormatting>
  <conditionalFormatting sqref="A110:U110">
    <cfRule type="top10" dxfId="7" priority="4" rank="5"/>
  </conditionalFormatting>
  <conditionalFormatting pivot="1" sqref="B7:B23">
    <cfRule type="top10" dxfId="6" priority="3" rank="5"/>
  </conditionalFormatting>
  <conditionalFormatting pivot="1" sqref="C7:C29">
    <cfRule type="top10" dxfId="5" priority="2" rank="5"/>
  </conditionalFormatting>
  <conditionalFormatting pivot="1" sqref="D7:D31">
    <cfRule type="top10" dxfId="0" priority="1" rank="5"/>
  </conditionalFormatting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5084-0B08-423A-ACE0-37FEF470B472}">
  <dimension ref="A1:N327"/>
  <sheetViews>
    <sheetView topLeftCell="A298" workbookViewId="0">
      <selection activeCell="A258" sqref="A258"/>
    </sheetView>
  </sheetViews>
  <sheetFormatPr defaultRowHeight="15" x14ac:dyDescent="0.25"/>
  <cols>
    <col min="1" max="1" width="33.140625" bestFit="1" customWidth="1"/>
    <col min="2" max="2" width="20.85546875" bestFit="1" customWidth="1"/>
    <col min="3" max="3" width="13.140625" bestFit="1" customWidth="1"/>
    <col min="4" max="4" width="15.42578125" customWidth="1"/>
    <col min="5" max="5" width="15.28515625" customWidth="1"/>
    <col min="6" max="7" width="13.140625" bestFit="1" customWidth="1"/>
    <col min="8" max="8" width="9.5703125" bestFit="1" customWidth="1"/>
    <col min="9" max="9" width="13.140625" bestFit="1" customWidth="1"/>
    <col min="10" max="10" width="14.140625" bestFit="1" customWidth="1"/>
    <col min="11" max="11" width="13.140625" bestFit="1" customWidth="1"/>
    <col min="12" max="13" width="11" bestFit="1" customWidth="1"/>
    <col min="14" max="14" width="13.140625" bestFit="1" customWidth="1"/>
    <col min="15" max="15" width="12" bestFit="1" customWidth="1"/>
    <col min="16" max="16" width="11" bestFit="1" customWidth="1"/>
    <col min="17" max="17" width="17" bestFit="1" customWidth="1"/>
    <col min="18" max="18" width="15.28515625" bestFit="1" customWidth="1"/>
    <col min="19" max="19" width="13.140625" bestFit="1" customWidth="1"/>
    <col min="20" max="21" width="11" bestFit="1" customWidth="1"/>
    <col min="22" max="23" width="13.140625" bestFit="1" customWidth="1"/>
    <col min="24" max="24" width="9.5703125" bestFit="1" customWidth="1"/>
    <col min="25" max="25" width="18.140625" bestFit="1" customWidth="1"/>
    <col min="26" max="26" width="14.5703125" bestFit="1" customWidth="1"/>
    <col min="27" max="34" width="12" bestFit="1" customWidth="1"/>
    <col min="35" max="35" width="11" bestFit="1" customWidth="1"/>
    <col min="36" max="45" width="12" bestFit="1" customWidth="1"/>
    <col min="46" max="46" width="11" bestFit="1" customWidth="1"/>
    <col min="47" max="49" width="12" bestFit="1" customWidth="1"/>
    <col min="50" max="50" width="14.5703125" bestFit="1" customWidth="1"/>
    <col min="51" max="52" width="12" bestFit="1" customWidth="1"/>
    <col min="53" max="54" width="11" bestFit="1" customWidth="1"/>
    <col min="55" max="55" width="10" bestFit="1" customWidth="1"/>
    <col min="56" max="56" width="10.42578125" bestFit="1" customWidth="1"/>
    <col min="57" max="57" width="12" bestFit="1" customWidth="1"/>
    <col min="58" max="58" width="14.5703125" bestFit="1" customWidth="1"/>
    <col min="59" max="59" width="12" bestFit="1" customWidth="1"/>
    <col min="60" max="60" width="13.5703125" bestFit="1" customWidth="1"/>
    <col min="61" max="62" width="10" bestFit="1" customWidth="1"/>
    <col min="63" max="63" width="11.7109375" bestFit="1" customWidth="1"/>
    <col min="64" max="64" width="12" bestFit="1" customWidth="1"/>
    <col min="65" max="65" width="14.5703125" bestFit="1" customWidth="1"/>
    <col min="66" max="67" width="11" bestFit="1" customWidth="1"/>
    <col min="68" max="69" width="12" bestFit="1" customWidth="1"/>
    <col min="70" max="70" width="11" bestFit="1" customWidth="1"/>
    <col min="72" max="73" width="12" bestFit="1" customWidth="1"/>
    <col min="74" max="75" width="11" bestFit="1" customWidth="1"/>
    <col min="76" max="77" width="12" bestFit="1" customWidth="1"/>
    <col min="78" max="78" width="11" bestFit="1" customWidth="1"/>
    <col min="80" max="80" width="11" bestFit="1" customWidth="1"/>
    <col min="81" max="81" width="10" bestFit="1" customWidth="1"/>
    <col min="82" max="82" width="12.42578125" bestFit="1" customWidth="1"/>
    <col min="83" max="86" width="12" bestFit="1" customWidth="1"/>
    <col min="87" max="88" width="11" bestFit="1" customWidth="1"/>
    <col min="89" max="91" width="12" bestFit="1" customWidth="1"/>
    <col min="92" max="92" width="10" bestFit="1" customWidth="1"/>
    <col min="93" max="93" width="12.140625" bestFit="1" customWidth="1"/>
    <col min="94" max="95" width="11" bestFit="1" customWidth="1"/>
    <col min="96" max="97" width="12" bestFit="1" customWidth="1"/>
    <col min="99" max="99" width="9.28515625" bestFit="1" customWidth="1"/>
    <col min="100" max="100" width="10.140625" bestFit="1" customWidth="1"/>
    <col min="102" max="102" width="12.85546875" bestFit="1" customWidth="1"/>
    <col min="103" max="111" width="12" bestFit="1" customWidth="1"/>
  </cols>
  <sheetData>
    <row r="1" spans="1:5" ht="36.75" customHeight="1" x14ac:dyDescent="0.25">
      <c r="A1" s="82" t="s">
        <v>146</v>
      </c>
      <c r="B1" s="82"/>
      <c r="C1" s="82"/>
      <c r="D1" s="82"/>
      <c r="E1" s="82"/>
    </row>
    <row r="2" spans="1:5" ht="21" customHeight="1" x14ac:dyDescent="0.25">
      <c r="A2" s="54" t="s">
        <v>159</v>
      </c>
      <c r="B2" s="53"/>
      <c r="C2" s="53"/>
      <c r="D2" s="53"/>
      <c r="E2" s="53"/>
    </row>
    <row r="3" spans="1:5" s="56" customFormat="1" ht="15" customHeight="1" x14ac:dyDescent="0.25">
      <c r="A3" s="57" t="s">
        <v>160</v>
      </c>
      <c r="B3" s="57"/>
      <c r="C3" s="57"/>
      <c r="D3" s="55"/>
      <c r="E3" s="55"/>
    </row>
    <row r="4" spans="1:5" x14ac:dyDescent="0.25">
      <c r="A4" s="19" t="s">
        <v>84</v>
      </c>
      <c r="B4" s="19" t="s">
        <v>108</v>
      </c>
    </row>
    <row r="5" spans="1:5" x14ac:dyDescent="0.25">
      <c r="A5" s="19" t="s">
        <v>85</v>
      </c>
      <c r="B5" t="s">
        <v>8</v>
      </c>
      <c r="C5" t="s">
        <v>25</v>
      </c>
      <c r="D5" t="s">
        <v>29</v>
      </c>
      <c r="E5" t="s">
        <v>86</v>
      </c>
    </row>
    <row r="6" spans="1:5" x14ac:dyDescent="0.25">
      <c r="A6" s="20" t="s">
        <v>39</v>
      </c>
      <c r="B6" s="42">
        <v>0</v>
      </c>
      <c r="C6" s="42">
        <v>0</v>
      </c>
      <c r="D6" s="42">
        <v>1</v>
      </c>
      <c r="E6" s="42">
        <v>1</v>
      </c>
    </row>
    <row r="7" spans="1:5" x14ac:dyDescent="0.25">
      <c r="A7" s="20" t="s">
        <v>15</v>
      </c>
      <c r="B7" s="43">
        <v>0.29762933530188801</v>
      </c>
      <c r="C7" s="43">
        <v>0.23912803919750486</v>
      </c>
      <c r="D7" s="43">
        <v>0.46324262550060719</v>
      </c>
      <c r="E7" s="42">
        <v>1</v>
      </c>
    </row>
    <row r="8" spans="1:5" x14ac:dyDescent="0.25">
      <c r="A8" s="20" t="s">
        <v>14</v>
      </c>
      <c r="B8" s="43">
        <v>0.37816630976761806</v>
      </c>
      <c r="C8" s="43">
        <v>0.12336974288522108</v>
      </c>
      <c r="D8" s="43">
        <v>0.49846394734716093</v>
      </c>
      <c r="E8" s="42">
        <v>1</v>
      </c>
    </row>
    <row r="9" spans="1:5" x14ac:dyDescent="0.25">
      <c r="A9" s="20" t="s">
        <v>51</v>
      </c>
      <c r="B9" s="42">
        <v>0.51158259038875553</v>
      </c>
      <c r="C9" s="42">
        <v>0.48841740961124452</v>
      </c>
      <c r="D9" s="42">
        <v>0</v>
      </c>
      <c r="E9" s="42">
        <v>1</v>
      </c>
    </row>
    <row r="10" spans="1:5" x14ac:dyDescent="0.25">
      <c r="A10" s="20" t="s">
        <v>23</v>
      </c>
      <c r="B10" s="42">
        <v>1</v>
      </c>
      <c r="C10" s="42">
        <v>0</v>
      </c>
      <c r="D10" s="42">
        <v>0</v>
      </c>
      <c r="E10" s="42">
        <v>1</v>
      </c>
    </row>
    <row r="11" spans="1:5" x14ac:dyDescent="0.25">
      <c r="A11" s="20" t="s">
        <v>42</v>
      </c>
      <c r="B11" s="42">
        <v>1</v>
      </c>
      <c r="C11" s="42">
        <v>0</v>
      </c>
      <c r="D11" s="42">
        <v>0</v>
      </c>
      <c r="E11" s="42">
        <v>1</v>
      </c>
    </row>
    <row r="12" spans="1:5" x14ac:dyDescent="0.25">
      <c r="A12" s="20" t="s">
        <v>41</v>
      </c>
      <c r="B12" s="42">
        <v>0</v>
      </c>
      <c r="C12" s="42">
        <v>0</v>
      </c>
      <c r="D12" s="42">
        <v>1</v>
      </c>
      <c r="E12" s="42">
        <v>1</v>
      </c>
    </row>
    <row r="13" spans="1:5" x14ac:dyDescent="0.25">
      <c r="A13" s="20" t="s">
        <v>52</v>
      </c>
      <c r="B13" s="42">
        <v>0</v>
      </c>
      <c r="C13" s="42">
        <v>1</v>
      </c>
      <c r="D13" s="42">
        <v>0</v>
      </c>
      <c r="E13" s="42">
        <v>1</v>
      </c>
    </row>
    <row r="14" spans="1:5" x14ac:dyDescent="0.25">
      <c r="A14" s="20" t="s">
        <v>30</v>
      </c>
      <c r="B14" s="42">
        <v>3.3176753532823343E-3</v>
      </c>
      <c r="C14" s="42">
        <v>0</v>
      </c>
      <c r="D14" s="42">
        <v>0.99668232464671758</v>
      </c>
      <c r="E14" s="42">
        <v>1</v>
      </c>
    </row>
    <row r="15" spans="1:5" x14ac:dyDescent="0.25">
      <c r="A15" s="20" t="s">
        <v>57</v>
      </c>
      <c r="B15" s="42">
        <v>0</v>
      </c>
      <c r="C15" s="42">
        <v>0.29676962680492036</v>
      </c>
      <c r="D15" s="42">
        <v>0.70323037319507964</v>
      </c>
      <c r="E15" s="42">
        <v>1</v>
      </c>
    </row>
    <row r="16" spans="1:5" x14ac:dyDescent="0.25">
      <c r="A16" s="20" t="s">
        <v>33</v>
      </c>
      <c r="B16" s="42">
        <v>0</v>
      </c>
      <c r="C16" s="42">
        <v>0</v>
      </c>
      <c r="D16" s="42">
        <v>1</v>
      </c>
      <c r="E16" s="42">
        <v>1</v>
      </c>
    </row>
    <row r="17" spans="1:5" x14ac:dyDescent="0.25">
      <c r="A17" s="20" t="s">
        <v>56</v>
      </c>
      <c r="B17" s="42">
        <v>0</v>
      </c>
      <c r="C17" s="42">
        <v>0</v>
      </c>
      <c r="D17" s="42">
        <v>1</v>
      </c>
      <c r="E17" s="42">
        <v>1</v>
      </c>
    </row>
    <row r="18" spans="1:5" x14ac:dyDescent="0.25">
      <c r="A18" s="20" t="s">
        <v>26</v>
      </c>
      <c r="B18" s="42">
        <v>2.9169437003065894E-2</v>
      </c>
      <c r="C18" s="42">
        <v>0.45524555234602176</v>
      </c>
      <c r="D18" s="42">
        <v>0.51558501065091233</v>
      </c>
      <c r="E18" s="42">
        <v>1</v>
      </c>
    </row>
    <row r="19" spans="1:5" x14ac:dyDescent="0.25">
      <c r="A19" s="20" t="s">
        <v>9</v>
      </c>
      <c r="B19" s="43">
        <v>0.25716408301835547</v>
      </c>
      <c r="C19" s="43">
        <v>0.23981129254799419</v>
      </c>
      <c r="D19" s="43">
        <v>0.50302462443365037</v>
      </c>
      <c r="E19" s="42">
        <v>1</v>
      </c>
    </row>
    <row r="20" spans="1:5" x14ac:dyDescent="0.25">
      <c r="A20" s="20" t="s">
        <v>27</v>
      </c>
      <c r="B20" s="42">
        <v>0</v>
      </c>
      <c r="C20" s="42">
        <v>1</v>
      </c>
      <c r="D20" s="42">
        <v>0</v>
      </c>
      <c r="E20" s="42">
        <v>1</v>
      </c>
    </row>
    <row r="21" spans="1:5" x14ac:dyDescent="0.25">
      <c r="A21" s="20" t="s">
        <v>60</v>
      </c>
      <c r="B21" s="42">
        <v>0</v>
      </c>
      <c r="C21" s="42">
        <v>1</v>
      </c>
      <c r="D21" s="42">
        <v>0</v>
      </c>
      <c r="E21" s="42">
        <v>1</v>
      </c>
    </row>
    <row r="22" spans="1:5" x14ac:dyDescent="0.25">
      <c r="A22" s="20" t="s">
        <v>40</v>
      </c>
      <c r="B22" s="42">
        <v>0</v>
      </c>
      <c r="C22" s="42">
        <v>1</v>
      </c>
      <c r="D22" s="42">
        <v>0</v>
      </c>
      <c r="E22" s="42">
        <v>1</v>
      </c>
    </row>
    <row r="23" spans="1:5" x14ac:dyDescent="0.25">
      <c r="A23" s="20" t="s">
        <v>34</v>
      </c>
      <c r="B23" s="42">
        <v>1</v>
      </c>
      <c r="C23" s="42">
        <v>0</v>
      </c>
      <c r="D23" s="42">
        <v>0</v>
      </c>
      <c r="E23" s="42">
        <v>1</v>
      </c>
    </row>
    <row r="24" spans="1:5" x14ac:dyDescent="0.25">
      <c r="A24" s="20" t="s">
        <v>50</v>
      </c>
      <c r="B24" s="42">
        <v>0</v>
      </c>
      <c r="C24" s="42">
        <v>0.17305356014773293</v>
      </c>
      <c r="D24" s="42">
        <v>0.82694643985226712</v>
      </c>
      <c r="E24" s="42">
        <v>1</v>
      </c>
    </row>
    <row r="25" spans="1:5" x14ac:dyDescent="0.25">
      <c r="A25" s="20" t="s">
        <v>48</v>
      </c>
      <c r="B25" s="43">
        <v>0.45748127667001415</v>
      </c>
      <c r="C25" s="43">
        <v>0.37106444947540662</v>
      </c>
      <c r="D25" s="43">
        <v>0.17145427385457929</v>
      </c>
      <c r="E25" s="42">
        <v>1</v>
      </c>
    </row>
    <row r="26" spans="1:5" x14ac:dyDescent="0.25">
      <c r="A26" s="20" t="s">
        <v>37</v>
      </c>
      <c r="B26" s="43">
        <v>0.11673568558405946</v>
      </c>
      <c r="C26" s="43">
        <v>0.38390929322576534</v>
      </c>
      <c r="D26" s="43">
        <v>0.49935502119017516</v>
      </c>
      <c r="E26" s="42">
        <v>1</v>
      </c>
    </row>
    <row r="27" spans="1:5" x14ac:dyDescent="0.25">
      <c r="A27" s="20" t="s">
        <v>55</v>
      </c>
      <c r="B27" s="42">
        <v>0</v>
      </c>
      <c r="C27" s="42">
        <v>1</v>
      </c>
      <c r="D27" s="42">
        <v>0</v>
      </c>
      <c r="E27" s="42">
        <v>1</v>
      </c>
    </row>
    <row r="28" spans="1:5" x14ac:dyDescent="0.25">
      <c r="A28" s="20" t="s">
        <v>31</v>
      </c>
      <c r="B28" s="42">
        <v>0</v>
      </c>
      <c r="C28" s="42">
        <v>3.7882106256125439E-2</v>
      </c>
      <c r="D28" s="42">
        <v>0.96211789374387457</v>
      </c>
      <c r="E28" s="42">
        <v>1</v>
      </c>
    </row>
    <row r="29" spans="1:5" x14ac:dyDescent="0.25">
      <c r="A29" s="20" t="s">
        <v>20</v>
      </c>
      <c r="B29" s="43">
        <v>0.40553478434570817</v>
      </c>
      <c r="C29" s="43">
        <v>0.13354152038528336</v>
      </c>
      <c r="D29" s="43">
        <v>0.4609236952690085</v>
      </c>
      <c r="E29" s="42">
        <v>1</v>
      </c>
    </row>
    <row r="30" spans="1:5" x14ac:dyDescent="0.25">
      <c r="A30" s="20" t="s">
        <v>32</v>
      </c>
      <c r="B30" s="42">
        <v>0</v>
      </c>
      <c r="C30" s="42">
        <v>0.13523247277375045</v>
      </c>
      <c r="D30" s="42">
        <v>0.86476752722624961</v>
      </c>
      <c r="E30" s="42">
        <v>1</v>
      </c>
    </row>
    <row r="31" spans="1:5" x14ac:dyDescent="0.25">
      <c r="A31" s="20" t="s">
        <v>54</v>
      </c>
      <c r="B31" s="42">
        <v>0</v>
      </c>
      <c r="C31" s="42">
        <v>1</v>
      </c>
      <c r="D31" s="42">
        <v>0</v>
      </c>
      <c r="E31" s="42">
        <v>1</v>
      </c>
    </row>
    <row r="32" spans="1:5" x14ac:dyDescent="0.25">
      <c r="A32" s="20" t="s">
        <v>47</v>
      </c>
      <c r="B32" s="43">
        <v>6.1206530260160825E-2</v>
      </c>
      <c r="C32" s="43">
        <v>0.12161245432688055</v>
      </c>
      <c r="D32" s="43">
        <v>0.81718101541295862</v>
      </c>
      <c r="E32" s="42">
        <v>1</v>
      </c>
    </row>
    <row r="33" spans="1:5" x14ac:dyDescent="0.25">
      <c r="A33" s="20" t="s">
        <v>24</v>
      </c>
      <c r="B33" s="42">
        <v>1</v>
      </c>
      <c r="C33" s="42">
        <v>0</v>
      </c>
      <c r="D33" s="42">
        <v>0</v>
      </c>
      <c r="E33" s="42">
        <v>1</v>
      </c>
    </row>
    <row r="34" spans="1:5" x14ac:dyDescent="0.25">
      <c r="A34" s="20" t="s">
        <v>53</v>
      </c>
      <c r="B34" s="42">
        <v>1</v>
      </c>
      <c r="C34" s="42">
        <v>0</v>
      </c>
      <c r="D34" s="42">
        <v>0</v>
      </c>
      <c r="E34" s="42">
        <v>1</v>
      </c>
    </row>
    <row r="35" spans="1:5" x14ac:dyDescent="0.25">
      <c r="A35" s="20" t="s">
        <v>22</v>
      </c>
      <c r="B35" s="42">
        <v>0.95455346891244419</v>
      </c>
      <c r="C35" s="42">
        <v>4.5446531087555773E-2</v>
      </c>
      <c r="D35" s="42">
        <v>0</v>
      </c>
      <c r="E35" s="42">
        <v>1</v>
      </c>
    </row>
    <row r="36" spans="1:5" x14ac:dyDescent="0.25">
      <c r="A36" s="20" t="s">
        <v>19</v>
      </c>
      <c r="B36" s="43">
        <v>0.23841180532064035</v>
      </c>
      <c r="C36" s="43">
        <v>0.16805632919437039</v>
      </c>
      <c r="D36" s="43">
        <v>0.59353186548498915</v>
      </c>
      <c r="E36" s="42">
        <v>1</v>
      </c>
    </row>
    <row r="37" spans="1:5" x14ac:dyDescent="0.25">
      <c r="A37" s="20" t="s">
        <v>49</v>
      </c>
      <c r="B37" s="42">
        <v>0.27372143449882186</v>
      </c>
      <c r="C37" s="42">
        <v>0</v>
      </c>
      <c r="D37" s="42">
        <v>0.7262785655011782</v>
      </c>
      <c r="E37" s="42">
        <v>1</v>
      </c>
    </row>
    <row r="38" spans="1:5" x14ac:dyDescent="0.25">
      <c r="A38" s="20" t="s">
        <v>38</v>
      </c>
      <c r="B38" s="43">
        <v>1.4767068035427267E-2</v>
      </c>
      <c r="C38" s="43">
        <v>0.29394245260780488</v>
      </c>
      <c r="D38" s="43">
        <v>0.6912904793567678</v>
      </c>
      <c r="E38" s="42">
        <v>1</v>
      </c>
    </row>
    <row r="39" spans="1:5" x14ac:dyDescent="0.25">
      <c r="A39" s="20" t="s">
        <v>61</v>
      </c>
      <c r="B39" s="42">
        <v>0</v>
      </c>
      <c r="C39" s="42">
        <v>1</v>
      </c>
      <c r="D39" s="42">
        <v>0</v>
      </c>
      <c r="E39" s="42">
        <v>1</v>
      </c>
    </row>
    <row r="40" spans="1:5" x14ac:dyDescent="0.25">
      <c r="A40" s="20" t="s">
        <v>43</v>
      </c>
      <c r="B40" s="42">
        <v>0.52939689146088331</v>
      </c>
      <c r="C40" s="42">
        <v>0.47060310853911663</v>
      </c>
      <c r="D40" s="42">
        <v>0</v>
      </c>
      <c r="E40" s="42">
        <v>1</v>
      </c>
    </row>
    <row r="41" spans="1:5" x14ac:dyDescent="0.25">
      <c r="A41" s="20" t="s">
        <v>44</v>
      </c>
      <c r="B41" s="42">
        <v>0</v>
      </c>
      <c r="C41" s="42">
        <v>0.7768761731949082</v>
      </c>
      <c r="D41" s="42">
        <v>0.22312382680509182</v>
      </c>
      <c r="E41" s="42">
        <v>1</v>
      </c>
    </row>
    <row r="42" spans="1:5" x14ac:dyDescent="0.25">
      <c r="A42" s="20" t="s">
        <v>59</v>
      </c>
      <c r="B42" s="42">
        <v>0</v>
      </c>
      <c r="C42" s="42">
        <v>1</v>
      </c>
      <c r="D42" s="42">
        <v>0</v>
      </c>
      <c r="E42" s="42">
        <v>1</v>
      </c>
    </row>
    <row r="43" spans="1:5" x14ac:dyDescent="0.25">
      <c r="A43" s="20" t="s">
        <v>36</v>
      </c>
      <c r="B43" s="42">
        <v>0</v>
      </c>
      <c r="C43" s="42">
        <v>1</v>
      </c>
      <c r="D43" s="42">
        <v>0</v>
      </c>
      <c r="E43" s="42">
        <v>1</v>
      </c>
    </row>
    <row r="44" spans="1:5" x14ac:dyDescent="0.25">
      <c r="A44" s="20" t="s">
        <v>28</v>
      </c>
      <c r="B44" s="42">
        <v>0</v>
      </c>
      <c r="C44" s="42">
        <v>7.1440037792426594E-2</v>
      </c>
      <c r="D44" s="42">
        <v>0.92855996220757342</v>
      </c>
      <c r="E44" s="42">
        <v>1</v>
      </c>
    </row>
    <row r="45" spans="1:5" x14ac:dyDescent="0.25">
      <c r="A45" s="20" t="s">
        <v>17</v>
      </c>
      <c r="B45" s="43">
        <v>0.30474334466315034</v>
      </c>
      <c r="C45" s="43">
        <v>0.29672714489659391</v>
      </c>
      <c r="D45" s="43">
        <v>0.39852951044025575</v>
      </c>
      <c r="E45" s="42">
        <v>1</v>
      </c>
    </row>
    <row r="46" spans="1:5" x14ac:dyDescent="0.25">
      <c r="A46" s="20" t="s">
        <v>16</v>
      </c>
      <c r="B46" s="43">
        <v>7.9514002659290428E-2</v>
      </c>
      <c r="C46" s="43">
        <v>0.29932054963043248</v>
      </c>
      <c r="D46" s="43">
        <v>0.62116544771027715</v>
      </c>
      <c r="E46" s="42">
        <v>1</v>
      </c>
    </row>
    <row r="47" spans="1:5" x14ac:dyDescent="0.25">
      <c r="A47" s="20" t="s">
        <v>86</v>
      </c>
      <c r="B47" s="42">
        <v>0.27102401075915156</v>
      </c>
      <c r="C47" s="42">
        <v>0.21443754845820318</v>
      </c>
      <c r="D47" s="42">
        <v>0.51453844078264499</v>
      </c>
      <c r="E47" s="42">
        <v>1</v>
      </c>
    </row>
    <row r="49" spans="1:1" x14ac:dyDescent="0.25">
      <c r="A49" s="20"/>
    </row>
    <row r="50" spans="1:1" x14ac:dyDescent="0.25">
      <c r="A50" s="20"/>
    </row>
    <row r="51" spans="1:1" x14ac:dyDescent="0.25">
      <c r="A51" s="20"/>
    </row>
    <row r="52" spans="1:1" x14ac:dyDescent="0.25">
      <c r="A52" s="20"/>
    </row>
    <row r="53" spans="1:1" x14ac:dyDescent="0.25">
      <c r="A53" s="20"/>
    </row>
    <row r="54" spans="1:1" x14ac:dyDescent="0.25">
      <c r="A54" s="20"/>
    </row>
    <row r="55" spans="1:1" x14ac:dyDescent="0.25">
      <c r="A55" s="20"/>
    </row>
    <row r="56" spans="1:1" x14ac:dyDescent="0.25">
      <c r="A56" s="20"/>
    </row>
    <row r="57" spans="1:1" ht="16.5" customHeight="1" x14ac:dyDescent="0.25">
      <c r="A57" s="20"/>
    </row>
    <row r="58" spans="1:1" ht="36.75" customHeight="1" x14ac:dyDescent="0.25"/>
    <row r="79" spans="1:1" x14ac:dyDescent="0.25">
      <c r="A79" t="s">
        <v>161</v>
      </c>
    </row>
    <row r="83" spans="1:3" ht="18.75" x14ac:dyDescent="0.25">
      <c r="A83" s="52" t="s">
        <v>147</v>
      </c>
    </row>
    <row r="84" spans="1:3" x14ac:dyDescent="0.25">
      <c r="A84" s="20" t="s">
        <v>149</v>
      </c>
    </row>
    <row r="85" spans="1:3" x14ac:dyDescent="0.25">
      <c r="A85" s="20" t="s">
        <v>150</v>
      </c>
    </row>
    <row r="86" spans="1:3" x14ac:dyDescent="0.25">
      <c r="A86" s="19" t="s">
        <v>0</v>
      </c>
      <c r="B86" s="20">
        <v>2022</v>
      </c>
    </row>
    <row r="88" spans="1:3" x14ac:dyDescent="0.25">
      <c r="A88" s="19" t="s">
        <v>85</v>
      </c>
      <c r="B88" t="s">
        <v>88</v>
      </c>
      <c r="C88" t="s">
        <v>89</v>
      </c>
    </row>
    <row r="89" spans="1:3" x14ac:dyDescent="0.25">
      <c r="A89" s="20" t="s">
        <v>8</v>
      </c>
      <c r="B89" s="1">
        <v>1734.7101999999998</v>
      </c>
      <c r="C89" s="35">
        <v>41990</v>
      </c>
    </row>
    <row r="90" spans="1:3" x14ac:dyDescent="0.25">
      <c r="A90" s="20" t="s">
        <v>25</v>
      </c>
      <c r="B90" s="1">
        <v>1607.3944000000008</v>
      </c>
      <c r="C90" s="35">
        <v>298436</v>
      </c>
    </row>
    <row r="91" spans="1:3" x14ac:dyDescent="0.25">
      <c r="A91" s="20" t="s">
        <v>29</v>
      </c>
      <c r="B91" s="1">
        <v>4249.5563999999995</v>
      </c>
      <c r="C91" s="35">
        <v>568684</v>
      </c>
    </row>
    <row r="92" spans="1:3" x14ac:dyDescent="0.25">
      <c r="A92" s="20" t="s">
        <v>86</v>
      </c>
      <c r="B92" s="1">
        <v>7591.6610000000001</v>
      </c>
      <c r="C92" s="35">
        <v>909110</v>
      </c>
    </row>
    <row r="93" spans="1:3" ht="15" customHeight="1" x14ac:dyDescent="0.25"/>
    <row r="95" spans="1:3" x14ac:dyDescent="0.25">
      <c r="A95" s="30" t="s">
        <v>85</v>
      </c>
      <c r="B95" s="30" t="s">
        <v>164</v>
      </c>
      <c r="C95" s="30" t="s">
        <v>89</v>
      </c>
    </row>
    <row r="96" spans="1:3" x14ac:dyDescent="0.25">
      <c r="A96" s="20" t="s">
        <v>8</v>
      </c>
      <c r="B96">
        <f>1734.7102*(1000)</f>
        <v>1734710.2</v>
      </c>
      <c r="C96" s="1">
        <v>41990</v>
      </c>
    </row>
    <row r="97" spans="1:3" x14ac:dyDescent="0.25">
      <c r="A97" s="20" t="s">
        <v>25</v>
      </c>
      <c r="B97">
        <f>1607.3944*(1000)</f>
        <v>1607394.4</v>
      </c>
      <c r="C97" s="1">
        <v>298436</v>
      </c>
    </row>
    <row r="98" spans="1:3" x14ac:dyDescent="0.25">
      <c r="A98" s="20" t="s">
        <v>29</v>
      </c>
      <c r="B98">
        <f>4249.5564*(1000)</f>
        <v>4249556.4000000004</v>
      </c>
      <c r="C98" s="1">
        <v>568684</v>
      </c>
    </row>
    <row r="99" spans="1:3" x14ac:dyDescent="0.25">
      <c r="B99" s="20"/>
    </row>
    <row r="121" spans="1:2" x14ac:dyDescent="0.25">
      <c r="A121" t="s">
        <v>151</v>
      </c>
    </row>
    <row r="125" spans="1:2" ht="18.75" x14ac:dyDescent="0.3">
      <c r="A125" s="58" t="s">
        <v>148</v>
      </c>
    </row>
    <row r="126" spans="1:2" x14ac:dyDescent="0.25">
      <c r="A126" t="s">
        <v>152</v>
      </c>
    </row>
    <row r="127" spans="1:2" x14ac:dyDescent="0.25">
      <c r="A127" t="s">
        <v>153</v>
      </c>
    </row>
    <row r="128" spans="1:2" x14ac:dyDescent="0.25">
      <c r="A128" s="11" t="s">
        <v>0</v>
      </c>
      <c r="B128" s="44">
        <v>2022</v>
      </c>
    </row>
    <row r="130" spans="1:5" x14ac:dyDescent="0.25">
      <c r="A130" s="11"/>
      <c r="B130" s="11" t="s">
        <v>108</v>
      </c>
      <c r="C130" s="11"/>
      <c r="D130" s="11"/>
      <c r="E130" s="11"/>
    </row>
    <row r="131" spans="1:5" x14ac:dyDescent="0.25">
      <c r="A131" s="11"/>
      <c r="B131" s="11" t="s">
        <v>8</v>
      </c>
      <c r="C131" s="11" t="s">
        <v>25</v>
      </c>
      <c r="D131" s="11" t="s">
        <v>29</v>
      </c>
      <c r="E131" s="11" t="s">
        <v>86</v>
      </c>
    </row>
    <row r="132" spans="1:5" x14ac:dyDescent="0.25">
      <c r="A132" s="11" t="s">
        <v>91</v>
      </c>
      <c r="B132" s="45">
        <v>127.14101807206764</v>
      </c>
      <c r="C132" s="45">
        <v>99.789291509289782</v>
      </c>
      <c r="D132" s="45">
        <v>104.4902976908367</v>
      </c>
      <c r="E132" s="45">
        <v>108.67068254628327</v>
      </c>
    </row>
    <row r="151" spans="1:4" x14ac:dyDescent="0.25">
      <c r="A151" s="30"/>
      <c r="B151" s="30"/>
      <c r="C151" s="30"/>
      <c r="D151" s="30"/>
    </row>
    <row r="152" spans="1:4" x14ac:dyDescent="0.25">
      <c r="A152" s="44"/>
      <c r="B152" s="45"/>
      <c r="C152" s="45"/>
      <c r="D152" s="45"/>
    </row>
    <row r="153" spans="1:4" x14ac:dyDescent="0.25">
      <c r="A153" s="44"/>
      <c r="B153" s="45"/>
      <c r="C153" s="45"/>
      <c r="D153" s="45"/>
    </row>
    <row r="154" spans="1:4" x14ac:dyDescent="0.25">
      <c r="A154" s="44"/>
      <c r="B154" s="45"/>
      <c r="C154" s="45"/>
      <c r="D154" s="45"/>
    </row>
    <row r="155" spans="1:4" x14ac:dyDescent="0.25">
      <c r="A155" s="44"/>
      <c r="B155" s="45"/>
      <c r="C155" s="45"/>
      <c r="D155" s="45"/>
    </row>
    <row r="156" spans="1:4" x14ac:dyDescent="0.25">
      <c r="A156" s="44" t="s">
        <v>163</v>
      </c>
      <c r="B156" s="45"/>
      <c r="C156" s="45"/>
      <c r="D156" s="45"/>
    </row>
    <row r="157" spans="1:4" x14ac:dyDescent="0.25">
      <c r="A157" s="44"/>
      <c r="B157" s="45"/>
      <c r="C157" s="45"/>
      <c r="D157" s="45"/>
    </row>
    <row r="158" spans="1:4" x14ac:dyDescent="0.25">
      <c r="A158" s="44"/>
      <c r="B158" s="45"/>
      <c r="C158" s="45"/>
      <c r="D158" s="45"/>
    </row>
    <row r="159" spans="1:4" x14ac:dyDescent="0.25">
      <c r="A159" s="44"/>
      <c r="B159" s="45"/>
      <c r="C159" s="45"/>
      <c r="D159" s="45"/>
    </row>
    <row r="160" spans="1:4" ht="18.75" x14ac:dyDescent="0.3">
      <c r="A160" s="58" t="s">
        <v>154</v>
      </c>
    </row>
    <row r="161" spans="1:14" x14ac:dyDescent="0.25">
      <c r="A161" t="s">
        <v>155</v>
      </c>
    </row>
    <row r="162" spans="1:14" x14ac:dyDescent="0.25">
      <c r="A162" t="s">
        <v>156</v>
      </c>
    </row>
    <row r="163" spans="1:14" x14ac:dyDescent="0.25">
      <c r="A163" s="19" t="s">
        <v>0</v>
      </c>
      <c r="B163" s="20">
        <v>2022</v>
      </c>
    </row>
    <row r="165" spans="1:14" x14ac:dyDescent="0.25">
      <c r="A165" s="19" t="s">
        <v>85</v>
      </c>
      <c r="B165" t="s">
        <v>91</v>
      </c>
      <c r="C165" t="s">
        <v>88</v>
      </c>
      <c r="D165" t="s">
        <v>84</v>
      </c>
    </row>
    <row r="166" spans="1:14" x14ac:dyDescent="0.25">
      <c r="A166" s="20" t="s">
        <v>18</v>
      </c>
      <c r="B166" s="35">
        <v>91.119170454974423</v>
      </c>
      <c r="C166" s="35">
        <v>447.71529999999996</v>
      </c>
      <c r="D166" s="35">
        <v>40795.446736000005</v>
      </c>
    </row>
    <row r="167" spans="1:14" x14ac:dyDescent="0.25">
      <c r="A167" s="20" t="s">
        <v>10</v>
      </c>
      <c r="B167" s="35">
        <v>63.99189259366841</v>
      </c>
      <c r="C167" s="35">
        <v>1593.9470000000001</v>
      </c>
      <c r="D167" s="35">
        <v>101999.68522399999</v>
      </c>
      <c r="N167" s="29"/>
    </row>
    <row r="168" spans="1:14" x14ac:dyDescent="0.25">
      <c r="A168" s="20" t="s">
        <v>21</v>
      </c>
      <c r="B168" s="35">
        <v>62.578834293683968</v>
      </c>
      <c r="C168" s="35">
        <v>52.914700000000018</v>
      </c>
      <c r="D168" s="35">
        <v>3311.3402430000001</v>
      </c>
      <c r="N168" s="29"/>
    </row>
    <row r="169" spans="1:14" x14ac:dyDescent="0.25">
      <c r="A169" s="20" t="s">
        <v>35</v>
      </c>
      <c r="B169" s="35">
        <v>84.397417102290149</v>
      </c>
      <c r="C169" s="35">
        <v>28.369300000000003</v>
      </c>
      <c r="D169" s="35">
        <v>2394.2956450000001</v>
      </c>
      <c r="N169" s="29"/>
    </row>
    <row r="170" spans="1:14" x14ac:dyDescent="0.25">
      <c r="A170" s="20" t="s">
        <v>11</v>
      </c>
      <c r="B170" s="35">
        <v>99.4173098987674</v>
      </c>
      <c r="C170" s="35">
        <v>3622.3186999999989</v>
      </c>
      <c r="D170" s="35">
        <v>360121.18075000017</v>
      </c>
      <c r="N170" s="29"/>
    </row>
    <row r="171" spans="1:14" x14ac:dyDescent="0.25">
      <c r="A171" s="20" t="s">
        <v>12</v>
      </c>
      <c r="B171" s="35">
        <v>171.35564064790626</v>
      </c>
      <c r="C171" s="35">
        <v>1843.2418000000009</v>
      </c>
      <c r="D171" s="35">
        <v>315849.87950800004</v>
      </c>
      <c r="N171" s="29"/>
    </row>
    <row r="172" spans="1:14" x14ac:dyDescent="0.25">
      <c r="A172" s="20" t="s">
        <v>13</v>
      </c>
      <c r="B172" s="35">
        <v>164.59147295669266</v>
      </c>
      <c r="C172" s="35">
        <v>3.1542000000000008</v>
      </c>
      <c r="D172" s="35">
        <v>519.15442400000006</v>
      </c>
      <c r="N172" s="29"/>
    </row>
    <row r="173" spans="1:14" x14ac:dyDescent="0.25">
      <c r="A173" s="20" t="s">
        <v>86</v>
      </c>
      <c r="B173" s="35">
        <v>108.67068254628323</v>
      </c>
      <c r="C173" s="35">
        <v>7591.6609999999991</v>
      </c>
      <c r="D173" s="35">
        <v>824990.98253000027</v>
      </c>
      <c r="N173" s="29"/>
    </row>
    <row r="174" spans="1:14" x14ac:dyDescent="0.25">
      <c r="N174" s="29"/>
    </row>
    <row r="175" spans="1:14" x14ac:dyDescent="0.25">
      <c r="N175" s="29"/>
    </row>
    <row r="176" spans="1:14" x14ac:dyDescent="0.25">
      <c r="A176" s="50" t="s">
        <v>158</v>
      </c>
      <c r="B176" s="48" t="s">
        <v>157</v>
      </c>
      <c r="N176" s="29"/>
    </row>
    <row r="177" spans="1:14" x14ac:dyDescent="0.25">
      <c r="A177" s="49" t="s">
        <v>18</v>
      </c>
      <c r="B177" s="29">
        <f>GETPIVOTDATA("Сумма по полю Avg month",$A$165,"Weight range","&lt;200G")/200</f>
        <v>0.45559585227487209</v>
      </c>
      <c r="N177" s="29"/>
    </row>
    <row r="178" spans="1:14" x14ac:dyDescent="0.25">
      <c r="A178" s="49" t="s">
        <v>10</v>
      </c>
      <c r="B178" s="29">
        <f>GETPIVOTDATA("Avg month",$A$165,"Weight range","200-249G")/249</f>
        <v>0.25699555258501372</v>
      </c>
      <c r="C178" s="47"/>
      <c r="N178" s="29"/>
    </row>
    <row r="179" spans="1:14" x14ac:dyDescent="0.25">
      <c r="A179" s="49" t="s">
        <v>21</v>
      </c>
      <c r="B179" s="29">
        <f>GETPIVOTDATA("Avg month",$A$165,"Weight range","250-299G")/299</f>
        <v>0.20929376017954504</v>
      </c>
      <c r="N179" s="29"/>
    </row>
    <row r="180" spans="1:14" x14ac:dyDescent="0.25">
      <c r="A180" s="49" t="s">
        <v>35</v>
      </c>
      <c r="B180" s="29">
        <f>GETPIVOTDATA("Avg month",$A$165,"Weight range","300-349G")/349</f>
        <v>0.24182641003521532</v>
      </c>
      <c r="N180" s="29"/>
    </row>
    <row r="181" spans="1:14" x14ac:dyDescent="0.25">
      <c r="A181" s="49" t="s">
        <v>11</v>
      </c>
      <c r="B181" s="29">
        <f>GETPIVOTDATA("Avg month",$A$165,"Weight range","350-399G")/399</f>
        <v>0.24916619022247469</v>
      </c>
      <c r="N181" s="29"/>
    </row>
    <row r="182" spans="1:14" x14ac:dyDescent="0.25">
      <c r="A182" s="49" t="s">
        <v>12</v>
      </c>
      <c r="B182" s="29">
        <f>GETPIVOTDATA("Avg month",$A$165,"Weight range","400-599G")/599</f>
        <v>0.2860695169414128</v>
      </c>
      <c r="N182" s="29"/>
    </row>
    <row r="183" spans="1:14" x14ac:dyDescent="0.25">
      <c r="A183" s="49" t="s">
        <v>13</v>
      </c>
      <c r="B183" s="29">
        <f>GETPIVOTDATA("Avg month",$A$165,"Weight range","600-899G")/899</f>
        <v>0.18308283977385167</v>
      </c>
      <c r="N183" s="29"/>
    </row>
    <row r="184" spans="1:14" x14ac:dyDescent="0.25">
      <c r="N184" s="29"/>
    </row>
    <row r="185" spans="1:14" x14ac:dyDescent="0.25">
      <c r="N185" s="29"/>
    </row>
    <row r="186" spans="1:14" x14ac:dyDescent="0.25">
      <c r="N186" s="29"/>
    </row>
    <row r="187" spans="1:14" x14ac:dyDescent="0.25">
      <c r="N187" s="29"/>
    </row>
    <row r="188" spans="1:14" x14ac:dyDescent="0.25">
      <c r="N188" s="29"/>
    </row>
    <row r="189" spans="1:14" x14ac:dyDescent="0.25">
      <c r="N189" s="29"/>
    </row>
    <row r="190" spans="1:14" x14ac:dyDescent="0.25">
      <c r="N190" s="29"/>
    </row>
    <row r="191" spans="1:14" x14ac:dyDescent="0.25">
      <c r="F191" s="59"/>
      <c r="G191" s="59"/>
      <c r="H191" s="60"/>
      <c r="I191" s="60"/>
      <c r="J191" s="60"/>
      <c r="K191" s="60"/>
      <c r="N191" s="29"/>
    </row>
    <row r="192" spans="1:14" x14ac:dyDescent="0.25">
      <c r="F192" s="29"/>
      <c r="G192" s="29"/>
      <c r="H192" s="29"/>
      <c r="I192" s="29"/>
      <c r="J192" s="29"/>
      <c r="K192" s="29"/>
      <c r="L192" s="29"/>
      <c r="M192" s="46"/>
      <c r="N192" s="29"/>
    </row>
    <row r="193" spans="1:14" x14ac:dyDescent="0.25">
      <c r="F193" s="29"/>
      <c r="G193" s="29"/>
      <c r="H193" s="29"/>
      <c r="I193" s="29"/>
      <c r="J193" s="29"/>
      <c r="K193" s="29"/>
      <c r="L193" s="29"/>
      <c r="M193" s="29"/>
      <c r="N193" s="29"/>
    </row>
    <row r="194" spans="1:14" x14ac:dyDescent="0.25">
      <c r="B194" s="80"/>
      <c r="C194" s="80"/>
      <c r="D194" s="81"/>
      <c r="E194" s="81"/>
      <c r="F194" s="29"/>
      <c r="G194" s="29"/>
      <c r="H194" s="29"/>
      <c r="I194" s="29"/>
      <c r="J194" s="29"/>
      <c r="K194" s="29"/>
      <c r="L194" s="29"/>
      <c r="M194" s="29"/>
      <c r="N194" s="29"/>
    </row>
    <row r="195" spans="1:14" x14ac:dyDescent="0.25"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</row>
    <row r="196" spans="1:14" x14ac:dyDescent="0.25"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</row>
    <row r="197" spans="1:14" x14ac:dyDescent="0.25">
      <c r="F197" s="29"/>
      <c r="G197" s="29"/>
      <c r="H197" s="29"/>
      <c r="I197" s="29"/>
      <c r="J197" s="29"/>
      <c r="K197" s="29"/>
      <c r="L197" s="29"/>
      <c r="M197" s="29"/>
      <c r="N197" s="29"/>
    </row>
    <row r="198" spans="1:14" x14ac:dyDescent="0.25">
      <c r="F198" s="29"/>
      <c r="G198" s="29"/>
      <c r="H198" s="29"/>
      <c r="I198" s="29"/>
      <c r="J198" s="29"/>
      <c r="K198" s="29"/>
      <c r="L198" s="29"/>
      <c r="M198" s="29"/>
      <c r="N198" s="29"/>
    </row>
    <row r="199" spans="1:14" x14ac:dyDescent="0.25">
      <c r="F199" s="29"/>
      <c r="G199" s="29"/>
      <c r="H199" s="29"/>
      <c r="I199" s="29"/>
      <c r="J199" s="29"/>
      <c r="K199" s="29"/>
      <c r="L199" s="29"/>
      <c r="M199" s="29"/>
      <c r="N199" s="29"/>
    </row>
    <row r="200" spans="1:14" x14ac:dyDescent="0.25">
      <c r="F200" s="29"/>
      <c r="G200" s="29"/>
      <c r="H200" s="29"/>
      <c r="I200" s="29"/>
      <c r="J200" s="29"/>
      <c r="K200" s="29"/>
      <c r="L200" s="29"/>
      <c r="M200" s="29"/>
      <c r="N200" s="29"/>
    </row>
    <row r="201" spans="1:14" x14ac:dyDescent="0.25">
      <c r="A201" t="s">
        <v>162</v>
      </c>
      <c r="F201" s="29"/>
      <c r="G201" s="29"/>
      <c r="H201" s="29"/>
      <c r="I201" s="29"/>
      <c r="J201" s="29"/>
      <c r="K201" s="29"/>
      <c r="L201" s="29"/>
      <c r="M201" s="29"/>
      <c r="N201" s="29"/>
    </row>
    <row r="202" spans="1:14" x14ac:dyDescent="0.25">
      <c r="F202" s="29"/>
      <c r="G202" s="29"/>
      <c r="H202" s="29"/>
      <c r="I202" s="29"/>
      <c r="J202" s="29"/>
      <c r="K202" s="29"/>
      <c r="L202" s="29"/>
      <c r="M202" s="29"/>
      <c r="N202" s="29"/>
    </row>
    <row r="203" spans="1:14" x14ac:dyDescent="0.25">
      <c r="F203" s="29"/>
      <c r="G203" s="29"/>
      <c r="H203" s="29"/>
      <c r="I203" s="29"/>
      <c r="J203" s="29"/>
      <c r="K203" s="29"/>
      <c r="L203" s="29"/>
      <c r="M203" s="29"/>
      <c r="N203" s="29"/>
    </row>
    <row r="204" spans="1:14" x14ac:dyDescent="0.25">
      <c r="F204" s="29"/>
      <c r="G204" s="29"/>
      <c r="H204" s="29"/>
      <c r="I204" s="29"/>
      <c r="J204" s="29"/>
      <c r="K204" s="29"/>
      <c r="L204" s="29"/>
      <c r="M204" s="29"/>
      <c r="N204" s="29"/>
    </row>
    <row r="205" spans="1:14" x14ac:dyDescent="0.25">
      <c r="F205" s="29"/>
      <c r="G205" s="29"/>
      <c r="H205" s="29"/>
      <c r="I205" s="29"/>
      <c r="J205" s="29"/>
      <c r="K205" s="29"/>
      <c r="L205" s="29"/>
      <c r="M205" s="29"/>
      <c r="N205" s="29"/>
    </row>
    <row r="206" spans="1:14" x14ac:dyDescent="0.25">
      <c r="F206" s="29"/>
      <c r="G206" s="29"/>
      <c r="H206" s="29"/>
      <c r="I206" s="29"/>
      <c r="J206" s="29"/>
      <c r="K206" s="29"/>
      <c r="L206" s="29"/>
      <c r="M206" s="29"/>
      <c r="N206" s="29"/>
    </row>
    <row r="207" spans="1:14" x14ac:dyDescent="0.25">
      <c r="F207" s="29"/>
      <c r="G207" s="29"/>
      <c r="H207" s="29"/>
      <c r="I207" s="29"/>
      <c r="J207" s="29"/>
      <c r="K207" s="29"/>
      <c r="L207" s="29"/>
      <c r="M207" s="29"/>
      <c r="N207" s="29"/>
    </row>
    <row r="208" spans="1:14" ht="18.75" x14ac:dyDescent="0.3">
      <c r="A208" s="58" t="s">
        <v>176</v>
      </c>
      <c r="F208" s="29"/>
      <c r="G208" s="29"/>
      <c r="H208" s="29"/>
      <c r="I208" s="29"/>
      <c r="J208" s="29"/>
      <c r="K208" s="29"/>
      <c r="L208" s="29"/>
      <c r="M208" s="29"/>
      <c r="N208" s="29"/>
    </row>
    <row r="209" spans="1:14" x14ac:dyDescent="0.25">
      <c r="A209" t="s">
        <v>166</v>
      </c>
      <c r="F209" s="29"/>
      <c r="G209" s="29"/>
      <c r="H209" s="29"/>
      <c r="I209" s="29"/>
      <c r="J209" s="29"/>
      <c r="K209" s="29"/>
      <c r="L209" s="29"/>
      <c r="M209" s="29"/>
      <c r="N209" s="29"/>
    </row>
    <row r="210" spans="1:14" x14ac:dyDescent="0.25">
      <c r="A210" t="s">
        <v>165</v>
      </c>
      <c r="F210" s="29"/>
      <c r="G210" s="29"/>
      <c r="H210" s="29"/>
      <c r="I210" s="29"/>
      <c r="J210" s="29"/>
      <c r="K210" s="29"/>
      <c r="L210" s="29"/>
      <c r="M210" s="29"/>
      <c r="N210" s="29"/>
    </row>
    <row r="211" spans="1:14" x14ac:dyDescent="0.25">
      <c r="F211" s="29"/>
      <c r="G211" s="29"/>
      <c r="H211" s="29"/>
      <c r="I211" s="29"/>
      <c r="J211" s="29"/>
      <c r="K211" s="29"/>
      <c r="L211" s="29"/>
      <c r="M211" s="29"/>
      <c r="N211" s="29"/>
    </row>
    <row r="212" spans="1:14" x14ac:dyDescent="0.25">
      <c r="A212" s="19" t="s">
        <v>0</v>
      </c>
      <c r="B212" s="20">
        <v>2022</v>
      </c>
      <c r="F212" s="29"/>
      <c r="G212" s="29"/>
      <c r="H212" s="29"/>
      <c r="I212" s="29"/>
      <c r="J212" s="29"/>
      <c r="K212" s="29"/>
      <c r="L212" s="29"/>
      <c r="M212" s="29"/>
      <c r="N212" s="29"/>
    </row>
    <row r="213" spans="1:14" x14ac:dyDescent="0.25">
      <c r="F213" s="29"/>
      <c r="G213" s="29"/>
      <c r="H213" s="29"/>
      <c r="I213" s="29"/>
      <c r="J213" s="29"/>
      <c r="K213" s="29"/>
      <c r="L213" s="29"/>
      <c r="M213" s="29"/>
      <c r="N213" s="29"/>
    </row>
    <row r="214" spans="1:14" x14ac:dyDescent="0.25">
      <c r="A214" s="19" t="s">
        <v>85</v>
      </c>
      <c r="B214" t="s">
        <v>90</v>
      </c>
      <c r="F214" s="29"/>
      <c r="G214" s="29"/>
      <c r="H214" s="29"/>
      <c r="I214" s="29"/>
      <c r="J214" s="29"/>
      <c r="K214" s="29"/>
      <c r="L214" s="29"/>
      <c r="M214" s="29"/>
      <c r="N214" s="29"/>
    </row>
    <row r="215" spans="1:14" x14ac:dyDescent="0.25">
      <c r="A215" s="20" t="s">
        <v>18</v>
      </c>
      <c r="B215" s="1">
        <v>5.5809541023659337</v>
      </c>
      <c r="F215" s="29"/>
      <c r="G215" s="29"/>
      <c r="H215" s="29"/>
      <c r="I215" s="29"/>
      <c r="J215" s="29"/>
      <c r="K215" s="29"/>
      <c r="L215" s="29"/>
      <c r="M215" s="29"/>
      <c r="N215" s="29"/>
    </row>
    <row r="216" spans="1:14" x14ac:dyDescent="0.25">
      <c r="A216" s="20" t="s">
        <v>10</v>
      </c>
      <c r="B216" s="1">
        <v>7.9593083061189844</v>
      </c>
      <c r="F216" s="29"/>
      <c r="G216" s="29"/>
      <c r="H216" s="29"/>
      <c r="I216" s="29"/>
      <c r="J216" s="29"/>
      <c r="K216" s="29"/>
      <c r="L216" s="29"/>
      <c r="M216" s="29"/>
      <c r="N216" s="29"/>
    </row>
    <row r="217" spans="1:14" x14ac:dyDescent="0.25">
      <c r="A217" s="20" t="s">
        <v>21</v>
      </c>
      <c r="B217" s="1">
        <v>6.4838500183801031</v>
      </c>
      <c r="F217" s="29"/>
      <c r="G217" s="29"/>
      <c r="H217" s="29"/>
      <c r="I217" s="29"/>
      <c r="J217" s="29"/>
      <c r="K217" s="29"/>
      <c r="L217" s="29"/>
      <c r="M217" s="29"/>
      <c r="N217" s="29"/>
    </row>
    <row r="218" spans="1:14" x14ac:dyDescent="0.25">
      <c r="A218" s="20" t="s">
        <v>35</v>
      </c>
      <c r="B218" s="1">
        <v>1.6196220598310118</v>
      </c>
      <c r="F218" s="29"/>
      <c r="G218" s="29"/>
      <c r="H218" s="29"/>
      <c r="I218" s="29"/>
      <c r="J218" s="29"/>
      <c r="K218" s="29"/>
      <c r="L218" s="29"/>
      <c r="M218" s="29"/>
      <c r="N218" s="29"/>
    </row>
    <row r="219" spans="1:14" x14ac:dyDescent="0.25">
      <c r="A219" s="20" t="s">
        <v>11</v>
      </c>
      <c r="B219" s="1">
        <v>8.100015205758508</v>
      </c>
      <c r="F219" s="29"/>
      <c r="G219" s="29"/>
      <c r="H219" s="29"/>
      <c r="I219" s="29"/>
      <c r="J219" s="29"/>
      <c r="K219" s="29"/>
      <c r="L219" s="29"/>
      <c r="M219" s="29"/>
      <c r="N219" s="29"/>
    </row>
    <row r="220" spans="1:14" x14ac:dyDescent="0.25">
      <c r="A220" s="20" t="s">
        <v>12</v>
      </c>
      <c r="B220" s="1">
        <v>11.970501746957442</v>
      </c>
      <c r="F220" s="29"/>
      <c r="G220" s="29"/>
      <c r="H220" s="29"/>
      <c r="I220" s="29"/>
      <c r="J220" s="29"/>
      <c r="K220" s="29"/>
      <c r="L220" s="29"/>
      <c r="M220" s="29"/>
      <c r="N220" s="29"/>
    </row>
    <row r="221" spans="1:14" x14ac:dyDescent="0.25">
      <c r="A221" s="20" t="s">
        <v>13</v>
      </c>
      <c r="B221" s="1">
        <v>1.7840497737556564</v>
      </c>
      <c r="F221" s="29"/>
      <c r="G221" s="29"/>
      <c r="H221" s="29"/>
      <c r="I221" s="29"/>
      <c r="J221" s="29"/>
      <c r="K221" s="29"/>
      <c r="L221" s="29"/>
      <c r="M221" s="29"/>
      <c r="N221" s="29"/>
    </row>
    <row r="222" spans="1:14" x14ac:dyDescent="0.25">
      <c r="A222" s="20" t="s">
        <v>86</v>
      </c>
      <c r="B222" s="1">
        <v>8.350651736313548</v>
      </c>
      <c r="F222" s="29"/>
      <c r="G222" s="29"/>
      <c r="H222" s="29"/>
      <c r="I222" s="29"/>
      <c r="J222" s="29"/>
      <c r="K222" s="29"/>
      <c r="L222" s="29"/>
      <c r="M222" s="29"/>
      <c r="N222" s="29"/>
    </row>
    <row r="223" spans="1:14" x14ac:dyDescent="0.25">
      <c r="F223" s="29"/>
      <c r="G223" s="29"/>
      <c r="H223" s="29"/>
      <c r="I223" s="29"/>
      <c r="J223" s="29"/>
      <c r="K223" s="29"/>
      <c r="L223" s="29"/>
      <c r="M223" s="29"/>
      <c r="N223" s="29"/>
    </row>
    <row r="224" spans="1:14" x14ac:dyDescent="0.25">
      <c r="F224" s="29"/>
      <c r="G224" s="29"/>
      <c r="H224" s="29"/>
      <c r="I224" s="29"/>
      <c r="J224" s="29"/>
      <c r="K224" s="29"/>
      <c r="L224" s="29"/>
      <c r="M224" s="29"/>
      <c r="N224" s="29"/>
    </row>
    <row r="225" spans="6:14" x14ac:dyDescent="0.25">
      <c r="F225" s="29"/>
      <c r="G225" s="29"/>
      <c r="H225" s="29"/>
      <c r="I225" s="29"/>
      <c r="J225" s="29"/>
      <c r="K225" s="29"/>
      <c r="L225" s="29"/>
      <c r="M225" s="29"/>
      <c r="N225" s="29"/>
    </row>
    <row r="226" spans="6:14" x14ac:dyDescent="0.25">
      <c r="F226" s="29"/>
      <c r="G226" s="29"/>
      <c r="H226" s="29"/>
      <c r="I226" s="29"/>
      <c r="J226" s="29"/>
      <c r="K226" s="29"/>
      <c r="L226" s="29"/>
      <c r="M226" s="29"/>
      <c r="N226" s="29"/>
    </row>
    <row r="227" spans="6:14" x14ac:dyDescent="0.25">
      <c r="F227" s="29"/>
      <c r="G227" s="29"/>
      <c r="H227" s="29"/>
      <c r="I227" s="29"/>
      <c r="J227" s="29"/>
      <c r="K227" s="29"/>
      <c r="L227" s="29"/>
      <c r="M227" s="29"/>
      <c r="N227" s="29"/>
    </row>
    <row r="228" spans="6:14" x14ac:dyDescent="0.25">
      <c r="F228" s="29"/>
      <c r="G228" s="29"/>
      <c r="H228" s="29"/>
      <c r="I228" s="29"/>
      <c r="J228" s="29"/>
      <c r="K228" s="29"/>
      <c r="L228" s="29"/>
      <c r="M228" s="29"/>
      <c r="N228" s="29"/>
    </row>
    <row r="229" spans="6:14" x14ac:dyDescent="0.25">
      <c r="F229" s="29"/>
      <c r="G229" s="29"/>
      <c r="H229" s="29"/>
      <c r="I229" s="29"/>
      <c r="J229" s="29"/>
      <c r="K229" s="29"/>
      <c r="L229" s="29"/>
      <c r="M229" s="29"/>
      <c r="N229" s="29"/>
    </row>
    <row r="230" spans="6:14" x14ac:dyDescent="0.25">
      <c r="F230" s="29"/>
      <c r="G230" s="29"/>
      <c r="H230" s="29"/>
      <c r="I230" s="29"/>
      <c r="J230" s="29"/>
      <c r="K230" s="29"/>
      <c r="L230" s="29"/>
      <c r="M230" s="29"/>
      <c r="N230" s="29"/>
    </row>
    <row r="235" spans="6:14" x14ac:dyDescent="0.25">
      <c r="F235" s="81"/>
      <c r="G235" s="81"/>
    </row>
    <row r="236" spans="6:14" x14ac:dyDescent="0.25">
      <c r="F236" s="29"/>
      <c r="G236" s="29"/>
    </row>
    <row r="237" spans="6:14" x14ac:dyDescent="0.25">
      <c r="F237" s="29"/>
      <c r="G237" s="29"/>
    </row>
    <row r="238" spans="6:14" x14ac:dyDescent="0.25">
      <c r="F238" s="29"/>
      <c r="G238" s="29"/>
    </row>
    <row r="239" spans="6:14" x14ac:dyDescent="0.25">
      <c r="F239" s="29"/>
      <c r="G239" s="29"/>
    </row>
    <row r="240" spans="6:14" x14ac:dyDescent="0.25">
      <c r="F240" s="29"/>
      <c r="G240" s="29"/>
    </row>
    <row r="241" spans="1:7" x14ac:dyDescent="0.25">
      <c r="F241" s="29"/>
      <c r="G241" s="29"/>
    </row>
    <row r="242" spans="1:7" x14ac:dyDescent="0.25">
      <c r="F242" s="29"/>
      <c r="G242" s="29"/>
    </row>
    <row r="243" spans="1:7" x14ac:dyDescent="0.25">
      <c r="F243" s="29"/>
      <c r="G243" s="29"/>
    </row>
    <row r="244" spans="1:7" x14ac:dyDescent="0.25">
      <c r="F244" s="29"/>
      <c r="G244" s="29"/>
    </row>
    <row r="245" spans="1:7" x14ac:dyDescent="0.25">
      <c r="F245" s="29"/>
      <c r="G245" s="29"/>
    </row>
    <row r="246" spans="1:7" x14ac:dyDescent="0.25">
      <c r="F246" s="29"/>
      <c r="G246" s="29"/>
    </row>
    <row r="247" spans="1:7" x14ac:dyDescent="0.25">
      <c r="A247" t="s">
        <v>167</v>
      </c>
      <c r="F247" s="29"/>
      <c r="G247" s="29"/>
    </row>
    <row r="248" spans="1:7" x14ac:dyDescent="0.25">
      <c r="F248" s="29"/>
      <c r="G248" s="29"/>
    </row>
    <row r="249" spans="1:7" x14ac:dyDescent="0.25">
      <c r="F249" s="29"/>
      <c r="G249" s="29"/>
    </row>
    <row r="250" spans="1:7" x14ac:dyDescent="0.25">
      <c r="F250" s="29"/>
      <c r="G250" s="29"/>
    </row>
    <row r="251" spans="1:7" x14ac:dyDescent="0.25">
      <c r="D251" s="29"/>
      <c r="E251" s="29"/>
      <c r="F251" s="29"/>
      <c r="G251" s="29"/>
    </row>
    <row r="252" spans="1:7" x14ac:dyDescent="0.25">
      <c r="D252" s="29"/>
      <c r="E252" s="29"/>
      <c r="F252" s="29"/>
      <c r="G252" s="29"/>
    </row>
    <row r="253" spans="1:7" ht="18.75" x14ac:dyDescent="0.3">
      <c r="A253" s="58" t="s">
        <v>175</v>
      </c>
      <c r="D253" s="29"/>
      <c r="E253" s="29"/>
      <c r="F253" s="29"/>
      <c r="G253" s="29"/>
    </row>
    <row r="254" spans="1:7" x14ac:dyDescent="0.25">
      <c r="A254" t="s">
        <v>168</v>
      </c>
      <c r="D254" s="29"/>
      <c r="E254" s="29"/>
      <c r="F254" s="29"/>
      <c r="G254" s="29"/>
    </row>
    <row r="255" spans="1:7" x14ac:dyDescent="0.25">
      <c r="A255" t="s">
        <v>169</v>
      </c>
      <c r="D255" s="29"/>
      <c r="E255" s="29"/>
      <c r="F255" s="29"/>
      <c r="G255" s="29"/>
    </row>
    <row r="256" spans="1:7" x14ac:dyDescent="0.25">
      <c r="A256" s="19" t="s">
        <v>84</v>
      </c>
      <c r="B256" s="19" t="s">
        <v>108</v>
      </c>
    </row>
    <row r="257" spans="1:5" x14ac:dyDescent="0.25">
      <c r="A257" s="19" t="s">
        <v>85</v>
      </c>
      <c r="B257" t="s">
        <v>8</v>
      </c>
      <c r="C257" t="s">
        <v>25</v>
      </c>
      <c r="D257" t="s">
        <v>29</v>
      </c>
      <c r="E257" t="s">
        <v>86</v>
      </c>
    </row>
    <row r="258" spans="1:5" x14ac:dyDescent="0.25">
      <c r="A258" s="20">
        <v>2020</v>
      </c>
      <c r="B258" s="35">
        <v>203529.63592100007</v>
      </c>
      <c r="C258" s="35">
        <v>183036.71761399996</v>
      </c>
      <c r="D258" s="35">
        <v>358254.20792200009</v>
      </c>
      <c r="E258" s="35">
        <v>744820.56145700009</v>
      </c>
    </row>
    <row r="259" spans="1:5" x14ac:dyDescent="0.25">
      <c r="A259" s="20">
        <v>2021</v>
      </c>
      <c r="B259" s="35">
        <v>216284.90285900023</v>
      </c>
      <c r="C259" s="35">
        <v>163229.10698899996</v>
      </c>
      <c r="D259" s="35">
        <v>413444.29033600021</v>
      </c>
      <c r="E259" s="35">
        <v>792958.3001840004</v>
      </c>
    </row>
    <row r="260" spans="1:5" x14ac:dyDescent="0.25">
      <c r="A260" s="20">
        <v>2022</v>
      </c>
      <c r="B260" s="35">
        <v>220552.82088799993</v>
      </c>
      <c r="C260" s="35">
        <v>160400.74835199991</v>
      </c>
      <c r="D260" s="35">
        <v>444037.41329000005</v>
      </c>
      <c r="E260" s="35">
        <v>824990.98252999992</v>
      </c>
    </row>
    <row r="261" spans="1:5" x14ac:dyDescent="0.25">
      <c r="A261" s="20" t="s">
        <v>86</v>
      </c>
      <c r="B261" s="35">
        <v>640367.35966800025</v>
      </c>
      <c r="C261" s="35">
        <v>506666.57295499987</v>
      </c>
      <c r="D261" s="35">
        <v>1215735.9115480003</v>
      </c>
      <c r="E261" s="35">
        <v>2362769.8441710006</v>
      </c>
    </row>
    <row r="283" spans="1:14" x14ac:dyDescent="0.25">
      <c r="J283" s="19"/>
      <c r="K283" s="19"/>
      <c r="L283" s="19"/>
      <c r="M283" s="19"/>
      <c r="N283" s="19"/>
    </row>
    <row r="287" spans="1:14" x14ac:dyDescent="0.25">
      <c r="A287" t="s">
        <v>170</v>
      </c>
    </row>
    <row r="291" spans="1:9" ht="18.75" x14ac:dyDescent="0.3">
      <c r="A291" s="58" t="s">
        <v>171</v>
      </c>
    </row>
    <row r="292" spans="1:9" x14ac:dyDescent="0.25">
      <c r="A292" t="s">
        <v>172</v>
      </c>
    </row>
    <row r="293" spans="1:9" x14ac:dyDescent="0.25">
      <c r="A293" t="s">
        <v>173</v>
      </c>
    </row>
    <row r="294" spans="1:9" x14ac:dyDescent="0.25">
      <c r="A294" s="19" t="s">
        <v>0</v>
      </c>
      <c r="B294" s="20">
        <v>2022</v>
      </c>
    </row>
    <row r="296" spans="1:9" x14ac:dyDescent="0.25">
      <c r="A296" s="19" t="s">
        <v>84</v>
      </c>
      <c r="B296" s="19" t="s">
        <v>108</v>
      </c>
    </row>
    <row r="297" spans="1:9" x14ac:dyDescent="0.25">
      <c r="A297" s="19" t="s">
        <v>85</v>
      </c>
      <c r="B297" t="s">
        <v>18</v>
      </c>
      <c r="C297" t="s">
        <v>10</v>
      </c>
      <c r="D297" t="s">
        <v>21</v>
      </c>
      <c r="E297" t="s">
        <v>35</v>
      </c>
      <c r="F297" t="s">
        <v>11</v>
      </c>
      <c r="G297" t="s">
        <v>12</v>
      </c>
      <c r="H297" t="s">
        <v>13</v>
      </c>
      <c r="I297" t="s">
        <v>86</v>
      </c>
    </row>
    <row r="298" spans="1:9" x14ac:dyDescent="0.25">
      <c r="A298" s="20" t="s">
        <v>8</v>
      </c>
      <c r="B298" s="35">
        <v>8667.8889620000009</v>
      </c>
      <c r="C298" s="35">
        <v>9113.3627420000012</v>
      </c>
      <c r="D298" s="35">
        <v>381.09253000000001</v>
      </c>
      <c r="E298" s="35">
        <v>395.233228</v>
      </c>
      <c r="F298" s="35">
        <v>63459.464822999995</v>
      </c>
      <c r="G298" s="35">
        <v>138535.77860300004</v>
      </c>
      <c r="H298" s="35"/>
      <c r="I298" s="35">
        <v>220552.82088800005</v>
      </c>
    </row>
    <row r="299" spans="1:9" x14ac:dyDescent="0.25">
      <c r="A299" s="20" t="s">
        <v>25</v>
      </c>
      <c r="B299" s="35">
        <v>7931.6782099999991</v>
      </c>
      <c r="C299" s="35">
        <v>28024.517481999999</v>
      </c>
      <c r="D299" s="35">
        <v>1016.6622420000001</v>
      </c>
      <c r="E299" s="35">
        <v>791.26743399999987</v>
      </c>
      <c r="F299" s="35">
        <v>84378.443734000015</v>
      </c>
      <c r="G299" s="35">
        <v>37783.527931999997</v>
      </c>
      <c r="H299" s="35">
        <v>474.65131800000006</v>
      </c>
      <c r="I299" s="35">
        <v>160400.748352</v>
      </c>
    </row>
    <row r="300" spans="1:9" x14ac:dyDescent="0.25">
      <c r="A300" s="20" t="s">
        <v>29</v>
      </c>
      <c r="B300" s="35">
        <v>24195.879564000006</v>
      </c>
      <c r="C300" s="35">
        <v>64861.805</v>
      </c>
      <c r="D300" s="35">
        <v>1913.5854710000001</v>
      </c>
      <c r="E300" s="35">
        <v>1207.794983</v>
      </c>
      <c r="F300" s="35">
        <v>212283.27219299998</v>
      </c>
      <c r="G300" s="35">
        <v>139530.57297299997</v>
      </c>
      <c r="H300" s="35">
        <v>44.503105999999995</v>
      </c>
      <c r="I300" s="35">
        <v>444037.41328999994</v>
      </c>
    </row>
    <row r="301" spans="1:9" x14ac:dyDescent="0.25">
      <c r="A301" s="20" t="s">
        <v>86</v>
      </c>
      <c r="B301" s="35">
        <v>40795.446736000005</v>
      </c>
      <c r="C301" s="35">
        <v>101999.685224</v>
      </c>
      <c r="D301" s="35">
        <v>3311.3402430000006</v>
      </c>
      <c r="E301" s="35">
        <v>2394.2956450000001</v>
      </c>
      <c r="F301" s="35">
        <v>360121.18075</v>
      </c>
      <c r="G301" s="35">
        <v>315849.87950799998</v>
      </c>
      <c r="H301" s="35">
        <v>519.15442400000006</v>
      </c>
      <c r="I301" s="35">
        <v>824990.98252999992</v>
      </c>
    </row>
    <row r="327" spans="1:1" x14ac:dyDescent="0.25">
      <c r="A327" t="s">
        <v>174</v>
      </c>
    </row>
  </sheetData>
  <mergeCells count="4">
    <mergeCell ref="B194:C194"/>
    <mergeCell ref="F235:G235"/>
    <mergeCell ref="D194:E194"/>
    <mergeCell ref="A1:E1"/>
  </mergeCells>
  <pageMargins left="0.7" right="0.7" top="0.75" bottom="0.75" header="0.3" footer="0.3"/>
  <pageSetup paperSize="9" orientation="portrait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3D82-5FF2-4681-AD6D-AC931B78788E}">
  <dimension ref="A1:AK374"/>
  <sheetViews>
    <sheetView tabSelected="1" topLeftCell="A52" workbookViewId="0">
      <selection activeCell="A340" sqref="A340"/>
    </sheetView>
  </sheetViews>
  <sheetFormatPr defaultRowHeight="15" x14ac:dyDescent="0.25"/>
  <cols>
    <col min="1" max="1" width="31" customWidth="1"/>
    <col min="2" max="2" width="28.28515625" customWidth="1"/>
    <col min="3" max="3" width="15.140625" customWidth="1"/>
    <col min="4" max="4" width="14.5703125" customWidth="1"/>
    <col min="5" max="5" width="12.42578125" customWidth="1"/>
    <col min="6" max="6" width="13.42578125" customWidth="1"/>
    <col min="7" max="8" width="12.5703125" customWidth="1"/>
    <col min="9" max="9" width="13.5703125" customWidth="1"/>
    <col min="10" max="10" width="11.7109375" customWidth="1"/>
    <col min="11" max="11" width="11.85546875" customWidth="1"/>
    <col min="12" max="12" width="13.5703125" customWidth="1"/>
    <col min="13" max="13" width="13.42578125" customWidth="1"/>
    <col min="14" max="14" width="13.5703125" customWidth="1"/>
    <col min="15" max="25" width="12" bestFit="1" customWidth="1"/>
    <col min="26" max="26" width="16" customWidth="1"/>
    <col min="27" max="37" width="12" bestFit="1" customWidth="1"/>
  </cols>
  <sheetData>
    <row r="1" spans="1:37" ht="18.75" x14ac:dyDescent="0.3">
      <c r="A1" s="66" t="s">
        <v>191</v>
      </c>
      <c r="B1" s="66"/>
      <c r="C1" s="66"/>
      <c r="D1" s="66"/>
      <c r="E1" s="66"/>
    </row>
    <row r="2" spans="1:37" x14ac:dyDescent="0.25">
      <c r="A2" s="21"/>
      <c r="B2" s="86">
        <v>2020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78">
        <v>2021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>
        <v>2022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</row>
    <row r="3" spans="1:37" x14ac:dyDescent="0.25">
      <c r="A3" s="74" t="s">
        <v>192</v>
      </c>
      <c r="B3" s="73">
        <v>1</v>
      </c>
      <c r="C3" s="73">
        <v>2</v>
      </c>
      <c r="D3" s="73">
        <v>3</v>
      </c>
      <c r="E3" s="69">
        <v>4</v>
      </c>
      <c r="F3" s="69">
        <v>5</v>
      </c>
      <c r="G3" s="69">
        <v>6</v>
      </c>
      <c r="H3" s="69">
        <v>7</v>
      </c>
      <c r="I3" s="69">
        <v>8</v>
      </c>
      <c r="J3" s="69">
        <v>9</v>
      </c>
      <c r="K3" s="69">
        <v>10</v>
      </c>
      <c r="L3" s="69">
        <v>11</v>
      </c>
      <c r="M3" s="69">
        <v>12</v>
      </c>
      <c r="N3" s="69">
        <v>1</v>
      </c>
      <c r="O3" s="69">
        <v>2</v>
      </c>
      <c r="P3" s="69">
        <v>3</v>
      </c>
      <c r="Q3" s="69">
        <v>4</v>
      </c>
      <c r="R3" s="69">
        <v>5</v>
      </c>
      <c r="S3" s="69">
        <v>6</v>
      </c>
      <c r="T3" s="69">
        <v>7</v>
      </c>
      <c r="U3" s="69">
        <v>8</v>
      </c>
      <c r="V3" s="69">
        <v>9</v>
      </c>
      <c r="W3" s="69">
        <v>10</v>
      </c>
      <c r="X3" s="69">
        <v>11</v>
      </c>
      <c r="Y3" s="69">
        <v>12</v>
      </c>
      <c r="Z3" s="69">
        <v>1</v>
      </c>
      <c r="AA3" s="69">
        <v>2</v>
      </c>
      <c r="AB3" s="69">
        <v>3</v>
      </c>
      <c r="AC3" s="69">
        <v>4</v>
      </c>
      <c r="AD3" s="69">
        <v>5</v>
      </c>
      <c r="AE3" s="69">
        <v>6</v>
      </c>
      <c r="AF3" s="69">
        <v>7</v>
      </c>
      <c r="AG3" s="69">
        <v>8</v>
      </c>
      <c r="AH3" s="69">
        <v>9</v>
      </c>
      <c r="AI3" s="69">
        <v>10</v>
      </c>
      <c r="AJ3" s="69">
        <v>11</v>
      </c>
      <c r="AK3" s="69">
        <v>12</v>
      </c>
    </row>
    <row r="4" spans="1:37" x14ac:dyDescent="0.25">
      <c r="A4" s="75" t="s">
        <v>177</v>
      </c>
      <c r="B4" s="62">
        <v>76736.703168999986</v>
      </c>
      <c r="C4" s="62">
        <v>66754.411026999966</v>
      </c>
      <c r="D4" s="62">
        <v>68140.291771000004</v>
      </c>
      <c r="E4" s="62">
        <v>62152.610894000005</v>
      </c>
      <c r="F4" s="62">
        <v>56780.285265999984</v>
      </c>
      <c r="G4" s="62">
        <v>53331.76181199999</v>
      </c>
      <c r="H4" s="62">
        <v>52147.320354999996</v>
      </c>
      <c r="I4" s="62">
        <v>53673.440489999986</v>
      </c>
      <c r="J4" s="62">
        <v>59271.082094000012</v>
      </c>
      <c r="K4" s="62">
        <v>64614.677414999998</v>
      </c>
      <c r="L4" s="62">
        <v>66150.41066899999</v>
      </c>
      <c r="M4" s="62">
        <v>65067.566494999977</v>
      </c>
      <c r="N4" s="62">
        <v>69190.692838999967</v>
      </c>
      <c r="O4" s="62">
        <v>59878.986010000001</v>
      </c>
      <c r="P4" s="62">
        <v>68476.051979999989</v>
      </c>
      <c r="Q4" s="62">
        <v>61190.150160999998</v>
      </c>
      <c r="R4" s="62">
        <v>65412.255943000004</v>
      </c>
      <c r="S4" s="62">
        <v>59387.810074000001</v>
      </c>
      <c r="T4" s="62">
        <v>67089.521093999996</v>
      </c>
      <c r="U4" s="62">
        <v>62303.908474000011</v>
      </c>
      <c r="V4" s="62">
        <v>65116.915502999997</v>
      </c>
      <c r="W4" s="62">
        <v>75724.564212000027</v>
      </c>
      <c r="X4" s="62">
        <v>70662.722645000002</v>
      </c>
      <c r="Y4" s="62">
        <v>68524.721248999966</v>
      </c>
      <c r="Z4" s="62">
        <v>77745.386758999957</v>
      </c>
      <c r="AA4" s="62">
        <v>69359.301929999958</v>
      </c>
      <c r="AB4" s="62">
        <v>97898.929907999991</v>
      </c>
      <c r="AC4" s="62">
        <v>76312.470276000022</v>
      </c>
      <c r="AD4" s="62">
        <v>68963.913113000017</v>
      </c>
      <c r="AE4" s="62">
        <v>56583.197765999976</v>
      </c>
      <c r="AF4" s="62">
        <v>62134.867870000002</v>
      </c>
      <c r="AG4" s="62">
        <v>57345.907239</v>
      </c>
      <c r="AH4" s="62">
        <v>57412.958545000001</v>
      </c>
      <c r="AI4" s="62">
        <v>71325.112869999939</v>
      </c>
      <c r="AJ4" s="62">
        <v>66521.686812</v>
      </c>
      <c r="AK4" s="62">
        <v>63387.249442000008</v>
      </c>
    </row>
    <row r="5" spans="1:37" x14ac:dyDescent="0.25">
      <c r="A5" s="21"/>
      <c r="B5" s="35"/>
      <c r="C5" s="35"/>
      <c r="D5" s="35"/>
    </row>
    <row r="6" spans="1:37" x14ac:dyDescent="0.25">
      <c r="A6" s="21"/>
      <c r="B6" s="35"/>
      <c r="C6" s="35"/>
      <c r="D6" s="35"/>
    </row>
    <row r="7" spans="1:37" x14ac:dyDescent="0.25">
      <c r="A7" s="21"/>
      <c r="B7" s="35"/>
      <c r="C7" s="35"/>
      <c r="D7" s="35"/>
    </row>
    <row r="8" spans="1:37" x14ac:dyDescent="0.25">
      <c r="A8" s="21"/>
      <c r="B8" s="35"/>
      <c r="C8" s="35"/>
      <c r="D8" s="35"/>
    </row>
    <row r="9" spans="1:37" x14ac:dyDescent="0.25">
      <c r="A9" s="21"/>
      <c r="B9" s="35"/>
      <c r="C9" s="35"/>
      <c r="D9" s="35"/>
    </row>
    <row r="10" spans="1:37" x14ac:dyDescent="0.25">
      <c r="A10" s="21"/>
      <c r="B10" s="35"/>
      <c r="C10" s="35"/>
      <c r="D10" s="35"/>
    </row>
    <row r="11" spans="1:37" x14ac:dyDescent="0.25">
      <c r="A11" s="21"/>
      <c r="B11" s="35"/>
      <c r="C11" s="35"/>
      <c r="D11" s="35"/>
    </row>
    <row r="12" spans="1:37" x14ac:dyDescent="0.25">
      <c r="A12" s="21"/>
      <c r="B12" s="35"/>
      <c r="C12" s="35"/>
      <c r="D12" s="35"/>
    </row>
    <row r="13" spans="1:37" x14ac:dyDescent="0.25">
      <c r="A13" s="21"/>
      <c r="B13" s="35"/>
      <c r="C13" s="35"/>
      <c r="D13" s="35"/>
    </row>
    <row r="27" spans="1:2" x14ac:dyDescent="0.25">
      <c r="A27" s="39"/>
      <c r="B27" s="61"/>
    </row>
    <row r="28" spans="1:2" x14ac:dyDescent="0.25">
      <c r="A28" s="21"/>
    </row>
    <row r="29" spans="1:2" x14ac:dyDescent="0.25">
      <c r="A29" s="21"/>
    </row>
    <row r="30" spans="1:2" x14ac:dyDescent="0.25">
      <c r="A30" s="21"/>
    </row>
    <row r="31" spans="1:2" x14ac:dyDescent="0.25">
      <c r="A31" s="21"/>
    </row>
    <row r="32" spans="1:2" x14ac:dyDescent="0.25">
      <c r="A32" s="21"/>
    </row>
    <row r="33" spans="1:2" x14ac:dyDescent="0.25">
      <c r="A33" s="21"/>
    </row>
    <row r="34" spans="1:2" x14ac:dyDescent="0.25">
      <c r="A34" s="21"/>
    </row>
    <row r="35" spans="1:2" x14ac:dyDescent="0.25">
      <c r="A35" s="21"/>
    </row>
    <row r="36" spans="1:2" ht="18.75" x14ac:dyDescent="0.3">
      <c r="A36" s="58" t="s">
        <v>193</v>
      </c>
    </row>
    <row r="37" spans="1:2" ht="18.75" x14ac:dyDescent="0.3">
      <c r="A37" s="58"/>
    </row>
    <row r="38" spans="1:2" x14ac:dyDescent="0.25">
      <c r="A38" s="30"/>
      <c r="B38" s="72" t="s">
        <v>190</v>
      </c>
    </row>
    <row r="39" spans="1:2" x14ac:dyDescent="0.25">
      <c r="A39" s="67" t="s">
        <v>9</v>
      </c>
      <c r="B39" s="42">
        <v>0.81689901896433226</v>
      </c>
    </row>
    <row r="40" spans="1:2" x14ac:dyDescent="0.25">
      <c r="A40" s="67" t="s">
        <v>16</v>
      </c>
      <c r="B40" s="42">
        <v>9.111891800600308E-2</v>
      </c>
    </row>
    <row r="41" spans="1:2" x14ac:dyDescent="0.25">
      <c r="A41" s="67" t="s">
        <v>47</v>
      </c>
      <c r="B41" s="42">
        <v>5.1699754086237885E-2</v>
      </c>
    </row>
    <row r="42" spans="1:2" x14ac:dyDescent="0.25">
      <c r="A42" s="67" t="s">
        <v>38</v>
      </c>
      <c r="B42" s="42">
        <v>1.6505776087785123E-2</v>
      </c>
    </row>
    <row r="43" spans="1:2" x14ac:dyDescent="0.25">
      <c r="A43" s="67" t="s">
        <v>19</v>
      </c>
      <c r="B43" s="42">
        <v>1.0576039830207745E-2</v>
      </c>
    </row>
    <row r="44" spans="1:2" x14ac:dyDescent="0.25">
      <c r="A44" s="67" t="s">
        <v>28</v>
      </c>
      <c r="B44" s="42">
        <v>3.7913504662217068E-3</v>
      </c>
    </row>
    <row r="45" spans="1:2" x14ac:dyDescent="0.25">
      <c r="A45" s="67" t="s">
        <v>33</v>
      </c>
      <c r="B45" s="42">
        <v>3.3064293891317976E-3</v>
      </c>
    </row>
    <row r="46" spans="1:2" x14ac:dyDescent="0.25">
      <c r="A46" s="67" t="s">
        <v>49</v>
      </c>
      <c r="B46" s="42">
        <v>2.535611998248392E-3</v>
      </c>
    </row>
    <row r="47" spans="1:2" x14ac:dyDescent="0.25">
      <c r="A47" s="67" t="s">
        <v>48</v>
      </c>
      <c r="B47" s="42">
        <v>1.6211402360856769E-3</v>
      </c>
    </row>
    <row r="48" spans="1:2" x14ac:dyDescent="0.25">
      <c r="A48" s="67" t="s">
        <v>44</v>
      </c>
      <c r="B48" s="42">
        <v>1.4551486737926121E-3</v>
      </c>
    </row>
    <row r="49" spans="1:2" x14ac:dyDescent="0.25">
      <c r="A49" s="67" t="s">
        <v>30</v>
      </c>
      <c r="B49" s="42">
        <v>4.908122619537975E-4</v>
      </c>
    </row>
    <row r="80" spans="1:1" ht="18.75" x14ac:dyDescent="0.3">
      <c r="A80" s="58" t="s">
        <v>194</v>
      </c>
    </row>
    <row r="81" spans="1:13" ht="18.75" x14ac:dyDescent="0.3">
      <c r="A81" s="58" t="s">
        <v>195</v>
      </c>
    </row>
    <row r="82" spans="1:13" ht="18.75" x14ac:dyDescent="0.3">
      <c r="A82" s="58"/>
    </row>
    <row r="83" spans="1:13" s="11" customFormat="1" x14ac:dyDescent="0.25">
      <c r="A83" s="30"/>
      <c r="B83" s="30">
        <v>1</v>
      </c>
      <c r="C83" s="30">
        <v>2</v>
      </c>
      <c r="D83" s="30">
        <v>3</v>
      </c>
      <c r="E83" s="30">
        <v>4</v>
      </c>
      <c r="F83" s="30">
        <v>5</v>
      </c>
      <c r="G83" s="30">
        <v>6</v>
      </c>
      <c r="H83" s="30">
        <v>7</v>
      </c>
      <c r="I83" s="30">
        <v>8</v>
      </c>
      <c r="J83" s="30">
        <v>9</v>
      </c>
      <c r="K83" s="30">
        <v>10</v>
      </c>
      <c r="L83" s="30">
        <v>11</v>
      </c>
      <c r="M83" s="30">
        <v>12</v>
      </c>
    </row>
    <row r="84" spans="1:13" x14ac:dyDescent="0.25">
      <c r="A84" s="20" t="s">
        <v>9</v>
      </c>
      <c r="B84" s="42">
        <v>0.54932163008193258</v>
      </c>
      <c r="C84" s="42">
        <v>0.59246929039589125</v>
      </c>
      <c r="D84" s="42">
        <v>0.52687777780484624</v>
      </c>
      <c r="E84" s="42">
        <v>0.58638202459037014</v>
      </c>
      <c r="F84" s="42">
        <v>0.5189862198414702</v>
      </c>
      <c r="G84" s="42">
        <v>0.55378387927937922</v>
      </c>
      <c r="H84" s="42">
        <v>0.53675920270189426</v>
      </c>
      <c r="I84" s="42">
        <v>0.58775512072024449</v>
      </c>
      <c r="J84" s="42">
        <v>0.5840552324869871</v>
      </c>
      <c r="K84" s="42">
        <v>0.59779890234838617</v>
      </c>
      <c r="L84" s="42">
        <v>0.53315577510022749</v>
      </c>
      <c r="M84" s="42">
        <v>0.58599130804816568</v>
      </c>
    </row>
    <row r="85" spans="1:13" x14ac:dyDescent="0.25">
      <c r="A85" s="20" t="s">
        <v>14</v>
      </c>
      <c r="B85" s="42">
        <v>0.3290907900792</v>
      </c>
      <c r="C85" s="42">
        <v>0.25133373013119614</v>
      </c>
      <c r="D85" s="42">
        <v>0.33270344121504464</v>
      </c>
      <c r="E85" s="42">
        <v>0.2479109964380031</v>
      </c>
      <c r="F85" s="42">
        <v>0.27765036125761322</v>
      </c>
      <c r="G85" s="42">
        <v>0.25126398467855571</v>
      </c>
      <c r="H85" s="42">
        <v>0.28070584317253233</v>
      </c>
      <c r="I85" s="42">
        <v>0.26175198720586274</v>
      </c>
      <c r="J85" s="42">
        <v>0.25620819187851379</v>
      </c>
      <c r="K85" s="42">
        <v>0.29411428321334521</v>
      </c>
      <c r="L85" s="42">
        <v>0.34056286313256101</v>
      </c>
      <c r="M85" s="42">
        <v>0.29127500834591263</v>
      </c>
    </row>
    <row r="86" spans="1:13" x14ac:dyDescent="0.25">
      <c r="A86" s="20" t="s">
        <v>16</v>
      </c>
      <c r="B86" s="42">
        <v>6.2188845326087282E-2</v>
      </c>
      <c r="C86" s="42">
        <v>7.5293034174729767E-2</v>
      </c>
      <c r="D86" s="42">
        <v>6.3605604440503088E-2</v>
      </c>
      <c r="E86" s="42">
        <v>7.7644648924856896E-2</v>
      </c>
      <c r="F86" s="42">
        <v>6.2093307795214131E-2</v>
      </c>
      <c r="G86" s="42">
        <v>5.1291020149819115E-2</v>
      </c>
      <c r="H86" s="42">
        <v>6.5230713768737097E-2</v>
      </c>
      <c r="I86" s="42">
        <v>4.625887747504627E-2</v>
      </c>
      <c r="J86" s="42">
        <v>7.9649390247259422E-2</v>
      </c>
      <c r="K86" s="42">
        <v>3.6880666707525489E-2</v>
      </c>
      <c r="L86" s="42">
        <v>6.017042954266065E-2</v>
      </c>
      <c r="M86" s="42">
        <v>5.5592149205460281E-2</v>
      </c>
    </row>
    <row r="87" spans="1:13" x14ac:dyDescent="0.25">
      <c r="A87" s="20" t="s">
        <v>38</v>
      </c>
      <c r="B87" s="42">
        <v>7.9968651558955141E-3</v>
      </c>
      <c r="C87" s="42">
        <v>8.7120995996551633E-3</v>
      </c>
      <c r="D87" s="42">
        <v>6.5959601287970317E-3</v>
      </c>
      <c r="E87" s="42">
        <v>7.4066170319048276E-3</v>
      </c>
      <c r="F87" s="42">
        <v>5.2117956294701874E-2</v>
      </c>
      <c r="G87" s="42">
        <v>6.1394330645205289E-2</v>
      </c>
      <c r="H87" s="42">
        <v>4.7377896318542133E-2</v>
      </c>
      <c r="I87" s="42">
        <v>3.9581880422394231E-2</v>
      </c>
      <c r="J87" s="42">
        <v>2.4873131681211861E-2</v>
      </c>
      <c r="K87" s="42">
        <v>1.7829466523574047E-2</v>
      </c>
      <c r="L87" s="42">
        <v>1.3352105185043541E-2</v>
      </c>
      <c r="M87" s="42">
        <v>6.1231512756659782E-3</v>
      </c>
    </row>
    <row r="88" spans="1:13" x14ac:dyDescent="0.25">
      <c r="A88" s="20" t="s">
        <v>47</v>
      </c>
      <c r="B88" s="42">
        <v>0</v>
      </c>
      <c r="C88" s="42">
        <v>9.6498081604517328E-3</v>
      </c>
      <c r="D88" s="42">
        <v>1.538895727900655E-2</v>
      </c>
      <c r="E88" s="42">
        <v>1.7468374211330892E-2</v>
      </c>
      <c r="F88" s="42">
        <v>1.8211219198276951E-2</v>
      </c>
      <c r="G88" s="42">
        <v>1.7865345281524045E-2</v>
      </c>
      <c r="H88" s="42">
        <v>1.6231749567212825E-2</v>
      </c>
      <c r="I88" s="42">
        <v>2.1276892531625454E-2</v>
      </c>
      <c r="J88" s="42">
        <v>2.0392219604071914E-2</v>
      </c>
      <c r="K88" s="42">
        <v>2.0044379232354533E-2</v>
      </c>
      <c r="L88" s="42">
        <v>2.3187687436989349E-2</v>
      </c>
      <c r="M88" s="42">
        <v>2.2132810600493352E-2</v>
      </c>
    </row>
    <row r="89" spans="1:13" x14ac:dyDescent="0.25">
      <c r="A89" s="67" t="s">
        <v>178</v>
      </c>
      <c r="B89" s="42">
        <f>SUM(B92:B106)</f>
        <v>5.1401869356884629E-2</v>
      </c>
      <c r="C89" s="42">
        <f t="shared" ref="C89:M89" si="0">SUM(C92:C106)</f>
        <v>6.2542037538076092E-2</v>
      </c>
      <c r="D89" s="42">
        <f t="shared" si="0"/>
        <v>5.4828259131802323E-2</v>
      </c>
      <c r="E89" s="42">
        <f t="shared" si="0"/>
        <v>6.3187338803534041E-2</v>
      </c>
      <c r="F89" s="42">
        <f t="shared" si="0"/>
        <v>7.0940935612723383E-2</v>
      </c>
      <c r="G89" s="42">
        <f t="shared" si="0"/>
        <v>6.4401439965516782E-2</v>
      </c>
      <c r="H89" s="42">
        <f t="shared" si="0"/>
        <v>5.3694594471081568E-2</v>
      </c>
      <c r="I89" s="42">
        <f t="shared" si="0"/>
        <v>4.337524164482693E-2</v>
      </c>
      <c r="J89" s="42">
        <f t="shared" si="0"/>
        <v>3.4821834101955815E-2</v>
      </c>
      <c r="K89" s="42">
        <f t="shared" si="0"/>
        <v>3.3332301974814627E-2</v>
      </c>
      <c r="L89" s="42">
        <f t="shared" si="0"/>
        <v>2.9571139602518066E-2</v>
      </c>
      <c r="M89" s="42">
        <f t="shared" si="0"/>
        <v>3.8885572524302053E-2</v>
      </c>
    </row>
    <row r="91" spans="1:13" x14ac:dyDescent="0.25">
      <c r="B91" s="85" t="s">
        <v>178</v>
      </c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</row>
    <row r="92" spans="1:13" x14ac:dyDescent="0.25">
      <c r="A92" s="49" t="s">
        <v>20</v>
      </c>
      <c r="B92" s="42">
        <v>4.7665590909270984E-3</v>
      </c>
      <c r="C92" s="42">
        <v>1.7763817317123794E-2</v>
      </c>
      <c r="D92" s="42">
        <v>1.6809056889236725E-2</v>
      </c>
      <c r="E92" s="42">
        <v>2.0089839700033738E-2</v>
      </c>
      <c r="F92" s="42">
        <v>2.085861456532314E-2</v>
      </c>
      <c r="G92" s="42">
        <v>1.3339907643401644E-2</v>
      </c>
      <c r="H92" s="42">
        <v>1.1430988611432161E-2</v>
      </c>
      <c r="I92" s="42">
        <v>1.0201155898552862E-2</v>
      </c>
      <c r="J92" s="42">
        <v>9.0884103453859732E-3</v>
      </c>
      <c r="K92" s="42">
        <v>1.1184838892599639E-2</v>
      </c>
      <c r="L92" s="42">
        <v>1.3849583310396655E-2</v>
      </c>
      <c r="M92" s="42">
        <v>1.6931887845127665E-2</v>
      </c>
    </row>
    <row r="93" spans="1:13" x14ac:dyDescent="0.25">
      <c r="A93" s="49" t="s">
        <v>19</v>
      </c>
      <c r="B93" s="42">
        <v>1.1381123927052103E-2</v>
      </c>
      <c r="C93" s="42">
        <v>1.1413668516481203E-2</v>
      </c>
      <c r="D93" s="42">
        <v>7.5483520765717675E-3</v>
      </c>
      <c r="E93" s="42">
        <v>1.4839696449734279E-2</v>
      </c>
      <c r="F93" s="42">
        <v>6.1674097258523136E-3</v>
      </c>
      <c r="G93" s="42">
        <v>1.3248975250361957E-2</v>
      </c>
      <c r="H93" s="42">
        <v>4.3066340573383079E-3</v>
      </c>
      <c r="I93" s="42">
        <v>5.2538579831085059E-3</v>
      </c>
      <c r="J93" s="42">
        <v>1.1444650417275428E-2</v>
      </c>
      <c r="K93" s="42">
        <v>1.0686927676189718E-2</v>
      </c>
      <c r="L93" s="42">
        <v>9.8971405124739283E-3</v>
      </c>
      <c r="M93" s="42">
        <v>9.1987473140835857E-3</v>
      </c>
    </row>
    <row r="94" spans="1:13" x14ac:dyDescent="0.25">
      <c r="A94" s="49" t="s">
        <v>33</v>
      </c>
      <c r="B94" s="42">
        <v>3.5476151235945439E-3</v>
      </c>
      <c r="C94" s="42">
        <v>5.8137319664639218E-3</v>
      </c>
      <c r="D94" s="42">
        <v>1.2153602225172451E-2</v>
      </c>
      <c r="E94" s="42">
        <v>1.2841832106549132E-2</v>
      </c>
      <c r="F94" s="42">
        <v>1.085154546196569E-2</v>
      </c>
      <c r="G94" s="42">
        <v>4.6211213153238987E-3</v>
      </c>
      <c r="H94" s="42">
        <v>3.7554516345757092E-3</v>
      </c>
      <c r="I94" s="42">
        <v>4.0856771532019115E-3</v>
      </c>
      <c r="J94" s="42">
        <v>5.3801717814212892E-3</v>
      </c>
      <c r="K94" s="42">
        <v>5.2787113304342487E-3</v>
      </c>
      <c r="L94" s="42">
        <v>0</v>
      </c>
      <c r="M94" s="42">
        <v>3.5818129224081149E-3</v>
      </c>
    </row>
    <row r="95" spans="1:13" x14ac:dyDescent="0.25">
      <c r="A95" s="49" t="s">
        <v>26</v>
      </c>
      <c r="B95" s="42">
        <v>0</v>
      </c>
      <c r="C95" s="42">
        <v>0</v>
      </c>
      <c r="D95" s="42">
        <v>0</v>
      </c>
      <c r="E95" s="42">
        <v>0</v>
      </c>
      <c r="F95" s="42">
        <v>1.6177535584239674E-2</v>
      </c>
      <c r="G95" s="42">
        <v>2.2487324701294331E-2</v>
      </c>
      <c r="H95" s="42">
        <v>1.8352813703470718E-2</v>
      </c>
      <c r="I95" s="42">
        <v>1.0902456739892014E-2</v>
      </c>
      <c r="J95" s="42">
        <v>5.2817812832516497E-3</v>
      </c>
      <c r="K95" s="42">
        <v>2.9519830672464268E-3</v>
      </c>
      <c r="L95" s="42">
        <v>0</v>
      </c>
      <c r="M95" s="42">
        <v>0</v>
      </c>
    </row>
    <row r="96" spans="1:13" x14ac:dyDescent="0.25">
      <c r="A96" s="49" t="s">
        <v>15</v>
      </c>
      <c r="B96" s="42">
        <v>1.4720479776168388E-2</v>
      </c>
      <c r="C96" s="42">
        <v>1.1828948967549888E-2</v>
      </c>
      <c r="D96" s="42">
        <v>6.2041395502455505E-3</v>
      </c>
      <c r="E96" s="42">
        <v>6.8553992487882824E-3</v>
      </c>
      <c r="F96" s="42">
        <v>8.4396270524732218E-3</v>
      </c>
      <c r="G96" s="42">
        <v>7.1313299838120705E-3</v>
      </c>
      <c r="H96" s="42">
        <v>6.6223536478297778E-3</v>
      </c>
      <c r="I96" s="42">
        <v>3.3878090387633405E-3</v>
      </c>
      <c r="J96" s="42">
        <v>0</v>
      </c>
      <c r="K96" s="42">
        <v>0</v>
      </c>
      <c r="L96" s="42">
        <v>0</v>
      </c>
      <c r="M96" s="42">
        <v>0</v>
      </c>
    </row>
    <row r="97" spans="1:13" x14ac:dyDescent="0.25">
      <c r="A97" s="49" t="s">
        <v>28</v>
      </c>
      <c r="B97" s="42">
        <v>7.1658369322943685E-3</v>
      </c>
      <c r="C97" s="42">
        <v>4.410434752955418E-3</v>
      </c>
      <c r="D97" s="42">
        <v>3.3105470435677033E-3</v>
      </c>
      <c r="E97" s="42">
        <v>0</v>
      </c>
      <c r="F97" s="42">
        <v>0</v>
      </c>
      <c r="G97" s="42">
        <v>0</v>
      </c>
      <c r="H97" s="42">
        <v>0</v>
      </c>
      <c r="I97" s="42">
        <v>1.963214794315903E-3</v>
      </c>
      <c r="J97" s="42">
        <v>2.4524607647021519E-3</v>
      </c>
      <c r="K97" s="42">
        <v>2.2208975477999537E-3</v>
      </c>
      <c r="L97" s="42">
        <v>2.4964579867544907E-3</v>
      </c>
      <c r="M97" s="42">
        <v>2.440089636656271E-3</v>
      </c>
    </row>
    <row r="98" spans="1:13" x14ac:dyDescent="0.25">
      <c r="A98" s="49" t="s">
        <v>30</v>
      </c>
      <c r="B98" s="42">
        <v>1.5125739519537458E-3</v>
      </c>
      <c r="C98" s="42">
        <v>2.2523183348177708E-3</v>
      </c>
      <c r="D98" s="42">
        <v>2.5843544684695666E-3</v>
      </c>
      <c r="E98" s="42">
        <v>2.3813597851709239E-3</v>
      </c>
      <c r="F98" s="42">
        <v>1.7379508736763151E-3</v>
      </c>
      <c r="G98" s="42">
        <v>1.5137880962650466E-3</v>
      </c>
      <c r="H98" s="42">
        <v>1.1206428307142129E-3</v>
      </c>
      <c r="I98" s="42">
        <v>1.3572087900813334E-3</v>
      </c>
      <c r="J98" s="42">
        <v>1.1743595099193247E-3</v>
      </c>
      <c r="K98" s="42">
        <v>1.0089434605446447E-3</v>
      </c>
      <c r="L98" s="42">
        <v>1.1500448804814779E-3</v>
      </c>
      <c r="M98" s="42">
        <v>1.3070967363958991E-3</v>
      </c>
    </row>
    <row r="99" spans="1:13" x14ac:dyDescent="0.25">
      <c r="A99" s="49" t="s">
        <v>31</v>
      </c>
      <c r="B99" s="42">
        <v>4.2666279420748351E-3</v>
      </c>
      <c r="C99" s="42">
        <v>4.7196449972814088E-3</v>
      </c>
      <c r="D99" s="42">
        <v>3.1021773111646177E-3</v>
      </c>
      <c r="E99" s="42">
        <v>3.899830873079047E-3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</row>
    <row r="100" spans="1:13" x14ac:dyDescent="0.25">
      <c r="A100" s="49" t="s">
        <v>32</v>
      </c>
      <c r="B100" s="42">
        <v>4.0410526128195432E-3</v>
      </c>
      <c r="C100" s="42">
        <v>4.3394726854026899E-3</v>
      </c>
      <c r="D100" s="42">
        <v>3.1160295673739458E-3</v>
      </c>
      <c r="E100" s="42">
        <v>0</v>
      </c>
      <c r="F100" s="42">
        <v>0</v>
      </c>
      <c r="G100" s="42">
        <v>0</v>
      </c>
      <c r="H100" s="42">
        <v>0</v>
      </c>
      <c r="I100" s="42">
        <v>0</v>
      </c>
      <c r="J100" s="42">
        <v>0</v>
      </c>
      <c r="K100" s="42">
        <v>0</v>
      </c>
      <c r="L100" s="42">
        <v>0</v>
      </c>
      <c r="M100" s="42">
        <v>0</v>
      </c>
    </row>
    <row r="101" spans="1:13" x14ac:dyDescent="0.25">
      <c r="A101" s="49" t="s">
        <v>49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4.2981091682760958E-3</v>
      </c>
      <c r="I101" s="42">
        <v>6.2238612469110565E-3</v>
      </c>
      <c r="J101" s="42">
        <v>0</v>
      </c>
      <c r="K101" s="42">
        <v>0</v>
      </c>
      <c r="L101" s="42">
        <v>0</v>
      </c>
      <c r="M101" s="42">
        <v>0</v>
      </c>
    </row>
    <row r="102" spans="1:13" x14ac:dyDescent="0.25">
      <c r="A102" s="49" t="s">
        <v>48</v>
      </c>
      <c r="B102" s="42">
        <v>0</v>
      </c>
      <c r="C102" s="42">
        <v>0</v>
      </c>
      <c r="D102" s="42">
        <v>0</v>
      </c>
      <c r="E102" s="42">
        <v>0</v>
      </c>
      <c r="F102" s="42">
        <v>6.7082523491930222E-3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</row>
    <row r="103" spans="1:13" x14ac:dyDescent="0.25">
      <c r="A103" s="49" t="s">
        <v>44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5.42593806963052E-3</v>
      </c>
    </row>
    <row r="104" spans="1:13" x14ac:dyDescent="0.25">
      <c r="A104" s="49" t="s">
        <v>39</v>
      </c>
      <c r="B104" s="42">
        <v>0</v>
      </c>
      <c r="C104" s="42">
        <v>0</v>
      </c>
      <c r="D104" s="42">
        <v>0</v>
      </c>
      <c r="E104" s="42">
        <v>2.2793806401786459E-3</v>
      </c>
      <c r="F104" s="42">
        <v>0</v>
      </c>
      <c r="G104" s="42">
        <v>0</v>
      </c>
      <c r="H104" s="42">
        <v>0</v>
      </c>
      <c r="I104" s="42">
        <v>0</v>
      </c>
      <c r="J104" s="42">
        <v>0</v>
      </c>
      <c r="K104" s="42">
        <v>0</v>
      </c>
      <c r="L104" s="42">
        <v>2.1779129124115141E-3</v>
      </c>
      <c r="M104" s="42">
        <v>0</v>
      </c>
    </row>
    <row r="105" spans="1:13" x14ac:dyDescent="0.25">
      <c r="A105" s="49" t="s">
        <v>50</v>
      </c>
      <c r="B105" s="42">
        <v>0</v>
      </c>
      <c r="C105" s="42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3.8076008174445885E-3</v>
      </c>
      <c r="I105" s="42">
        <v>0</v>
      </c>
      <c r="J105" s="42">
        <v>0</v>
      </c>
      <c r="K105" s="42">
        <v>0</v>
      </c>
      <c r="L105" s="42">
        <v>0</v>
      </c>
      <c r="M105" s="42">
        <v>0</v>
      </c>
    </row>
    <row r="106" spans="1:13" x14ac:dyDescent="0.25">
      <c r="A106" s="49" t="s">
        <v>41</v>
      </c>
      <c r="B106" s="42">
        <v>0</v>
      </c>
      <c r="C106" s="42">
        <v>0</v>
      </c>
      <c r="D106" s="42">
        <v>0</v>
      </c>
      <c r="E106" s="42">
        <v>0</v>
      </c>
      <c r="F106" s="42">
        <v>0</v>
      </c>
      <c r="G106" s="42">
        <v>2.0589929750578378E-3</v>
      </c>
      <c r="H106" s="42">
        <v>0</v>
      </c>
      <c r="I106" s="42">
        <v>0</v>
      </c>
      <c r="J106" s="42">
        <v>0</v>
      </c>
      <c r="K106" s="42">
        <v>0</v>
      </c>
      <c r="L106" s="42">
        <v>0</v>
      </c>
      <c r="M106" s="42">
        <v>0</v>
      </c>
    </row>
    <row r="141" spans="1:13" ht="18.75" x14ac:dyDescent="0.3">
      <c r="A141" s="58" t="s">
        <v>196</v>
      </c>
    </row>
    <row r="142" spans="1:13" ht="18.75" x14ac:dyDescent="0.3">
      <c r="A142" s="58"/>
    </row>
    <row r="143" spans="1:13" x14ac:dyDescent="0.25">
      <c r="A143" s="65"/>
      <c r="B143" s="78" t="s">
        <v>8</v>
      </c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</row>
    <row r="144" spans="1:13" x14ac:dyDescent="0.25">
      <c r="A144" s="67" t="s">
        <v>200</v>
      </c>
      <c r="B144" s="35">
        <v>20356.467718</v>
      </c>
      <c r="C144" s="35">
        <v>16939.320687999996</v>
      </c>
      <c r="D144" s="35">
        <v>26874.280325</v>
      </c>
      <c r="E144" s="35">
        <v>18527.887555999998</v>
      </c>
      <c r="F144" s="35">
        <v>19220.053605000001</v>
      </c>
      <c r="G144" s="35">
        <v>16706.320423000001</v>
      </c>
      <c r="H144" s="35">
        <v>16857.606899999999</v>
      </c>
      <c r="I144" s="35">
        <v>14869.505749000002</v>
      </c>
      <c r="J144" s="35">
        <v>15795.375814999999</v>
      </c>
      <c r="K144" s="35">
        <v>19046.856759000002</v>
      </c>
      <c r="L144" s="35">
        <v>18995.608098000001</v>
      </c>
      <c r="M144" s="35">
        <v>16363.537252</v>
      </c>
    </row>
    <row r="145" spans="1:13" x14ac:dyDescent="0.25">
      <c r="A145" s="69" t="s">
        <v>201</v>
      </c>
      <c r="B145" s="2">
        <f>B144/SUM(B144,B148,B152)</f>
        <v>0.26183505628574782</v>
      </c>
      <c r="C145" s="2">
        <f t="shared" ref="C145:M145" si="1">C144/SUM(C144,C148,C152)</f>
        <v>0.24422565130623425</v>
      </c>
      <c r="D145" s="2">
        <f t="shared" si="1"/>
        <v>0.27451046043358152</v>
      </c>
      <c r="E145" s="2">
        <f t="shared" si="1"/>
        <v>0.24278977589101777</v>
      </c>
      <c r="F145" s="2">
        <f t="shared" si="1"/>
        <v>0.27869725973216186</v>
      </c>
      <c r="G145" s="2">
        <f t="shared" si="1"/>
        <v>0.29525232016912589</v>
      </c>
      <c r="H145" s="2">
        <f t="shared" si="1"/>
        <v>0.271306715180756</v>
      </c>
      <c r="I145" s="2">
        <f t="shared" si="1"/>
        <v>0.25929497787921463</v>
      </c>
      <c r="J145" s="2">
        <f t="shared" si="1"/>
        <v>0.27511865291909071</v>
      </c>
      <c r="K145" s="2">
        <f t="shared" si="1"/>
        <v>0.26704278468813025</v>
      </c>
      <c r="L145" s="2">
        <f t="shared" si="1"/>
        <v>0.28555511756165119</v>
      </c>
      <c r="M145" s="2">
        <f t="shared" si="1"/>
        <v>0.25815187432880815</v>
      </c>
    </row>
    <row r="146" spans="1:13" x14ac:dyDescent="0.25">
      <c r="A146" s="69"/>
    </row>
    <row r="147" spans="1:13" x14ac:dyDescent="0.25">
      <c r="A147" s="69"/>
      <c r="B147" s="78" t="s">
        <v>25</v>
      </c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</row>
    <row r="148" spans="1:13" x14ac:dyDescent="0.25">
      <c r="A148" s="67" t="s">
        <v>203</v>
      </c>
      <c r="B148" s="35">
        <v>15251.518168000002</v>
      </c>
      <c r="C148" s="35">
        <v>14710.646397999999</v>
      </c>
      <c r="D148" s="35">
        <v>17300.943962999998</v>
      </c>
      <c r="E148" s="35">
        <v>16078.340585</v>
      </c>
      <c r="F148" s="35">
        <v>14562.738644999999</v>
      </c>
      <c r="G148" s="35">
        <v>11511.71573</v>
      </c>
      <c r="H148" s="35">
        <v>12156.878778</v>
      </c>
      <c r="I148" s="35">
        <v>11636.874873000001</v>
      </c>
      <c r="J148" s="35">
        <v>11816.667903000001</v>
      </c>
      <c r="K148" s="35">
        <v>12252.461112999999</v>
      </c>
      <c r="L148" s="35">
        <v>11277.618785000001</v>
      </c>
      <c r="M148" s="35">
        <v>11844.343411000002</v>
      </c>
    </row>
    <row r="149" spans="1:13" x14ac:dyDescent="0.25">
      <c r="A149" s="69" t="s">
        <v>204</v>
      </c>
      <c r="B149" s="2">
        <f>B148/SUM(B144,B148,B152)</f>
        <v>0.19617264514070282</v>
      </c>
      <c r="C149" s="2">
        <v>1.7831281443691487E-2</v>
      </c>
      <c r="D149" s="2">
        <v>2.0971070386664334E-2</v>
      </c>
      <c r="E149" s="2">
        <v>1.9489110699964923E-2</v>
      </c>
      <c r="F149" s="2">
        <v>1.7651997359220149E-2</v>
      </c>
      <c r="G149" s="2">
        <v>1.3953747342421873E-2</v>
      </c>
      <c r="H149" s="2">
        <v>1.4735771705914282E-2</v>
      </c>
      <c r="I149" s="2">
        <v>1.4105457052770677E-2</v>
      </c>
      <c r="J149" s="2">
        <v>1.4323390380294608E-2</v>
      </c>
      <c r="K149" s="2">
        <v>1.4851630348037711E-2</v>
      </c>
      <c r="L149" s="2">
        <v>1.3669990368155204E-2</v>
      </c>
      <c r="M149" s="2">
        <v>1.435693681726914E-2</v>
      </c>
    </row>
    <row r="150" spans="1:13" x14ac:dyDescent="0.25">
      <c r="A150" s="69"/>
    </row>
    <row r="151" spans="1:13" x14ac:dyDescent="0.25">
      <c r="A151" s="69"/>
      <c r="B151" s="78" t="s">
        <v>29</v>
      </c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</row>
    <row r="152" spans="1:13" x14ac:dyDescent="0.25">
      <c r="A152" s="67" t="s">
        <v>205</v>
      </c>
      <c r="B152" s="35">
        <v>42137.400872999999</v>
      </c>
      <c r="C152" s="35">
        <v>37709.334843999997</v>
      </c>
      <c r="D152" s="35">
        <v>53723.705620000001</v>
      </c>
      <c r="E152" s="35">
        <v>41706.242135</v>
      </c>
      <c r="F152" s="35">
        <v>35181.120862999996</v>
      </c>
      <c r="G152" s="35">
        <v>28365.161613000004</v>
      </c>
      <c r="H152" s="35">
        <v>33120.382192000005</v>
      </c>
      <c r="I152" s="35">
        <v>30839.526617000003</v>
      </c>
      <c r="J152" s="35">
        <v>29800.914827000008</v>
      </c>
      <c r="K152" s="35">
        <v>40025.794998000005</v>
      </c>
      <c r="L152" s="35">
        <v>36248.459929000004</v>
      </c>
      <c r="M152" s="35">
        <v>35179.368778999997</v>
      </c>
    </row>
    <row r="153" spans="1:13" x14ac:dyDescent="0.25">
      <c r="A153" s="69" t="s">
        <v>206</v>
      </c>
      <c r="B153" s="2">
        <f>B152/SUM(B144,B148,B152)</f>
        <v>0.54199229857354936</v>
      </c>
      <c r="C153" s="2">
        <v>4.5708784268594996E-2</v>
      </c>
      <c r="D153" s="2">
        <v>6.5120354958602689E-2</v>
      </c>
      <c r="E153" s="2">
        <v>5.0553573333734454E-2</v>
      </c>
      <c r="F153" s="2">
        <v>4.2644248977255536E-2</v>
      </c>
      <c r="G153" s="2">
        <v>3.4382389885053717E-2</v>
      </c>
      <c r="H153" s="2">
        <v>4.0146356618868388E-2</v>
      </c>
      <c r="I153" s="2">
        <v>3.7381652975677887E-2</v>
      </c>
      <c r="J153" s="2">
        <v>3.6122715833341028E-2</v>
      </c>
      <c r="K153" s="2">
        <v>4.8516645448963433E-2</v>
      </c>
      <c r="L153" s="2">
        <v>4.3938007440804797E-2</v>
      </c>
      <c r="M153" s="2">
        <v>4.2642125215860437E-2</v>
      </c>
    </row>
    <row r="182" spans="1:4" x14ac:dyDescent="0.25">
      <c r="A182" s="70"/>
      <c r="B182" s="70" t="s">
        <v>8</v>
      </c>
      <c r="C182" s="70" t="s">
        <v>25</v>
      </c>
      <c r="D182" s="70" t="s">
        <v>29</v>
      </c>
    </row>
    <row r="183" spans="1:4" x14ac:dyDescent="0.25">
      <c r="A183" s="67" t="s">
        <v>202</v>
      </c>
      <c r="B183" s="35">
        <v>220552.82088800005</v>
      </c>
      <c r="C183" s="35">
        <v>160400.74835200002</v>
      </c>
      <c r="D183" s="35">
        <v>444037.41329000023</v>
      </c>
    </row>
    <row r="184" spans="1:4" x14ac:dyDescent="0.25">
      <c r="A184" s="67" t="s">
        <v>190</v>
      </c>
      <c r="B184" s="42">
        <v>0.26733967468544995</v>
      </c>
      <c r="C184" s="42">
        <v>0.19442727465953499</v>
      </c>
      <c r="D184" s="42">
        <v>0.53823305065501492</v>
      </c>
    </row>
    <row r="212" spans="1:13" ht="18.75" x14ac:dyDescent="0.3">
      <c r="A212" s="58" t="s">
        <v>197</v>
      </c>
    </row>
    <row r="214" spans="1:13" x14ac:dyDescent="0.25">
      <c r="A214" s="30"/>
      <c r="B214" s="63">
        <v>1</v>
      </c>
      <c r="C214" s="63">
        <v>2</v>
      </c>
      <c r="D214" s="63">
        <v>3</v>
      </c>
      <c r="E214" s="63">
        <v>4</v>
      </c>
      <c r="F214" s="63">
        <v>5</v>
      </c>
      <c r="G214" s="63">
        <v>6</v>
      </c>
      <c r="H214" s="63">
        <v>7</v>
      </c>
      <c r="I214" s="63">
        <v>8</v>
      </c>
      <c r="J214" s="63">
        <v>9</v>
      </c>
      <c r="K214" s="63">
        <v>10</v>
      </c>
      <c r="L214" s="63">
        <v>11</v>
      </c>
      <c r="M214" s="63">
        <v>12</v>
      </c>
    </row>
    <row r="215" spans="1:13" x14ac:dyDescent="0.25">
      <c r="A215" s="64" t="s">
        <v>9</v>
      </c>
      <c r="B215" s="61">
        <v>76.839445910290237</v>
      </c>
      <c r="C215" s="61">
        <v>63.321102150537634</v>
      </c>
      <c r="D215" s="61">
        <v>103.86774647887323</v>
      </c>
      <c r="E215" s="61">
        <v>79.89057437407952</v>
      </c>
      <c r="F215" s="61">
        <v>63.113737075332345</v>
      </c>
      <c r="G215" s="61">
        <v>83.502496328928046</v>
      </c>
      <c r="H215" s="61">
        <v>58.117584097859321</v>
      </c>
      <c r="I215" s="61">
        <v>48.147169811320758</v>
      </c>
      <c r="J215" s="61">
        <v>65.685204991087346</v>
      </c>
      <c r="K215" s="61">
        <v>104.26282051282051</v>
      </c>
      <c r="L215" s="61">
        <v>79.666452648475115</v>
      </c>
      <c r="M215" s="61">
        <v>44.291946308724832</v>
      </c>
    </row>
    <row r="216" spans="1:13" x14ac:dyDescent="0.25">
      <c r="A216" s="64" t="s">
        <v>14</v>
      </c>
      <c r="B216" s="61">
        <v>61.715247252747247</v>
      </c>
      <c r="C216" s="61">
        <v>51.656772334293954</v>
      </c>
      <c r="D216" s="61">
        <v>66.973333333333329</v>
      </c>
      <c r="E216" s="61">
        <v>46.028909952606632</v>
      </c>
      <c r="F216" s="61">
        <v>52.668412942989221</v>
      </c>
      <c r="G216" s="61">
        <v>42.811949685534593</v>
      </c>
      <c r="H216" s="61">
        <v>64.644019138755979</v>
      </c>
      <c r="I216" s="61">
        <v>45.285161290322577</v>
      </c>
      <c r="J216" s="61">
        <v>62.648392282958206</v>
      </c>
      <c r="K216" s="61">
        <v>52.512559618441976</v>
      </c>
      <c r="L216" s="61">
        <v>82.431825273010915</v>
      </c>
      <c r="M216" s="61">
        <v>67.817235772357719</v>
      </c>
    </row>
    <row r="244" spans="1:13" ht="18.75" x14ac:dyDescent="0.3">
      <c r="A244" s="58" t="s">
        <v>198</v>
      </c>
    </row>
    <row r="245" spans="1:13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</row>
    <row r="246" spans="1:13" x14ac:dyDescent="0.25">
      <c r="B246" s="70">
        <v>1</v>
      </c>
      <c r="C246" s="70">
        <v>2</v>
      </c>
      <c r="D246" s="70">
        <v>3</v>
      </c>
      <c r="E246" s="70">
        <v>4</v>
      </c>
      <c r="F246" s="70">
        <v>5</v>
      </c>
      <c r="G246" s="70">
        <v>6</v>
      </c>
      <c r="H246" s="70">
        <v>7</v>
      </c>
      <c r="I246" s="70">
        <v>8</v>
      </c>
      <c r="J246" s="70">
        <v>9</v>
      </c>
      <c r="K246" s="70">
        <v>10</v>
      </c>
      <c r="L246" s="70">
        <v>11</v>
      </c>
      <c r="M246" s="70">
        <v>12</v>
      </c>
    </row>
    <row r="247" spans="1:13" x14ac:dyDescent="0.25">
      <c r="A247" s="71" t="s">
        <v>179</v>
      </c>
      <c r="B247" s="68">
        <v>96.534432416562652</v>
      </c>
      <c r="C247" s="68">
        <v>99.807138326799105</v>
      </c>
      <c r="D247" s="68">
        <v>99.757969465503933</v>
      </c>
      <c r="E247" s="68">
        <v>104.78584350464645</v>
      </c>
      <c r="F247" s="68">
        <v>106.91605661392997</v>
      </c>
      <c r="G247" s="68">
        <v>99.911649005015363</v>
      </c>
      <c r="H247" s="68">
        <v>105.32925028085529</v>
      </c>
      <c r="I247" s="68">
        <v>110.01598864853567</v>
      </c>
      <c r="J247" s="68">
        <v>99.956758834607882</v>
      </c>
      <c r="K247" s="68">
        <v>92.156632984936977</v>
      </c>
      <c r="L247" s="68">
        <v>91.484283952756485</v>
      </c>
      <c r="M247" s="68">
        <v>117.36778225623154</v>
      </c>
    </row>
    <row r="248" spans="1:13" x14ac:dyDescent="0.25">
      <c r="A248" s="71" t="s">
        <v>180</v>
      </c>
      <c r="B248" s="68">
        <v>169.41427657599706</v>
      </c>
      <c r="C248" s="68">
        <v>166.32290955598077</v>
      </c>
      <c r="D248" s="68">
        <v>199.54631607936821</v>
      </c>
      <c r="E248" s="68">
        <v>216.37316450613156</v>
      </c>
      <c r="F248" s="68">
        <v>199.79739732840281</v>
      </c>
      <c r="G248" s="68">
        <v>206.03666741343596</v>
      </c>
      <c r="H248" s="68">
        <v>178.55070675370945</v>
      </c>
      <c r="I248" s="68">
        <v>205.40587734357194</v>
      </c>
      <c r="J248" s="68">
        <v>191.90380970711337</v>
      </c>
      <c r="K248" s="68">
        <v>205.8006276944875</v>
      </c>
      <c r="L248" s="68">
        <v>178.0593398601028</v>
      </c>
      <c r="M248" s="68">
        <v>191.52493416068054</v>
      </c>
    </row>
    <row r="249" spans="1:13" x14ac:dyDescent="0.25">
      <c r="A249" s="69" t="s">
        <v>181</v>
      </c>
      <c r="B249" s="68">
        <v>76.839445910290237</v>
      </c>
      <c r="C249" s="68">
        <v>63.321102150537634</v>
      </c>
      <c r="D249" s="68">
        <v>103.86774647887323</v>
      </c>
      <c r="E249" s="68">
        <v>79.89057437407952</v>
      </c>
      <c r="F249" s="68">
        <v>63.113737075332345</v>
      </c>
      <c r="G249" s="68">
        <v>83.502496328928046</v>
      </c>
      <c r="H249" s="68">
        <v>58.117584097859321</v>
      </c>
      <c r="I249" s="68">
        <v>48.147169811320758</v>
      </c>
      <c r="J249" s="68">
        <v>65.685204991087346</v>
      </c>
      <c r="K249" s="68">
        <v>104.26282051282051</v>
      </c>
      <c r="L249" s="68">
        <v>79.666452648475115</v>
      </c>
      <c r="M249" s="68">
        <v>44.291946308724832</v>
      </c>
    </row>
    <row r="250" spans="1:13" x14ac:dyDescent="0.25">
      <c r="A250" s="69" t="s">
        <v>182</v>
      </c>
      <c r="B250" s="68">
        <v>61.715247252747247</v>
      </c>
      <c r="C250" s="68">
        <v>51.656772334293954</v>
      </c>
      <c r="D250" s="68">
        <v>66.973333333333329</v>
      </c>
      <c r="E250" s="68">
        <v>46.028909952606632</v>
      </c>
      <c r="F250" s="68">
        <v>52.668412942989221</v>
      </c>
      <c r="G250" s="68">
        <v>42.811949685534593</v>
      </c>
      <c r="H250" s="68">
        <v>64.644019138755979</v>
      </c>
      <c r="I250" s="68">
        <v>45.285161290322577</v>
      </c>
      <c r="J250" s="68">
        <v>62.648392282958206</v>
      </c>
      <c r="K250" s="68">
        <v>52.512559618441976</v>
      </c>
      <c r="L250" s="68">
        <v>82.431825273010915</v>
      </c>
      <c r="M250" s="68">
        <v>67.817235772357719</v>
      </c>
    </row>
    <row r="251" spans="1:13" x14ac:dyDescent="0.25">
      <c r="A251" s="69" t="s">
        <v>183</v>
      </c>
      <c r="B251" s="68">
        <v>5622.5804420000004</v>
      </c>
      <c r="C251" s="68">
        <v>4702.004113</v>
      </c>
      <c r="D251" s="68">
        <v>7356.7611919999999</v>
      </c>
      <c r="E251" s="68">
        <v>5684.181431</v>
      </c>
      <c r="F251" s="68">
        <v>4568.3092669999996</v>
      </c>
      <c r="G251" s="68">
        <v>5681.495903</v>
      </c>
      <c r="H251" s="68">
        <v>4003.4489410000001</v>
      </c>
      <c r="I251" s="68">
        <v>3368.8655979999999</v>
      </c>
      <c r="J251" s="68">
        <v>3683.3465890000002</v>
      </c>
      <c r="K251" s="68">
        <v>5995.7105419999998</v>
      </c>
      <c r="L251" s="68">
        <v>4540.5662780000002</v>
      </c>
      <c r="M251" s="68">
        <v>3098.2747159999999</v>
      </c>
    </row>
    <row r="252" spans="1:13" x14ac:dyDescent="0.25">
      <c r="A252" s="69" t="s">
        <v>184</v>
      </c>
      <c r="B252" s="68">
        <v>7611.5632079999996</v>
      </c>
      <c r="C252" s="68">
        <v>5962.643043</v>
      </c>
      <c r="D252" s="68">
        <v>9020.8903109999992</v>
      </c>
      <c r="E252" s="68">
        <v>6304.3134330000003</v>
      </c>
      <c r="F252" s="68">
        <v>6829.4346759999999</v>
      </c>
      <c r="G252" s="68">
        <v>5610.0487949999997</v>
      </c>
      <c r="H252" s="68">
        <v>7236.9815360000002</v>
      </c>
      <c r="I252" s="68">
        <v>5767.1397370000004</v>
      </c>
      <c r="J252" s="68">
        <v>7477.9733239999996</v>
      </c>
      <c r="K252" s="68">
        <v>6797.6770530000003</v>
      </c>
      <c r="L252" s="68">
        <v>9408.4418470000001</v>
      </c>
      <c r="M252" s="68">
        <v>7988.0453440000001</v>
      </c>
    </row>
    <row r="330" spans="1:16" s="62" customForma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6" spans="1:16" ht="18.75" x14ac:dyDescent="0.3">
      <c r="A336" s="58" t="s">
        <v>199</v>
      </c>
    </row>
    <row r="337" spans="1:28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 spans="1:28" x14ac:dyDescent="0.25">
      <c r="A338" s="12"/>
      <c r="B338" s="83">
        <v>2020</v>
      </c>
      <c r="C338" s="83"/>
      <c r="D338" s="83"/>
      <c r="E338" s="84">
        <v>2021</v>
      </c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>
        <v>2022</v>
      </c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 spans="1:28" x14ac:dyDescent="0.25">
      <c r="A339" s="30"/>
      <c r="B339" s="70">
        <v>10</v>
      </c>
      <c r="C339" s="70">
        <v>11</v>
      </c>
      <c r="D339" s="70">
        <v>12</v>
      </c>
      <c r="E339" s="70">
        <v>1</v>
      </c>
      <c r="F339" s="70">
        <v>2</v>
      </c>
      <c r="G339" s="70">
        <v>3</v>
      </c>
      <c r="H339" s="70">
        <v>4</v>
      </c>
      <c r="I339" s="70">
        <v>5</v>
      </c>
      <c r="J339" s="70">
        <v>6</v>
      </c>
      <c r="K339" s="70">
        <v>7</v>
      </c>
      <c r="L339" s="70">
        <v>8</v>
      </c>
      <c r="M339" s="70">
        <v>9</v>
      </c>
      <c r="N339" s="70">
        <v>10</v>
      </c>
      <c r="O339" s="70">
        <v>11</v>
      </c>
      <c r="P339" s="70">
        <v>12</v>
      </c>
      <c r="Q339" s="70">
        <v>1</v>
      </c>
      <c r="R339" s="70">
        <v>2</v>
      </c>
      <c r="S339" s="70">
        <v>3</v>
      </c>
      <c r="T339" s="70">
        <v>4</v>
      </c>
      <c r="U339" s="70">
        <v>5</v>
      </c>
      <c r="V339" s="70">
        <v>6</v>
      </c>
      <c r="W339" s="70">
        <v>7</v>
      </c>
      <c r="X339" s="70">
        <v>8</v>
      </c>
      <c r="Y339" s="70">
        <v>9</v>
      </c>
      <c r="Z339" s="70">
        <v>10</v>
      </c>
      <c r="AA339" s="70">
        <v>11</v>
      </c>
      <c r="AB339" s="70">
        <v>12</v>
      </c>
    </row>
    <row r="340" spans="1:28" x14ac:dyDescent="0.25">
      <c r="A340" s="67" t="s">
        <v>185</v>
      </c>
      <c r="B340" s="35">
        <v>53.986843802399072</v>
      </c>
      <c r="C340" s="35">
        <v>70.368116528424039</v>
      </c>
      <c r="D340" s="35">
        <v>61.431788316322525</v>
      </c>
      <c r="E340" s="35">
        <v>66.659717144506445</v>
      </c>
      <c r="F340" s="35">
        <v>62.697971275467978</v>
      </c>
      <c r="G340" s="35">
        <v>66.887783584629858</v>
      </c>
      <c r="H340" s="35">
        <v>70.362718955331303</v>
      </c>
      <c r="I340" s="35">
        <v>64.161453773710036</v>
      </c>
      <c r="J340" s="35">
        <v>63.119698037541816</v>
      </c>
      <c r="K340" s="35">
        <v>57.010667409824393</v>
      </c>
      <c r="L340" s="35">
        <v>60.486673430812566</v>
      </c>
      <c r="M340" s="35">
        <v>62.467099213242065</v>
      </c>
      <c r="N340" s="35">
        <v>69.478412291079977</v>
      </c>
      <c r="O340" s="35">
        <v>67.713158113804397</v>
      </c>
      <c r="P340" s="35">
        <v>70.711679555819956</v>
      </c>
      <c r="Q340" s="35">
        <v>72.906472244049453</v>
      </c>
      <c r="R340" s="35">
        <v>68.034418310132466</v>
      </c>
      <c r="S340" s="35">
        <v>68.427326959423269</v>
      </c>
      <c r="T340" s="35">
        <v>78.268396450105016</v>
      </c>
      <c r="U340" s="35">
        <v>80.615579249118809</v>
      </c>
      <c r="V340" s="35">
        <v>80.170302713987468</v>
      </c>
      <c r="W340" s="35">
        <v>76.779006996483986</v>
      </c>
      <c r="X340" s="35">
        <v>70.20399623601017</v>
      </c>
      <c r="Y340" s="35">
        <v>62.616090558491649</v>
      </c>
      <c r="Z340" s="35">
        <v>73.956079917326903</v>
      </c>
      <c r="AA340" s="35">
        <v>71.596434667172389</v>
      </c>
      <c r="AB340" s="35">
        <v>81.993138936535161</v>
      </c>
    </row>
    <row r="341" spans="1:28" x14ac:dyDescent="0.25">
      <c r="A341" s="67" t="s">
        <v>186</v>
      </c>
      <c r="B341" s="35">
        <v>59.638461538461534</v>
      </c>
      <c r="C341" s="35">
        <v>14.538235294117648</v>
      </c>
      <c r="D341" s="35">
        <v>78.863034188034192</v>
      </c>
      <c r="E341" s="35">
        <v>61.021526418786692</v>
      </c>
      <c r="F341" s="35">
        <v>50.1719489981785</v>
      </c>
      <c r="G341" s="35">
        <v>45.986187845303867</v>
      </c>
      <c r="H341" s="35">
        <v>35.567771639042363</v>
      </c>
      <c r="I341" s="35">
        <v>41.961038961038959</v>
      </c>
      <c r="J341" s="35">
        <v>34.265646258503402</v>
      </c>
      <c r="K341" s="35">
        <v>37.497387518142233</v>
      </c>
      <c r="L341" s="35">
        <v>29.688226299694186</v>
      </c>
      <c r="M341" s="35">
        <v>31.290586145648309</v>
      </c>
      <c r="N341" s="35">
        <v>25.645726495726496</v>
      </c>
      <c r="O341" s="35">
        <v>28.663557483731022</v>
      </c>
      <c r="P341" s="35">
        <v>24.743691588785044</v>
      </c>
      <c r="Q341" s="35">
        <v>24.461557177615568</v>
      </c>
      <c r="R341" s="35">
        <v>24.977806122448978</v>
      </c>
      <c r="S341" s="35">
        <v>47.915339233038353</v>
      </c>
      <c r="T341" s="35">
        <v>23.808064516129033</v>
      </c>
      <c r="U341" s="35">
        <v>21.914423076923079</v>
      </c>
      <c r="V341" s="35">
        <v>18.247619047619047</v>
      </c>
      <c r="W341" s="35">
        <v>18.708970099667777</v>
      </c>
      <c r="X341" s="35">
        <v>16.931186440677966</v>
      </c>
      <c r="Y341" s="35">
        <v>18.184415584415582</v>
      </c>
      <c r="Z341" s="35">
        <v>12.621739130434783</v>
      </c>
      <c r="AA341" s="35">
        <v>14.64722222222222</v>
      </c>
      <c r="AB341" s="35">
        <v>7.95</v>
      </c>
    </row>
    <row r="342" spans="1:28" x14ac:dyDescent="0.25">
      <c r="A342" s="67" t="s">
        <v>187</v>
      </c>
      <c r="B342" s="35">
        <v>41.856000000000002</v>
      </c>
      <c r="C342" s="35">
        <v>173.91480000000001</v>
      </c>
      <c r="D342" s="35">
        <v>2267.3182999999999</v>
      </c>
      <c r="E342" s="35">
        <v>2078.5832999999998</v>
      </c>
      <c r="F342" s="35">
        <v>1726.9780000000001</v>
      </c>
      <c r="G342" s="35">
        <v>1670.2213999999999</v>
      </c>
      <c r="H342" s="35">
        <v>1358.9363000000001</v>
      </c>
      <c r="I342" s="35">
        <v>1451.1396</v>
      </c>
      <c r="J342" s="35">
        <v>1271.7483</v>
      </c>
      <c r="K342" s="35">
        <v>1472.9105</v>
      </c>
      <c r="L342" s="35">
        <v>1174.4152999999999</v>
      </c>
      <c r="M342" s="35">
        <v>1100.4579000000001</v>
      </c>
      <c r="N342" s="35">
        <v>833.89380000000006</v>
      </c>
      <c r="O342" s="35">
        <v>894.75490000000002</v>
      </c>
      <c r="P342" s="35">
        <v>748.85789999999997</v>
      </c>
      <c r="Q342" s="35">
        <v>732.97979999999995</v>
      </c>
      <c r="R342" s="35">
        <v>666.1454</v>
      </c>
      <c r="S342" s="35">
        <v>1111.4856</v>
      </c>
      <c r="T342" s="35">
        <v>577.65989999999999</v>
      </c>
      <c r="U342" s="35">
        <v>551.19290000000001</v>
      </c>
      <c r="V342" s="35">
        <v>460.81889999999999</v>
      </c>
      <c r="W342" s="35">
        <v>432.37329999999997</v>
      </c>
      <c r="X342" s="35">
        <v>350.64789999999999</v>
      </c>
      <c r="Y342" s="35">
        <v>175.3501</v>
      </c>
      <c r="Z342" s="35">
        <v>42.938899999999997</v>
      </c>
      <c r="AA342" s="35">
        <v>37.752800000000001</v>
      </c>
      <c r="AB342" s="35">
        <v>14.3406</v>
      </c>
    </row>
    <row r="343" spans="1:28" x14ac:dyDescent="0.25">
      <c r="A343" s="21"/>
      <c r="B343" s="35"/>
      <c r="C343" s="35"/>
      <c r="D343" s="35"/>
    </row>
    <row r="344" spans="1:28" x14ac:dyDescent="0.25">
      <c r="A344" s="21"/>
      <c r="B344" s="35"/>
      <c r="C344" s="35"/>
      <c r="D344" s="35"/>
    </row>
    <row r="345" spans="1:28" x14ac:dyDescent="0.25">
      <c r="A345" s="21"/>
      <c r="B345" s="35"/>
      <c r="C345" s="35"/>
      <c r="D345" s="35"/>
    </row>
    <row r="346" spans="1:28" x14ac:dyDescent="0.25">
      <c r="A346" s="21"/>
      <c r="B346" s="35"/>
      <c r="C346" s="35"/>
      <c r="D346" s="35"/>
    </row>
    <row r="347" spans="1:28" x14ac:dyDescent="0.25">
      <c r="A347" s="21"/>
      <c r="B347" s="35"/>
      <c r="C347" s="35"/>
      <c r="D347" s="35"/>
    </row>
    <row r="348" spans="1:28" x14ac:dyDescent="0.25">
      <c r="A348" s="21"/>
      <c r="B348" s="35"/>
      <c r="C348" s="35"/>
      <c r="D348" s="35"/>
    </row>
    <row r="349" spans="1:28" x14ac:dyDescent="0.25">
      <c r="A349" s="21"/>
      <c r="B349" s="35"/>
      <c r="C349" s="35"/>
      <c r="D349" s="35"/>
    </row>
    <row r="350" spans="1:28" x14ac:dyDescent="0.25">
      <c r="A350" s="21"/>
      <c r="B350" s="35"/>
      <c r="C350" s="35"/>
      <c r="D350" s="35"/>
    </row>
    <row r="351" spans="1:28" x14ac:dyDescent="0.25">
      <c r="A351" s="21"/>
      <c r="B351" s="35"/>
      <c r="C351" s="35"/>
      <c r="D351" s="35"/>
    </row>
    <row r="352" spans="1:28" x14ac:dyDescent="0.25">
      <c r="A352" s="21"/>
      <c r="B352" s="35"/>
      <c r="C352" s="35"/>
      <c r="D352" s="35"/>
    </row>
    <row r="353" spans="1:4" x14ac:dyDescent="0.25">
      <c r="A353" s="21"/>
      <c r="B353" s="35"/>
      <c r="C353" s="35"/>
      <c r="D353" s="35"/>
    </row>
    <row r="354" spans="1:4" x14ac:dyDescent="0.25">
      <c r="A354" s="21"/>
      <c r="B354" s="35"/>
      <c r="C354" s="35"/>
      <c r="D354" s="35"/>
    </row>
    <row r="355" spans="1:4" x14ac:dyDescent="0.25">
      <c r="A355" s="39"/>
      <c r="B355" s="61"/>
      <c r="C355" s="61"/>
      <c r="D355" s="61"/>
    </row>
    <row r="356" spans="1:4" x14ac:dyDescent="0.25">
      <c r="A356" s="21"/>
      <c r="B356" s="35"/>
      <c r="C356" s="35"/>
      <c r="D356" s="35"/>
    </row>
    <row r="357" spans="1:4" x14ac:dyDescent="0.25">
      <c r="A357" s="21"/>
      <c r="B357" s="35"/>
      <c r="C357" s="35"/>
      <c r="D357" s="35"/>
    </row>
    <row r="358" spans="1:4" x14ac:dyDescent="0.25">
      <c r="A358" s="21"/>
      <c r="B358" s="35"/>
      <c r="C358" s="35"/>
      <c r="D358" s="35"/>
    </row>
    <row r="359" spans="1:4" x14ac:dyDescent="0.25">
      <c r="A359" s="21"/>
      <c r="B359" s="35"/>
      <c r="C359" s="35"/>
      <c r="D359" s="35"/>
    </row>
    <row r="360" spans="1:4" x14ac:dyDescent="0.25">
      <c r="A360" s="21"/>
      <c r="B360" s="35"/>
      <c r="C360" s="35"/>
      <c r="D360" s="35"/>
    </row>
    <row r="361" spans="1:4" x14ac:dyDescent="0.25">
      <c r="A361" s="21"/>
      <c r="B361" s="35"/>
      <c r="C361" s="35"/>
      <c r="D361" s="35"/>
    </row>
    <row r="362" spans="1:4" x14ac:dyDescent="0.25">
      <c r="A362" s="21"/>
      <c r="B362" s="35"/>
      <c r="C362" s="35"/>
      <c r="D362" s="35"/>
    </row>
    <row r="363" spans="1:4" x14ac:dyDescent="0.25">
      <c r="A363" s="21"/>
      <c r="B363" s="35"/>
      <c r="C363" s="35"/>
      <c r="D363" s="35"/>
    </row>
    <row r="364" spans="1:4" x14ac:dyDescent="0.25">
      <c r="A364" s="21"/>
      <c r="B364" s="35"/>
      <c r="C364" s="35"/>
      <c r="D364" s="35"/>
    </row>
    <row r="365" spans="1:4" x14ac:dyDescent="0.25">
      <c r="A365" s="21"/>
      <c r="B365" s="35"/>
      <c r="C365" s="35"/>
      <c r="D365" s="35"/>
    </row>
    <row r="366" spans="1:4" x14ac:dyDescent="0.25">
      <c r="A366" s="21"/>
      <c r="B366" s="35"/>
      <c r="C366" s="35"/>
      <c r="D366" s="35"/>
    </row>
    <row r="367" spans="1:4" x14ac:dyDescent="0.25">
      <c r="A367" s="21"/>
      <c r="B367" s="35"/>
      <c r="C367" s="35"/>
      <c r="D367" s="35"/>
    </row>
    <row r="373" spans="1:1" x14ac:dyDescent="0.25">
      <c r="A373" t="s">
        <v>188</v>
      </c>
    </row>
    <row r="374" spans="1:1" x14ac:dyDescent="0.25">
      <c r="A374" t="s">
        <v>189</v>
      </c>
    </row>
  </sheetData>
  <mergeCells count="10">
    <mergeCell ref="B338:D338"/>
    <mergeCell ref="E338:P338"/>
    <mergeCell ref="Q338:AB338"/>
    <mergeCell ref="B91:M91"/>
    <mergeCell ref="Z2:AK2"/>
    <mergeCell ref="N2:Y2"/>
    <mergeCell ref="B2:M2"/>
    <mergeCell ref="B143:M143"/>
    <mergeCell ref="B147:M147"/>
    <mergeCell ref="B151:M15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E1A30-EE00-436D-8BDB-377839B6C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Объединенные данные</vt:lpstr>
      <vt:lpstr>Расчет метрик</vt:lpstr>
      <vt:lpstr>Проверка качества данных</vt:lpstr>
      <vt:lpstr>Показатели</vt:lpstr>
      <vt:lpstr>Гипотезы</vt:lpstr>
      <vt:lpstr>Визуализация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2024-02-08T15:12:27Z</dcterms:created>
  <dcterms:modified xsi:type="dcterms:W3CDTF">2025-12-09T19:57:50Z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5c7be35f-20c7-461d-a4c0-25cb3a262626</vt:lpwstr>
  </property>
</Properties>
</file>